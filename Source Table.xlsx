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Excel Project\"/>
    </mc:Choice>
  </mc:AlternateContent>
  <xr:revisionPtr revIDLastSave="0" documentId="8_{00144D1F-638C-4F5F-AD33-0C543B2EF52A}" xr6:coauthVersionLast="47" xr6:coauthVersionMax="47" xr10:uidLastSave="{00000000-0000-0000-0000-000000000000}"/>
  <bookViews>
    <workbookView xWindow="-108" yWindow="-108" windowWidth="23256" windowHeight="12456" xr2:uid="{C69687F4-674E-45DA-BE43-3D73C0CD54C2}"/>
  </bookViews>
  <sheets>
    <sheet name="orders" sheetId="1" r:id="rId1"/>
  </sheets>
  <externalReferences>
    <externalReference r:id="rId2"/>
  </externalReferences>
  <definedNames>
    <definedName name="_xlnm._FilterDatabase" localSheetId="0" hidden="1">orders!$A$1:$L$1001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001" i="1" l="1"/>
  <c r="P1001" i="1"/>
  <c r="O1001" i="1"/>
  <c r="N1001" i="1"/>
  <c r="M1001" i="1"/>
  <c r="L1001" i="1"/>
  <c r="K1001" i="1"/>
  <c r="J1001" i="1"/>
  <c r="I1001" i="1"/>
  <c r="H1001" i="1"/>
  <c r="G1001" i="1"/>
  <c r="F1001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Q99" i="1"/>
  <c r="P99" i="1"/>
  <c r="O99" i="1"/>
  <c r="N99" i="1"/>
  <c r="M99" i="1"/>
  <c r="L99" i="1"/>
  <c r="K99" i="1"/>
  <c r="J99" i="1"/>
  <c r="I99" i="1"/>
  <c r="H99" i="1"/>
  <c r="G99" i="1"/>
  <c r="F99" i="1"/>
  <c r="Q98" i="1"/>
  <c r="P98" i="1"/>
  <c r="O98" i="1"/>
  <c r="N98" i="1"/>
  <c r="M98" i="1"/>
  <c r="L98" i="1"/>
  <c r="K98" i="1"/>
  <c r="J98" i="1"/>
  <c r="I98" i="1"/>
  <c r="H98" i="1"/>
  <c r="G98" i="1"/>
  <c r="F98" i="1"/>
  <c r="Q97" i="1"/>
  <c r="P97" i="1"/>
  <c r="O97" i="1"/>
  <c r="N97" i="1"/>
  <c r="M97" i="1"/>
  <c r="L97" i="1"/>
  <c r="K97" i="1"/>
  <c r="J97" i="1"/>
  <c r="I97" i="1"/>
  <c r="H97" i="1"/>
  <c r="G97" i="1"/>
  <c r="F97" i="1"/>
  <c r="Q96" i="1"/>
  <c r="P96" i="1"/>
  <c r="O96" i="1"/>
  <c r="N96" i="1"/>
  <c r="M96" i="1"/>
  <c r="L96" i="1"/>
  <c r="K96" i="1"/>
  <c r="J96" i="1"/>
  <c r="I96" i="1"/>
  <c r="H96" i="1"/>
  <c r="G96" i="1"/>
  <c r="F96" i="1"/>
  <c r="Q95" i="1"/>
  <c r="P95" i="1"/>
  <c r="O95" i="1"/>
  <c r="N95" i="1"/>
  <c r="M95" i="1"/>
  <c r="L95" i="1"/>
  <c r="K95" i="1"/>
  <c r="J95" i="1"/>
  <c r="I95" i="1"/>
  <c r="H95" i="1"/>
  <c r="G95" i="1"/>
  <c r="F95" i="1"/>
  <c r="Q94" i="1"/>
  <c r="P94" i="1"/>
  <c r="O94" i="1"/>
  <c r="N94" i="1"/>
  <c r="M94" i="1"/>
  <c r="L94" i="1"/>
  <c r="K94" i="1"/>
  <c r="J94" i="1"/>
  <c r="I94" i="1"/>
  <c r="H94" i="1"/>
  <c r="G94" i="1"/>
  <c r="F94" i="1"/>
  <c r="Q93" i="1"/>
  <c r="P93" i="1"/>
  <c r="O93" i="1"/>
  <c r="N93" i="1"/>
  <c r="M93" i="1"/>
  <c r="L93" i="1"/>
  <c r="K93" i="1"/>
  <c r="J93" i="1"/>
  <c r="I93" i="1"/>
  <c r="H93" i="1"/>
  <c r="G93" i="1"/>
  <c r="F93" i="1"/>
  <c r="Q92" i="1"/>
  <c r="P92" i="1"/>
  <c r="O92" i="1"/>
  <c r="N92" i="1"/>
  <c r="M92" i="1"/>
  <c r="L92" i="1"/>
  <c r="K92" i="1"/>
  <c r="J92" i="1"/>
  <c r="I92" i="1"/>
  <c r="H92" i="1"/>
  <c r="G92" i="1"/>
  <c r="F92" i="1"/>
  <c r="Q91" i="1"/>
  <c r="P91" i="1"/>
  <c r="O91" i="1"/>
  <c r="N91" i="1"/>
  <c r="M91" i="1"/>
  <c r="L91" i="1"/>
  <c r="K91" i="1"/>
  <c r="J91" i="1"/>
  <c r="I91" i="1"/>
  <c r="H91" i="1"/>
  <c r="G91" i="1"/>
  <c r="F91" i="1"/>
  <c r="Q90" i="1"/>
  <c r="P90" i="1"/>
  <c r="O90" i="1"/>
  <c r="N90" i="1"/>
  <c r="M90" i="1"/>
  <c r="L90" i="1"/>
  <c r="K90" i="1"/>
  <c r="J90" i="1"/>
  <c r="I90" i="1"/>
  <c r="H90" i="1"/>
  <c r="G90" i="1"/>
  <c r="F90" i="1"/>
  <c r="Q89" i="1"/>
  <c r="P89" i="1"/>
  <c r="O89" i="1"/>
  <c r="N89" i="1"/>
  <c r="M89" i="1"/>
  <c r="L89" i="1"/>
  <c r="K89" i="1"/>
  <c r="J89" i="1"/>
  <c r="I89" i="1"/>
  <c r="H89" i="1"/>
  <c r="G89" i="1"/>
  <c r="F89" i="1"/>
  <c r="Q88" i="1"/>
  <c r="P88" i="1"/>
  <c r="O88" i="1"/>
  <c r="N88" i="1"/>
  <c r="M88" i="1"/>
  <c r="L88" i="1"/>
  <c r="K88" i="1"/>
  <c r="J88" i="1"/>
  <c r="I88" i="1"/>
  <c r="H88" i="1"/>
  <c r="G88" i="1"/>
  <c r="F88" i="1"/>
  <c r="Q87" i="1"/>
  <c r="P87" i="1"/>
  <c r="O87" i="1"/>
  <c r="N87" i="1"/>
  <c r="M87" i="1"/>
  <c r="L87" i="1"/>
  <c r="K87" i="1"/>
  <c r="J87" i="1"/>
  <c r="I87" i="1"/>
  <c r="H87" i="1"/>
  <c r="G87" i="1"/>
  <c r="F87" i="1"/>
  <c r="Q86" i="1"/>
  <c r="P86" i="1"/>
  <c r="O86" i="1"/>
  <c r="N86" i="1"/>
  <c r="M86" i="1"/>
  <c r="L86" i="1"/>
  <c r="K86" i="1"/>
  <c r="J86" i="1"/>
  <c r="I86" i="1"/>
  <c r="H86" i="1"/>
  <c r="G86" i="1"/>
  <c r="F86" i="1"/>
  <c r="Q85" i="1"/>
  <c r="P85" i="1"/>
  <c r="O85" i="1"/>
  <c r="N85" i="1"/>
  <c r="M85" i="1"/>
  <c r="L85" i="1"/>
  <c r="K85" i="1"/>
  <c r="J85" i="1"/>
  <c r="I85" i="1"/>
  <c r="H85" i="1"/>
  <c r="G85" i="1"/>
  <c r="F85" i="1"/>
  <c r="Q84" i="1"/>
  <c r="P84" i="1"/>
  <c r="O84" i="1"/>
  <c r="N84" i="1"/>
  <c r="M84" i="1"/>
  <c r="L84" i="1"/>
  <c r="K84" i="1"/>
  <c r="J84" i="1"/>
  <c r="I84" i="1"/>
  <c r="H84" i="1"/>
  <c r="G84" i="1"/>
  <c r="F84" i="1"/>
  <c r="Q83" i="1"/>
  <c r="P83" i="1"/>
  <c r="O83" i="1"/>
  <c r="N83" i="1"/>
  <c r="M83" i="1"/>
  <c r="L83" i="1"/>
  <c r="K83" i="1"/>
  <c r="J83" i="1"/>
  <c r="I83" i="1"/>
  <c r="H83" i="1"/>
  <c r="G83" i="1"/>
  <c r="F83" i="1"/>
  <c r="Q82" i="1"/>
  <c r="P82" i="1"/>
  <c r="O82" i="1"/>
  <c r="N82" i="1"/>
  <c r="M82" i="1"/>
  <c r="L82" i="1"/>
  <c r="K82" i="1"/>
  <c r="J82" i="1"/>
  <c r="I82" i="1"/>
  <c r="H82" i="1"/>
  <c r="G82" i="1"/>
  <c r="F82" i="1"/>
  <c r="Q81" i="1"/>
  <c r="P81" i="1"/>
  <c r="O81" i="1"/>
  <c r="N81" i="1"/>
  <c r="M81" i="1"/>
  <c r="L81" i="1"/>
  <c r="K81" i="1"/>
  <c r="J81" i="1"/>
  <c r="I81" i="1"/>
  <c r="H81" i="1"/>
  <c r="G81" i="1"/>
  <c r="F81" i="1"/>
  <c r="Q80" i="1"/>
  <c r="P80" i="1"/>
  <c r="O80" i="1"/>
  <c r="N80" i="1"/>
  <c r="M80" i="1"/>
  <c r="L80" i="1"/>
  <c r="K80" i="1"/>
  <c r="J80" i="1"/>
  <c r="I80" i="1"/>
  <c r="H80" i="1"/>
  <c r="G80" i="1"/>
  <c r="F80" i="1"/>
  <c r="Q79" i="1"/>
  <c r="P79" i="1"/>
  <c r="O79" i="1"/>
  <c r="N79" i="1"/>
  <c r="M79" i="1"/>
  <c r="L79" i="1"/>
  <c r="K79" i="1"/>
  <c r="J79" i="1"/>
  <c r="I79" i="1"/>
  <c r="H79" i="1"/>
  <c r="G79" i="1"/>
  <c r="F79" i="1"/>
  <c r="Q78" i="1"/>
  <c r="P78" i="1"/>
  <c r="O78" i="1"/>
  <c r="N78" i="1"/>
  <c r="M78" i="1"/>
  <c r="L78" i="1"/>
  <c r="K78" i="1"/>
  <c r="J78" i="1"/>
  <c r="I78" i="1"/>
  <c r="H78" i="1"/>
  <c r="G78" i="1"/>
  <c r="F78" i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5" i="1"/>
  <c r="P75" i="1"/>
  <c r="O75" i="1"/>
  <c r="N75" i="1"/>
  <c r="M75" i="1"/>
  <c r="L75" i="1"/>
  <c r="K75" i="1"/>
  <c r="J75" i="1"/>
  <c r="I75" i="1"/>
  <c r="H75" i="1"/>
  <c r="G75" i="1"/>
  <c r="F75" i="1"/>
  <c r="Q74" i="1"/>
  <c r="P74" i="1"/>
  <c r="O74" i="1"/>
  <c r="N74" i="1"/>
  <c r="M74" i="1"/>
  <c r="L74" i="1"/>
  <c r="K74" i="1"/>
  <c r="J74" i="1"/>
  <c r="I74" i="1"/>
  <c r="H74" i="1"/>
  <c r="G74" i="1"/>
  <c r="F74" i="1"/>
  <c r="Q73" i="1"/>
  <c r="P73" i="1"/>
  <c r="O73" i="1"/>
  <c r="N73" i="1"/>
  <c r="M73" i="1"/>
  <c r="L73" i="1"/>
  <c r="K73" i="1"/>
  <c r="J73" i="1"/>
  <c r="I73" i="1"/>
  <c r="H73" i="1"/>
  <c r="G73" i="1"/>
  <c r="F73" i="1"/>
  <c r="Q72" i="1"/>
  <c r="P72" i="1"/>
  <c r="O72" i="1"/>
  <c r="N72" i="1"/>
  <c r="M72" i="1"/>
  <c r="L72" i="1"/>
  <c r="K72" i="1"/>
  <c r="J72" i="1"/>
  <c r="I72" i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70" i="1"/>
  <c r="P70" i="1"/>
  <c r="O70" i="1"/>
  <c r="N70" i="1"/>
  <c r="M70" i="1"/>
  <c r="L70" i="1"/>
  <c r="K70" i="1"/>
  <c r="J70" i="1"/>
  <c r="I70" i="1"/>
  <c r="H70" i="1"/>
  <c r="G70" i="1"/>
  <c r="F70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6" i="1"/>
  <c r="P66" i="1"/>
  <c r="O66" i="1"/>
  <c r="N66" i="1"/>
  <c r="M66" i="1"/>
  <c r="L66" i="1"/>
  <c r="K66" i="1"/>
  <c r="J66" i="1"/>
  <c r="I66" i="1"/>
  <c r="H66" i="1"/>
  <c r="G66" i="1"/>
  <c r="F66" i="1"/>
  <c r="Q65" i="1"/>
  <c r="P65" i="1"/>
  <c r="O65" i="1"/>
  <c r="N65" i="1"/>
  <c r="M65" i="1"/>
  <c r="L65" i="1"/>
  <c r="K65" i="1"/>
  <c r="J65" i="1"/>
  <c r="I65" i="1"/>
  <c r="H65" i="1"/>
  <c r="G65" i="1"/>
  <c r="F65" i="1"/>
  <c r="Q64" i="1"/>
  <c r="P64" i="1"/>
  <c r="O64" i="1"/>
  <c r="N64" i="1"/>
  <c r="M64" i="1"/>
  <c r="L64" i="1"/>
  <c r="K64" i="1"/>
  <c r="J64" i="1"/>
  <c r="I64" i="1"/>
  <c r="H64" i="1"/>
  <c r="G64" i="1"/>
  <c r="F64" i="1"/>
  <c r="Q63" i="1"/>
  <c r="P63" i="1"/>
  <c r="O63" i="1"/>
  <c r="N63" i="1"/>
  <c r="M63" i="1"/>
  <c r="L63" i="1"/>
  <c r="K63" i="1"/>
  <c r="J63" i="1"/>
  <c r="I63" i="1"/>
  <c r="H63" i="1"/>
  <c r="G63" i="1"/>
  <c r="F63" i="1"/>
  <c r="Q62" i="1"/>
  <c r="P62" i="1"/>
  <c r="O62" i="1"/>
  <c r="N62" i="1"/>
  <c r="M62" i="1"/>
  <c r="L62" i="1"/>
  <c r="K62" i="1"/>
  <c r="J62" i="1"/>
  <c r="I62" i="1"/>
  <c r="H62" i="1"/>
  <c r="G62" i="1"/>
  <c r="F62" i="1"/>
  <c r="Q61" i="1"/>
  <c r="P61" i="1"/>
  <c r="O61" i="1"/>
  <c r="N61" i="1"/>
  <c r="M61" i="1"/>
  <c r="L61" i="1"/>
  <c r="K61" i="1"/>
  <c r="J61" i="1"/>
  <c r="I61" i="1"/>
  <c r="H61" i="1"/>
  <c r="G61" i="1"/>
  <c r="F61" i="1"/>
  <c r="Q60" i="1"/>
  <c r="P60" i="1"/>
  <c r="O60" i="1"/>
  <c r="N60" i="1"/>
  <c r="M60" i="1"/>
  <c r="L60" i="1"/>
  <c r="K60" i="1"/>
  <c r="J60" i="1"/>
  <c r="I60" i="1"/>
  <c r="H60" i="1"/>
  <c r="G60" i="1"/>
  <c r="F60" i="1"/>
  <c r="Q59" i="1"/>
  <c r="P59" i="1"/>
  <c r="O59" i="1"/>
  <c r="N59" i="1"/>
  <c r="M59" i="1"/>
  <c r="L59" i="1"/>
  <c r="K59" i="1"/>
  <c r="J59" i="1"/>
  <c r="I59" i="1"/>
  <c r="H59" i="1"/>
  <c r="G59" i="1"/>
  <c r="F59" i="1"/>
  <c r="Q58" i="1"/>
  <c r="P58" i="1"/>
  <c r="O58" i="1"/>
  <c r="N58" i="1"/>
  <c r="M58" i="1"/>
  <c r="L58" i="1"/>
  <c r="K58" i="1"/>
  <c r="J58" i="1"/>
  <c r="I58" i="1"/>
  <c r="H58" i="1"/>
  <c r="G58" i="1"/>
  <c r="F58" i="1"/>
  <c r="Q57" i="1"/>
  <c r="P57" i="1"/>
  <c r="O57" i="1"/>
  <c r="N57" i="1"/>
  <c r="M57" i="1"/>
  <c r="L57" i="1"/>
  <c r="K57" i="1"/>
  <c r="J57" i="1"/>
  <c r="I57" i="1"/>
  <c r="H57" i="1"/>
  <c r="G57" i="1"/>
  <c r="F57" i="1"/>
  <c r="Q56" i="1"/>
  <c r="P56" i="1"/>
  <c r="O56" i="1"/>
  <c r="N56" i="1"/>
  <c r="M56" i="1"/>
  <c r="L56" i="1"/>
  <c r="K56" i="1"/>
  <c r="J56" i="1"/>
  <c r="I56" i="1"/>
  <c r="H56" i="1"/>
  <c r="G56" i="1"/>
  <c r="F56" i="1"/>
  <c r="Q55" i="1"/>
  <c r="P55" i="1"/>
  <c r="O55" i="1"/>
  <c r="N55" i="1"/>
  <c r="M55" i="1"/>
  <c r="L55" i="1"/>
  <c r="K55" i="1"/>
  <c r="J55" i="1"/>
  <c r="I55" i="1"/>
  <c r="H55" i="1"/>
  <c r="G55" i="1"/>
  <c r="F55" i="1"/>
  <c r="Q54" i="1"/>
  <c r="P54" i="1"/>
  <c r="O54" i="1"/>
  <c r="N54" i="1"/>
  <c r="M54" i="1"/>
  <c r="L54" i="1"/>
  <c r="K54" i="1"/>
  <c r="J54" i="1"/>
  <c r="I54" i="1"/>
  <c r="H54" i="1"/>
  <c r="G54" i="1"/>
  <c r="F54" i="1"/>
  <c r="Q53" i="1"/>
  <c r="P53" i="1"/>
  <c r="O53" i="1"/>
  <c r="N53" i="1"/>
  <c r="M53" i="1"/>
  <c r="L53" i="1"/>
  <c r="K53" i="1"/>
  <c r="J53" i="1"/>
  <c r="I53" i="1"/>
  <c r="H53" i="1"/>
  <c r="G53" i="1"/>
  <c r="F53" i="1"/>
  <c r="Q52" i="1"/>
  <c r="P52" i="1"/>
  <c r="O52" i="1"/>
  <c r="N52" i="1"/>
  <c r="M52" i="1"/>
  <c r="L52" i="1"/>
  <c r="K52" i="1"/>
  <c r="J52" i="1"/>
  <c r="I52" i="1"/>
  <c r="H52" i="1"/>
  <c r="G52" i="1"/>
  <c r="F52" i="1"/>
  <c r="Q51" i="1"/>
  <c r="P51" i="1"/>
  <c r="O51" i="1"/>
  <c r="N51" i="1"/>
  <c r="M51" i="1"/>
  <c r="L51" i="1"/>
  <c r="K51" i="1"/>
  <c r="J51" i="1"/>
  <c r="I51" i="1"/>
  <c r="H51" i="1"/>
  <c r="G51" i="1"/>
  <c r="F51" i="1"/>
  <c r="Q50" i="1"/>
  <c r="P50" i="1"/>
  <c r="O50" i="1"/>
  <c r="N50" i="1"/>
  <c r="M50" i="1"/>
  <c r="L50" i="1"/>
  <c r="K50" i="1"/>
  <c r="J50" i="1"/>
  <c r="I50" i="1"/>
  <c r="H50" i="1"/>
  <c r="G50" i="1"/>
  <c r="F50" i="1"/>
  <c r="Q49" i="1"/>
  <c r="P49" i="1"/>
  <c r="O49" i="1"/>
  <c r="N49" i="1"/>
  <c r="M49" i="1"/>
  <c r="L49" i="1"/>
  <c r="K49" i="1"/>
  <c r="J49" i="1"/>
  <c r="I49" i="1"/>
  <c r="H49" i="1"/>
  <c r="G49" i="1"/>
  <c r="F49" i="1"/>
  <c r="Q48" i="1"/>
  <c r="P48" i="1"/>
  <c r="O48" i="1"/>
  <c r="N48" i="1"/>
  <c r="M48" i="1"/>
  <c r="L48" i="1"/>
  <c r="K48" i="1"/>
  <c r="J48" i="1"/>
  <c r="I48" i="1"/>
  <c r="H48" i="1"/>
  <c r="G48" i="1"/>
  <c r="F48" i="1"/>
  <c r="Q47" i="1"/>
  <c r="P47" i="1"/>
  <c r="O47" i="1"/>
  <c r="N47" i="1"/>
  <c r="M47" i="1"/>
  <c r="L47" i="1"/>
  <c r="K47" i="1"/>
  <c r="J47" i="1"/>
  <c r="I47" i="1"/>
  <c r="H47" i="1"/>
  <c r="G47" i="1"/>
  <c r="F47" i="1"/>
  <c r="Q46" i="1"/>
  <c r="P46" i="1"/>
  <c r="O46" i="1"/>
  <c r="N46" i="1"/>
  <c r="M46" i="1"/>
  <c r="L46" i="1"/>
  <c r="K46" i="1"/>
  <c r="J46" i="1"/>
  <c r="I46" i="1"/>
  <c r="H46" i="1"/>
  <c r="G46" i="1"/>
  <c r="F46" i="1"/>
  <c r="Q45" i="1"/>
  <c r="P45" i="1"/>
  <c r="O45" i="1"/>
  <c r="N45" i="1"/>
  <c r="M45" i="1"/>
  <c r="L45" i="1"/>
  <c r="K45" i="1"/>
  <c r="J45" i="1"/>
  <c r="I45" i="1"/>
  <c r="H45" i="1"/>
  <c r="G45" i="1"/>
  <c r="F45" i="1"/>
  <c r="Q44" i="1"/>
  <c r="P44" i="1"/>
  <c r="O44" i="1"/>
  <c r="N44" i="1"/>
  <c r="M44" i="1"/>
  <c r="L44" i="1"/>
  <c r="K44" i="1"/>
  <c r="J44" i="1"/>
  <c r="I44" i="1"/>
  <c r="H44" i="1"/>
  <c r="G44" i="1"/>
  <c r="F44" i="1"/>
  <c r="Q43" i="1"/>
  <c r="P43" i="1"/>
  <c r="O43" i="1"/>
  <c r="N43" i="1"/>
  <c r="M43" i="1"/>
  <c r="L43" i="1"/>
  <c r="K43" i="1"/>
  <c r="J43" i="1"/>
  <c r="I43" i="1"/>
  <c r="H43" i="1"/>
  <c r="G43" i="1"/>
  <c r="F43" i="1"/>
  <c r="Q42" i="1"/>
  <c r="P42" i="1"/>
  <c r="O42" i="1"/>
  <c r="N42" i="1"/>
  <c r="M42" i="1"/>
  <c r="L42" i="1"/>
  <c r="K42" i="1"/>
  <c r="J42" i="1"/>
  <c r="I42" i="1"/>
  <c r="H42" i="1"/>
  <c r="G42" i="1"/>
  <c r="F42" i="1"/>
  <c r="Q41" i="1"/>
  <c r="P41" i="1"/>
  <c r="O41" i="1"/>
  <c r="N41" i="1"/>
  <c r="M41" i="1"/>
  <c r="L41" i="1"/>
  <c r="K41" i="1"/>
  <c r="J41" i="1"/>
  <c r="I41" i="1"/>
  <c r="H41" i="1"/>
  <c r="G41" i="1"/>
  <c r="F41" i="1"/>
  <c r="Q40" i="1"/>
  <c r="P40" i="1"/>
  <c r="O40" i="1"/>
  <c r="N40" i="1"/>
  <c r="M40" i="1"/>
  <c r="L40" i="1"/>
  <c r="K40" i="1"/>
  <c r="J40" i="1"/>
  <c r="I40" i="1"/>
  <c r="H40" i="1"/>
  <c r="G40" i="1"/>
  <c r="F40" i="1"/>
  <c r="Q39" i="1"/>
  <c r="P39" i="1"/>
  <c r="O39" i="1"/>
  <c r="N39" i="1"/>
  <c r="M39" i="1"/>
  <c r="L39" i="1"/>
  <c r="K39" i="1"/>
  <c r="J39" i="1"/>
  <c r="I39" i="1"/>
  <c r="H39" i="1"/>
  <c r="G39" i="1"/>
  <c r="F39" i="1"/>
  <c r="Q38" i="1"/>
  <c r="P38" i="1"/>
  <c r="O38" i="1"/>
  <c r="N38" i="1"/>
  <c r="M38" i="1"/>
  <c r="L38" i="1"/>
  <c r="K38" i="1"/>
  <c r="J38" i="1"/>
  <c r="I38" i="1"/>
  <c r="H38" i="1"/>
  <c r="G38" i="1"/>
  <c r="F38" i="1"/>
  <c r="Q37" i="1"/>
  <c r="P37" i="1"/>
  <c r="O37" i="1"/>
  <c r="N37" i="1"/>
  <c r="M37" i="1"/>
  <c r="L37" i="1"/>
  <c r="K37" i="1"/>
  <c r="J37" i="1"/>
  <c r="I37" i="1"/>
  <c r="H37" i="1"/>
  <c r="G37" i="1"/>
  <c r="F37" i="1"/>
  <c r="Q36" i="1"/>
  <c r="P36" i="1"/>
  <c r="O36" i="1"/>
  <c r="N36" i="1"/>
  <c r="M36" i="1"/>
  <c r="L36" i="1"/>
  <c r="K36" i="1"/>
  <c r="J36" i="1"/>
  <c r="I36" i="1"/>
  <c r="H36" i="1"/>
  <c r="G36" i="1"/>
  <c r="F36" i="1"/>
  <c r="Q35" i="1"/>
  <c r="P35" i="1"/>
  <c r="O35" i="1"/>
  <c r="N35" i="1"/>
  <c r="M35" i="1"/>
  <c r="L35" i="1"/>
  <c r="K35" i="1"/>
  <c r="J35" i="1"/>
  <c r="I35" i="1"/>
  <c r="H35" i="1"/>
  <c r="G35" i="1"/>
  <c r="F35" i="1"/>
  <c r="Q34" i="1"/>
  <c r="P34" i="1"/>
  <c r="O34" i="1"/>
  <c r="N34" i="1"/>
  <c r="M34" i="1"/>
  <c r="L34" i="1"/>
  <c r="K34" i="1"/>
  <c r="J34" i="1"/>
  <c r="I34" i="1"/>
  <c r="H34" i="1"/>
  <c r="G34" i="1"/>
  <c r="F34" i="1"/>
  <c r="Q33" i="1"/>
  <c r="P33" i="1"/>
  <c r="O33" i="1"/>
  <c r="N33" i="1"/>
  <c r="M33" i="1"/>
  <c r="L33" i="1"/>
  <c r="K33" i="1"/>
  <c r="J33" i="1"/>
  <c r="I33" i="1"/>
  <c r="H33" i="1"/>
  <c r="G33" i="1"/>
  <c r="F33" i="1"/>
  <c r="Q32" i="1"/>
  <c r="P32" i="1"/>
  <c r="O32" i="1"/>
  <c r="N32" i="1"/>
  <c r="M32" i="1"/>
  <c r="L32" i="1"/>
  <c r="K32" i="1"/>
  <c r="J32" i="1"/>
  <c r="I32" i="1"/>
  <c r="H32" i="1"/>
  <c r="G32" i="1"/>
  <c r="F32" i="1"/>
  <c r="Q31" i="1"/>
  <c r="P31" i="1"/>
  <c r="O31" i="1"/>
  <c r="N31" i="1"/>
  <c r="M31" i="1"/>
  <c r="L31" i="1"/>
  <c r="K31" i="1"/>
  <c r="J31" i="1"/>
  <c r="I31" i="1"/>
  <c r="H31" i="1"/>
  <c r="G31" i="1"/>
  <c r="F31" i="1"/>
  <c r="Q30" i="1"/>
  <c r="P30" i="1"/>
  <c r="O30" i="1"/>
  <c r="N30" i="1"/>
  <c r="M30" i="1"/>
  <c r="L30" i="1"/>
  <c r="K30" i="1"/>
  <c r="J30" i="1"/>
  <c r="I30" i="1"/>
  <c r="H30" i="1"/>
  <c r="G30" i="1"/>
  <c r="F30" i="1"/>
  <c r="Q29" i="1"/>
  <c r="P29" i="1"/>
  <c r="O29" i="1"/>
  <c r="N29" i="1"/>
  <c r="M29" i="1"/>
  <c r="L29" i="1"/>
  <c r="K29" i="1"/>
  <c r="J29" i="1"/>
  <c r="I29" i="1"/>
  <c r="H29" i="1"/>
  <c r="G29" i="1"/>
  <c r="F29" i="1"/>
  <c r="Q28" i="1"/>
  <c r="P28" i="1"/>
  <c r="O28" i="1"/>
  <c r="N28" i="1"/>
  <c r="M28" i="1"/>
  <c r="L28" i="1"/>
  <c r="K28" i="1"/>
  <c r="J28" i="1"/>
  <c r="I28" i="1"/>
  <c r="H28" i="1"/>
  <c r="G28" i="1"/>
  <c r="F28" i="1"/>
  <c r="Q27" i="1"/>
  <c r="P27" i="1"/>
  <c r="O27" i="1"/>
  <c r="N27" i="1"/>
  <c r="M27" i="1"/>
  <c r="L27" i="1"/>
  <c r="K27" i="1"/>
  <c r="J27" i="1"/>
  <c r="I27" i="1"/>
  <c r="H27" i="1"/>
  <c r="G27" i="1"/>
  <c r="F27" i="1"/>
  <c r="Q26" i="1"/>
  <c r="P26" i="1"/>
  <c r="O26" i="1"/>
  <c r="N26" i="1"/>
  <c r="M26" i="1"/>
  <c r="L26" i="1"/>
  <c r="K26" i="1"/>
  <c r="J26" i="1"/>
  <c r="I26" i="1"/>
  <c r="H26" i="1"/>
  <c r="G26" i="1"/>
  <c r="F26" i="1"/>
  <c r="Q25" i="1"/>
  <c r="P25" i="1"/>
  <c r="O25" i="1"/>
  <c r="N25" i="1"/>
  <c r="M25" i="1"/>
  <c r="L25" i="1"/>
  <c r="K25" i="1"/>
  <c r="J25" i="1"/>
  <c r="I25" i="1"/>
  <c r="H25" i="1"/>
  <c r="G25" i="1"/>
  <c r="F25" i="1"/>
  <c r="Q24" i="1"/>
  <c r="P24" i="1"/>
  <c r="O24" i="1"/>
  <c r="N24" i="1"/>
  <c r="M24" i="1"/>
  <c r="L24" i="1"/>
  <c r="K24" i="1"/>
  <c r="J24" i="1"/>
  <c r="I24" i="1"/>
  <c r="H24" i="1"/>
  <c r="G24" i="1"/>
  <c r="F24" i="1"/>
  <c r="Q23" i="1"/>
  <c r="P23" i="1"/>
  <c r="O23" i="1"/>
  <c r="N23" i="1"/>
  <c r="M23" i="1"/>
  <c r="L23" i="1"/>
  <c r="K23" i="1"/>
  <c r="J23" i="1"/>
  <c r="I23" i="1"/>
  <c r="H23" i="1"/>
  <c r="G23" i="1"/>
  <c r="F23" i="1"/>
  <c r="Q22" i="1"/>
  <c r="P22" i="1"/>
  <c r="O22" i="1"/>
  <c r="N22" i="1"/>
  <c r="M22" i="1"/>
  <c r="L22" i="1"/>
  <c r="K22" i="1"/>
  <c r="J22" i="1"/>
  <c r="I22" i="1"/>
  <c r="H22" i="1"/>
  <c r="G22" i="1"/>
  <c r="F22" i="1"/>
  <c r="Q21" i="1"/>
  <c r="P21" i="1"/>
  <c r="O21" i="1"/>
  <c r="N21" i="1"/>
  <c r="M21" i="1"/>
  <c r="L21" i="1"/>
  <c r="K21" i="1"/>
  <c r="J21" i="1"/>
  <c r="I21" i="1"/>
  <c r="H21" i="1"/>
  <c r="G21" i="1"/>
  <c r="F21" i="1"/>
  <c r="Q20" i="1"/>
  <c r="P20" i="1"/>
  <c r="O20" i="1"/>
  <c r="N20" i="1"/>
  <c r="M20" i="1"/>
  <c r="L20" i="1"/>
  <c r="K20" i="1"/>
  <c r="J20" i="1"/>
  <c r="I20" i="1"/>
  <c r="H20" i="1"/>
  <c r="G20" i="1"/>
  <c r="F20" i="1"/>
  <c r="Q19" i="1"/>
  <c r="P19" i="1"/>
  <c r="O19" i="1"/>
  <c r="N19" i="1"/>
  <c r="M19" i="1"/>
  <c r="L19" i="1"/>
  <c r="K19" i="1"/>
  <c r="J19" i="1"/>
  <c r="I19" i="1"/>
  <c r="H19" i="1"/>
  <c r="G19" i="1"/>
  <c r="F19" i="1"/>
  <c r="Q18" i="1"/>
  <c r="P18" i="1"/>
  <c r="O18" i="1"/>
  <c r="N18" i="1"/>
  <c r="M18" i="1"/>
  <c r="L18" i="1"/>
  <c r="K18" i="1"/>
  <c r="J18" i="1"/>
  <c r="I18" i="1"/>
  <c r="H18" i="1"/>
  <c r="G18" i="1"/>
  <c r="F18" i="1"/>
  <c r="Q17" i="1"/>
  <c r="P17" i="1"/>
  <c r="O17" i="1"/>
  <c r="N17" i="1"/>
  <c r="M17" i="1"/>
  <c r="L17" i="1"/>
  <c r="K17" i="1"/>
  <c r="J17" i="1"/>
  <c r="I17" i="1"/>
  <c r="H17" i="1"/>
  <c r="G17" i="1"/>
  <c r="F17" i="1"/>
  <c r="Q16" i="1"/>
  <c r="P16" i="1"/>
  <c r="O16" i="1"/>
  <c r="N16" i="1"/>
  <c r="M16" i="1"/>
  <c r="L16" i="1"/>
  <c r="K16" i="1"/>
  <c r="J16" i="1"/>
  <c r="I16" i="1"/>
  <c r="H16" i="1"/>
  <c r="G16" i="1"/>
  <c r="F16" i="1"/>
  <c r="Q15" i="1"/>
  <c r="P15" i="1"/>
  <c r="O15" i="1"/>
  <c r="N15" i="1"/>
  <c r="M15" i="1"/>
  <c r="L15" i="1"/>
  <c r="K15" i="1"/>
  <c r="J15" i="1"/>
  <c r="I15" i="1"/>
  <c r="H15" i="1"/>
  <c r="G15" i="1"/>
  <c r="F15" i="1"/>
  <c r="Q14" i="1"/>
  <c r="P14" i="1"/>
  <c r="O14" i="1"/>
  <c r="N14" i="1"/>
  <c r="M14" i="1"/>
  <c r="L14" i="1"/>
  <c r="K14" i="1"/>
  <c r="J14" i="1"/>
  <c r="I14" i="1"/>
  <c r="H14" i="1"/>
  <c r="G14" i="1"/>
  <c r="F14" i="1"/>
  <c r="Q13" i="1"/>
  <c r="P13" i="1"/>
  <c r="O13" i="1"/>
  <c r="N13" i="1"/>
  <c r="M13" i="1"/>
  <c r="L13" i="1"/>
  <c r="K13" i="1"/>
  <c r="J13" i="1"/>
  <c r="I13" i="1"/>
  <c r="H13" i="1"/>
  <c r="G13" i="1"/>
  <c r="F13" i="1"/>
  <c r="Q12" i="1"/>
  <c r="P12" i="1"/>
  <c r="O12" i="1"/>
  <c r="N12" i="1"/>
  <c r="M12" i="1"/>
  <c r="L12" i="1"/>
  <c r="K12" i="1"/>
  <c r="J12" i="1"/>
  <c r="I12" i="1"/>
  <c r="H12" i="1"/>
  <c r="G12" i="1"/>
  <c r="F12" i="1"/>
  <c r="Q11" i="1"/>
  <c r="P11" i="1"/>
  <c r="O11" i="1"/>
  <c r="N11" i="1"/>
  <c r="M11" i="1"/>
  <c r="L11" i="1"/>
  <c r="K11" i="1"/>
  <c r="J11" i="1"/>
  <c r="I11" i="1"/>
  <c r="H11" i="1"/>
  <c r="G11" i="1"/>
  <c r="F11" i="1"/>
  <c r="Q10" i="1"/>
  <c r="P10" i="1"/>
  <c r="O10" i="1"/>
  <c r="N10" i="1"/>
  <c r="M10" i="1"/>
  <c r="L10" i="1"/>
  <c r="K10" i="1"/>
  <c r="J10" i="1"/>
  <c r="I10" i="1"/>
  <c r="H10" i="1"/>
  <c r="G10" i="1"/>
  <c r="F10" i="1"/>
  <c r="Q9" i="1"/>
  <c r="P9" i="1"/>
  <c r="O9" i="1"/>
  <c r="N9" i="1"/>
  <c r="M9" i="1"/>
  <c r="L9" i="1"/>
  <c r="K9" i="1"/>
  <c r="J9" i="1"/>
  <c r="I9" i="1"/>
  <c r="H9" i="1"/>
  <c r="G9" i="1"/>
  <c r="F9" i="1"/>
  <c r="Q8" i="1"/>
  <c r="P8" i="1"/>
  <c r="O8" i="1"/>
  <c r="N8" i="1"/>
  <c r="M8" i="1"/>
  <c r="L8" i="1"/>
  <c r="K8" i="1"/>
  <c r="J8" i="1"/>
  <c r="I8" i="1"/>
  <c r="H8" i="1"/>
  <c r="G8" i="1"/>
  <c r="F8" i="1"/>
  <c r="Q7" i="1"/>
  <c r="P7" i="1"/>
  <c r="O7" i="1"/>
  <c r="N7" i="1"/>
  <c r="M7" i="1"/>
  <c r="L7" i="1"/>
  <c r="K7" i="1"/>
  <c r="J7" i="1"/>
  <c r="I7" i="1"/>
  <c r="H7" i="1"/>
  <c r="G7" i="1"/>
  <c r="F7" i="1"/>
  <c r="Q6" i="1"/>
  <c r="P6" i="1"/>
  <c r="O6" i="1"/>
  <c r="N6" i="1"/>
  <c r="M6" i="1"/>
  <c r="L6" i="1"/>
  <c r="K6" i="1"/>
  <c r="J6" i="1"/>
  <c r="I6" i="1"/>
  <c r="H6" i="1"/>
  <c r="G6" i="1"/>
  <c r="F6" i="1"/>
  <c r="Q5" i="1"/>
  <c r="P5" i="1"/>
  <c r="O5" i="1"/>
  <c r="N5" i="1"/>
  <c r="M5" i="1"/>
  <c r="L5" i="1"/>
  <c r="K5" i="1"/>
  <c r="J5" i="1"/>
  <c r="I5" i="1"/>
  <c r="H5" i="1"/>
  <c r="G5" i="1"/>
  <c r="F5" i="1"/>
  <c r="Q4" i="1"/>
  <c r="P4" i="1"/>
  <c r="O4" i="1"/>
  <c r="N4" i="1"/>
  <c r="M4" i="1"/>
  <c r="L4" i="1"/>
  <c r="K4" i="1"/>
  <c r="J4" i="1"/>
  <c r="I4" i="1"/>
  <c r="H4" i="1"/>
  <c r="G4" i="1"/>
  <c r="F4" i="1"/>
  <c r="Q3" i="1"/>
  <c r="P3" i="1"/>
  <c r="O3" i="1"/>
  <c r="N3" i="1"/>
  <c r="M3" i="1"/>
  <c r="L3" i="1"/>
  <c r="K3" i="1"/>
  <c r="J3" i="1"/>
  <c r="I3" i="1"/>
  <c r="H3" i="1"/>
  <c r="G3" i="1"/>
  <c r="F3" i="1"/>
  <c r="Q2" i="1"/>
  <c r="P2" i="1"/>
  <c r="O2" i="1"/>
  <c r="N2" i="1"/>
  <c r="M2" i="1"/>
  <c r="K2" i="1"/>
  <c r="L2" i="1" s="1"/>
  <c r="J2" i="1"/>
  <c r="I2" i="1"/>
  <c r="H2" i="1"/>
  <c r="G2" i="1"/>
  <c r="F2" i="1"/>
</calcChain>
</file>

<file path=xl/sharedStrings.xml><?xml version="1.0" encoding="utf-8"?>
<sst xmlns="http://schemas.openxmlformats.org/spreadsheetml/2006/main" count="3017" uniqueCount="1935">
  <si>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</si>
  <si>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</si>
  <si>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</si>
  <si>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</si>
  <si>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</si>
  <si>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</si>
  <si>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</si>
  <si>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</si>
  <si>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</si>
  <si>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</si>
  <si>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</si>
  <si>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</si>
  <si>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</si>
  <si>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Month</t>
  </si>
  <si>
    <t>Year</t>
  </si>
  <si>
    <t>Day</t>
  </si>
  <si>
    <t>City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</si>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</sst>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Trebuchet MS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3" borderId="1" xfId="0" applyFill="1" applyBorder="1"/>
    <xf numFmtId="0" fontId="0" fillId="3" borderId="2" xfId="0" applyFill="1" applyBorder="1"/>
    <xf numFmtId="2" fontId="0" fillId="3" borderId="2" xfId="0" applyNumberFormat="1" applyFill="1" applyBorder="1"/>
    <xf numFmtId="164" fontId="0" fillId="3" borderId="2" xfId="0" applyNumberFormat="1" applyFill="1" applyBorder="1"/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0" fontId="2" fillId="0" borderId="3" xfId="0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3" xfId="0" applyBorder="1"/>
    <xf numFmtId="0" fontId="2" fillId="3" borderId="4" xfId="0" applyFont="1" applyFill="1" applyBorder="1" applyAlignment="1">
      <alignment vertical="center"/>
    </xf>
    <xf numFmtId="0" fontId="0" fillId="0" borderId="4" xfId="0" applyBorder="1"/>
    <xf numFmtId="2" fontId="0" fillId="0" borderId="4" xfId="0" applyNumberFormat="1" applyBorder="1"/>
    <xf numFmtId="164" fontId="0" fillId="3" borderId="4" xfId="0" applyNumberFormat="1" applyFill="1" applyBorder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164" formatCode="&quot;₹&quot;\ 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JAY\Downloads\Coffee%20Analysis%20Raw%20Data%20(1).xlsx" TargetMode="External"/><Relationship Id="rId1" Type="http://schemas.openxmlformats.org/officeDocument/2006/relationships/externalLinkPath" Target="file:///C:\Users\AJAY\Downloads\Coffee%20Analysis%20Raw%20Dat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5"/>
      <sheetName val="Table of Contents"/>
      <sheetName val="customers"/>
      <sheetName val="products"/>
      <sheetName val="Sheet1"/>
      <sheetName val="Sheet6"/>
      <sheetName val="Sheet2"/>
      <sheetName val="Sheet7"/>
      <sheetName val="Sheet9"/>
      <sheetName val="orders"/>
      <sheetName val="Sheet4"/>
    </sheetNames>
    <sheetDataSet>
      <sheetData sheetId="0"/>
      <sheetData sheetId="1"/>
      <sheetData sheetId="2">
        <row r="1">
          <cell r="A1" t="str">
            <v>Customer ID</v>
          </cell>
          <cell r="B1" t="str">
            <v>Customer Name</v>
          </cell>
          <cell r="C1" t="str">
            <v>Email</v>
          </cell>
          <cell r="D1" t="str">
            <v>Phone Number</v>
          </cell>
          <cell r="E1" t="str">
            <v>Address Line 1</v>
          </cell>
          <cell r="F1" t="str">
            <v>City</v>
          </cell>
          <cell r="G1" t="str">
            <v>Country</v>
          </cell>
          <cell r="H1" t="str">
            <v>Postcode</v>
          </cell>
          <cell r="I1" t="str">
            <v>Loyalty Card</v>
          </cell>
        </row>
        <row r="2">
          <cell r="A2" t="str">
            <v>17670-51384-MA</v>
          </cell>
          <cell r="B2" t="str">
            <v>Aloisia Allner</v>
          </cell>
          <cell r="C2" t="str">
            <v>aallner0@lulu.com</v>
          </cell>
          <cell r="D2" t="str">
            <v>+1 (862) 817-0124</v>
          </cell>
          <cell r="E2" t="str">
            <v>57999 Pepper Wood Alley</v>
          </cell>
          <cell r="F2" t="str">
            <v>Paterson</v>
          </cell>
          <cell r="G2" t="str">
            <v>United States</v>
          </cell>
          <cell r="H2">
            <v>7505</v>
          </cell>
          <cell r="I2" t="str">
            <v>Yes</v>
          </cell>
        </row>
        <row r="3">
          <cell r="A3" t="str">
            <v>73342-18763-UW</v>
          </cell>
          <cell r="B3" t="str">
            <v>Piotr Bote</v>
          </cell>
          <cell r="C3" t="str">
            <v>pbote1@yelp.com</v>
          </cell>
          <cell r="D3" t="str">
            <v>+353 (913) 396-4653</v>
          </cell>
          <cell r="E3" t="str">
            <v>2112 Ridgeway Hill</v>
          </cell>
          <cell r="F3" t="str">
            <v>Crumlin</v>
          </cell>
          <cell r="G3" t="str">
            <v>Ireland</v>
          </cell>
          <cell r="H3" t="str">
            <v>D6W</v>
          </cell>
          <cell r="I3" t="str">
            <v>No</v>
          </cell>
        </row>
        <row r="4">
          <cell r="A4" t="str">
            <v>21125-22134-PX</v>
          </cell>
          <cell r="B4" t="str">
            <v>Jami Redholes</v>
          </cell>
          <cell r="C4" t="str">
            <v>jredholes2@tmall.com</v>
          </cell>
          <cell r="D4" t="str">
            <v>+1 (210) 986-6806</v>
          </cell>
          <cell r="E4" t="str">
            <v>5214 Bartillon Park</v>
          </cell>
          <cell r="F4" t="str">
            <v>San Antonio</v>
          </cell>
          <cell r="G4" t="str">
            <v>United States</v>
          </cell>
          <cell r="H4">
            <v>78205</v>
          </cell>
          <cell r="I4" t="str">
            <v>Yes</v>
          </cell>
        </row>
        <row r="5">
          <cell r="A5" t="str">
            <v>71253-00052-RN</v>
          </cell>
          <cell r="B5" t="str">
            <v>Dene Azema</v>
          </cell>
          <cell r="C5" t="str">
            <v>dazema3@facebook.com</v>
          </cell>
          <cell r="D5" t="str">
            <v>+1 (217) 418-0714</v>
          </cell>
          <cell r="E5" t="str">
            <v>27 Maywood Place</v>
          </cell>
          <cell r="F5" t="str">
            <v>Springfield</v>
          </cell>
          <cell r="G5" t="str">
            <v>United States</v>
          </cell>
          <cell r="H5">
            <v>62711</v>
          </cell>
          <cell r="I5" t="str">
            <v>Yes</v>
          </cell>
        </row>
        <row r="6">
          <cell r="A6" t="str">
            <v>23806-46781-OU</v>
          </cell>
          <cell r="B6" t="str">
            <v>Christoffer O' Shea</v>
          </cell>
          <cell r="D6" t="str">
            <v>+353 (698) 362-9201</v>
          </cell>
          <cell r="E6" t="str">
            <v>38980 Manitowish Junction</v>
          </cell>
          <cell r="F6" t="str">
            <v>Cill Airne</v>
          </cell>
          <cell r="G6" t="str">
            <v>Ireland</v>
          </cell>
          <cell r="H6" t="str">
            <v>N41</v>
          </cell>
          <cell r="I6" t="str">
            <v>No</v>
          </cell>
        </row>
        <row r="7">
          <cell r="A7" t="str">
            <v>86561-91660-RB</v>
          </cell>
          <cell r="B7" t="str">
            <v>Beryle Cottier</v>
          </cell>
          <cell r="D7" t="str">
            <v>+1 (570) 289-7473</v>
          </cell>
          <cell r="E7" t="str">
            <v>2651 Stoughton Place</v>
          </cell>
          <cell r="F7" t="str">
            <v>Scranton</v>
          </cell>
          <cell r="G7" t="str">
            <v>United States</v>
          </cell>
          <cell r="H7">
            <v>18505</v>
          </cell>
          <cell r="I7" t="str">
            <v>No</v>
          </cell>
        </row>
        <row r="8">
          <cell r="A8" t="str">
            <v>65223-29612-CB</v>
          </cell>
          <cell r="B8" t="str">
            <v>Shaylynn Lobe</v>
          </cell>
          <cell r="C8" t="str">
            <v>slobe6@nifty.com</v>
          </cell>
          <cell r="D8" t="str">
            <v>+1 (937) 954-4541</v>
          </cell>
          <cell r="E8" t="str">
            <v>7005 Mariners Cove Place</v>
          </cell>
          <cell r="F8" t="str">
            <v>Dayton</v>
          </cell>
          <cell r="G8" t="str">
            <v>United States</v>
          </cell>
          <cell r="H8">
            <v>45440</v>
          </cell>
          <cell r="I8" t="str">
            <v>Yes</v>
          </cell>
        </row>
        <row r="9">
          <cell r="A9" t="str">
            <v>21134-81676-FR</v>
          </cell>
          <cell r="B9" t="str">
            <v>Melvin Wharfe</v>
          </cell>
          <cell r="D9" t="str">
            <v>+353 (507) 574-3034</v>
          </cell>
          <cell r="E9" t="str">
            <v>7 Straubel Road</v>
          </cell>
          <cell r="F9" t="str">
            <v>Kill</v>
          </cell>
          <cell r="G9" t="str">
            <v>Ireland</v>
          </cell>
          <cell r="H9" t="str">
            <v>P24</v>
          </cell>
          <cell r="I9" t="str">
            <v>Yes</v>
          </cell>
        </row>
        <row r="10">
          <cell r="A10" t="str">
            <v>03396-68805-ZC</v>
          </cell>
          <cell r="B10" t="str">
            <v>Guthrey Petracci</v>
          </cell>
          <cell r="C10" t="str">
            <v>gpetracci8@livejournal.com</v>
          </cell>
          <cell r="D10" t="str">
            <v>+1 (310) 868-1842</v>
          </cell>
          <cell r="E10" t="str">
            <v>949 Paget Parkway</v>
          </cell>
          <cell r="F10" t="str">
            <v>Los Angeles</v>
          </cell>
          <cell r="G10" t="str">
            <v>United States</v>
          </cell>
          <cell r="H10">
            <v>90045</v>
          </cell>
          <cell r="I10" t="str">
            <v>No</v>
          </cell>
        </row>
        <row r="11">
          <cell r="A11" t="str">
            <v>61021-27840-ZN</v>
          </cell>
          <cell r="B11" t="str">
            <v>Rodger Raven</v>
          </cell>
          <cell r="C11" t="str">
            <v>rraven9@ed.gov</v>
          </cell>
          <cell r="D11" t="str">
            <v>+1 (213) 263-0288</v>
          </cell>
          <cell r="E11" t="str">
            <v>1 Reinke Avenue</v>
          </cell>
          <cell r="F11" t="str">
            <v>Los Angeles</v>
          </cell>
          <cell r="G11" t="str">
            <v>United States</v>
          </cell>
          <cell r="H11">
            <v>90065</v>
          </cell>
          <cell r="I11" t="str">
            <v>No</v>
          </cell>
        </row>
        <row r="12">
          <cell r="A12" t="str">
            <v>76239-90137-UQ</v>
          </cell>
          <cell r="B12" t="str">
            <v>Ferrell Ferber</v>
          </cell>
          <cell r="C12" t="str">
            <v>fferbera@businesswire.com</v>
          </cell>
          <cell r="D12" t="str">
            <v>+1 (408) 383-5302</v>
          </cell>
          <cell r="E12" t="str">
            <v>68 High Crossing Court</v>
          </cell>
          <cell r="F12" t="str">
            <v>San Jose</v>
          </cell>
          <cell r="G12" t="str">
            <v>United States</v>
          </cell>
          <cell r="H12">
            <v>95160</v>
          </cell>
          <cell r="I12" t="str">
            <v>No</v>
          </cell>
        </row>
        <row r="13">
          <cell r="A13" t="str">
            <v>49315-21985-BB</v>
          </cell>
          <cell r="B13" t="str">
            <v>Duky Phizackerly</v>
          </cell>
          <cell r="C13" t="str">
            <v>dphizackerlyb@utexas.edu</v>
          </cell>
          <cell r="D13" t="str">
            <v>+1 (408) 533-6012</v>
          </cell>
          <cell r="E13" t="str">
            <v>28643 Bluejay Crossing</v>
          </cell>
          <cell r="F13" t="str">
            <v>San Jose</v>
          </cell>
          <cell r="G13" t="str">
            <v>United States</v>
          </cell>
          <cell r="H13">
            <v>95194</v>
          </cell>
          <cell r="I13" t="str">
            <v>Yes</v>
          </cell>
        </row>
        <row r="14">
          <cell r="A14" t="str">
            <v>34136-36674-OM</v>
          </cell>
          <cell r="B14" t="str">
            <v>Rosaleen Scholar</v>
          </cell>
          <cell r="C14" t="str">
            <v>rscholarc@nyu.edu</v>
          </cell>
          <cell r="D14" t="str">
            <v>+1 (804) 420-0420</v>
          </cell>
          <cell r="E14" t="str">
            <v>80915 Montana Park</v>
          </cell>
          <cell r="F14" t="str">
            <v>Richmond</v>
          </cell>
          <cell r="G14" t="str">
            <v>United States</v>
          </cell>
          <cell r="H14">
            <v>23285</v>
          </cell>
          <cell r="I14" t="str">
            <v>No</v>
          </cell>
        </row>
        <row r="15">
          <cell r="A15" t="str">
            <v>39396-12890-PE</v>
          </cell>
          <cell r="B15" t="str">
            <v>Terence Vanyutin</v>
          </cell>
          <cell r="C15" t="str">
            <v>tvanyutind@wix.com</v>
          </cell>
          <cell r="E15" t="str">
            <v>331 Bunting Hill</v>
          </cell>
          <cell r="F15" t="str">
            <v>Migrate</v>
          </cell>
          <cell r="G15" t="str">
            <v>United States</v>
          </cell>
          <cell r="H15">
            <v>41905</v>
          </cell>
          <cell r="I15" t="str">
            <v>No</v>
          </cell>
        </row>
        <row r="16">
          <cell r="A16" t="str">
            <v>95875-73336-RG</v>
          </cell>
          <cell r="B16" t="str">
            <v>Patrice Trobe</v>
          </cell>
          <cell r="C16" t="str">
            <v>ptrobee@wunderground.com</v>
          </cell>
          <cell r="D16" t="str">
            <v>+1 (314) 240-7896</v>
          </cell>
          <cell r="E16" t="str">
            <v>827 Declaration Plaza</v>
          </cell>
          <cell r="F16" t="str">
            <v>Saint Louis</v>
          </cell>
          <cell r="G16" t="str">
            <v>United States</v>
          </cell>
          <cell r="H16">
            <v>63131</v>
          </cell>
          <cell r="I16" t="str">
            <v>Yes</v>
          </cell>
        </row>
        <row r="17">
          <cell r="A17" t="str">
            <v>25473-43727-BY</v>
          </cell>
          <cell r="B17" t="str">
            <v>Llywellyn Oscroft</v>
          </cell>
          <cell r="C17" t="str">
            <v>loscroftf@ebay.co.uk</v>
          </cell>
          <cell r="E17" t="str">
            <v>022 Roth Place</v>
          </cell>
          <cell r="F17" t="str">
            <v>Philadelphia</v>
          </cell>
          <cell r="G17" t="str">
            <v>United States</v>
          </cell>
          <cell r="H17">
            <v>19172</v>
          </cell>
          <cell r="I17" t="str">
            <v>No</v>
          </cell>
        </row>
        <row r="18">
          <cell r="A18" t="str">
            <v>99643-51048-IQ</v>
          </cell>
          <cell r="B18" t="str">
            <v>Minni Alabaster</v>
          </cell>
          <cell r="C18" t="str">
            <v>malabasterg@hexun.com</v>
          </cell>
          <cell r="D18" t="str">
            <v>+1 (971) 483-6255</v>
          </cell>
          <cell r="E18" t="str">
            <v>3 Charing Cross Trail</v>
          </cell>
          <cell r="F18" t="str">
            <v>Portland</v>
          </cell>
          <cell r="G18" t="str">
            <v>United States</v>
          </cell>
          <cell r="H18">
            <v>97271</v>
          </cell>
          <cell r="I18" t="str">
            <v>No</v>
          </cell>
        </row>
        <row r="19">
          <cell r="A19" t="str">
            <v>62173-15287-CU</v>
          </cell>
          <cell r="B19" t="str">
            <v>Rhianon Broxup</v>
          </cell>
          <cell r="C19" t="str">
            <v>rbroxuph@jimdo.com</v>
          </cell>
          <cell r="D19" t="str">
            <v>+1 (713) 663-1338</v>
          </cell>
          <cell r="E19" t="str">
            <v>83517 Thierer Court</v>
          </cell>
          <cell r="F19" t="str">
            <v>Houston</v>
          </cell>
          <cell r="G19" t="str">
            <v>United States</v>
          </cell>
          <cell r="H19">
            <v>77240</v>
          </cell>
          <cell r="I19" t="str">
            <v>No</v>
          </cell>
        </row>
        <row r="20">
          <cell r="A20" t="str">
            <v>57611-05522-ST</v>
          </cell>
          <cell r="B20" t="str">
            <v>Pall Redford</v>
          </cell>
          <cell r="C20" t="str">
            <v>predfordi@ow.ly</v>
          </cell>
          <cell r="E20" t="str">
            <v>7337 Hayes Junction</v>
          </cell>
          <cell r="F20" t="str">
            <v>Caherconlish</v>
          </cell>
          <cell r="G20" t="str">
            <v>Ireland</v>
          </cell>
          <cell r="H20" t="str">
            <v>F45</v>
          </cell>
          <cell r="I20" t="str">
            <v>Yes</v>
          </cell>
        </row>
        <row r="21">
          <cell r="A21" t="str">
            <v>76664-37050-DT</v>
          </cell>
          <cell r="B21" t="str">
            <v>Aurea Corradino</v>
          </cell>
          <cell r="C21" t="str">
            <v>acorradinoj@harvard.edu</v>
          </cell>
          <cell r="D21" t="str">
            <v>+1 (646) 202-5965</v>
          </cell>
          <cell r="E21" t="str">
            <v>698 Canary Terrace</v>
          </cell>
          <cell r="F21" t="str">
            <v>New York City</v>
          </cell>
          <cell r="G21" t="str">
            <v>United States</v>
          </cell>
          <cell r="H21">
            <v>10060</v>
          </cell>
          <cell r="I21" t="str">
            <v>Yes</v>
          </cell>
        </row>
        <row r="22">
          <cell r="A22" t="str">
            <v>84565-53984-SX</v>
          </cell>
          <cell r="B22" t="str">
            <v>Kendal Scardefield</v>
          </cell>
          <cell r="D22" t="str">
            <v>+353 (733) 405-3302</v>
          </cell>
          <cell r="E22" t="str">
            <v>3 Northridge Crossing</v>
          </cell>
          <cell r="F22" t="str">
            <v>Clondalkin</v>
          </cell>
          <cell r="G22" t="str">
            <v>Ireland</v>
          </cell>
          <cell r="H22" t="str">
            <v>D24</v>
          </cell>
          <cell r="I22" t="str">
            <v>Yes</v>
          </cell>
        </row>
        <row r="23">
          <cell r="A23" t="str">
            <v>03090-88267-BQ</v>
          </cell>
          <cell r="B23" t="str">
            <v>Avrit Davidowsky</v>
          </cell>
          <cell r="C23" t="str">
            <v>adavidowskyl@netvibes.com</v>
          </cell>
          <cell r="D23" t="str">
            <v>+1 (616) 481-9962</v>
          </cell>
          <cell r="E23" t="str">
            <v>9 Warrior Junction</v>
          </cell>
          <cell r="F23" t="str">
            <v>Grand Rapids</v>
          </cell>
          <cell r="G23" t="str">
            <v>United States</v>
          </cell>
          <cell r="H23">
            <v>49560</v>
          </cell>
          <cell r="I23" t="str">
            <v>No</v>
          </cell>
        </row>
        <row r="24">
          <cell r="A24" t="str">
            <v>37651-47492-NC</v>
          </cell>
          <cell r="B24" t="str">
            <v>Annabel Antuk</v>
          </cell>
          <cell r="C24" t="str">
            <v>aantukm@kickstarter.com</v>
          </cell>
          <cell r="D24" t="str">
            <v>+1 (941) 740-6268</v>
          </cell>
          <cell r="E24" t="str">
            <v>77965 Lawn Park</v>
          </cell>
          <cell r="F24" t="str">
            <v>Punta Gorda</v>
          </cell>
          <cell r="G24" t="str">
            <v>United States</v>
          </cell>
          <cell r="H24">
            <v>33982</v>
          </cell>
          <cell r="I24" t="str">
            <v>Yes</v>
          </cell>
        </row>
        <row r="25">
          <cell r="A25" t="str">
            <v>95399-57205-HI</v>
          </cell>
          <cell r="B25" t="str">
            <v>Iorgo Kleinert</v>
          </cell>
          <cell r="C25" t="str">
            <v>ikleinertn@timesonline.co.uk</v>
          </cell>
          <cell r="D25" t="str">
            <v>+1 (360) 352-6598</v>
          </cell>
          <cell r="E25" t="str">
            <v>1 Morningstar Lane</v>
          </cell>
          <cell r="F25" t="str">
            <v>Vancouver</v>
          </cell>
          <cell r="G25" t="str">
            <v>United States</v>
          </cell>
          <cell r="H25">
            <v>98682</v>
          </cell>
          <cell r="I25" t="str">
            <v>Yes</v>
          </cell>
        </row>
        <row r="26">
          <cell r="A26" t="str">
            <v>24010-66714-HW</v>
          </cell>
          <cell r="B26" t="str">
            <v>Chrisy Blofeld</v>
          </cell>
          <cell r="C26" t="str">
            <v>cblofeldo@amazon.co.uk</v>
          </cell>
          <cell r="D26" t="str">
            <v>+1 (303) 936-3357</v>
          </cell>
          <cell r="E26" t="str">
            <v>013 Talisman Terrace</v>
          </cell>
          <cell r="F26" t="str">
            <v>Englewood</v>
          </cell>
          <cell r="G26" t="str">
            <v>United States</v>
          </cell>
          <cell r="H26">
            <v>80150</v>
          </cell>
          <cell r="I26" t="str">
            <v>No</v>
          </cell>
        </row>
        <row r="27">
          <cell r="A27" t="str">
            <v>07591-92789-UA</v>
          </cell>
          <cell r="B27" t="str">
            <v>Culley Farris</v>
          </cell>
          <cell r="D27" t="str">
            <v>+1 (941) 267-4822</v>
          </cell>
          <cell r="E27" t="str">
            <v>4 Mitchell Drive</v>
          </cell>
          <cell r="F27" t="str">
            <v>Punta Gorda</v>
          </cell>
          <cell r="G27" t="str">
            <v>United States</v>
          </cell>
          <cell r="H27">
            <v>33982</v>
          </cell>
          <cell r="I27" t="str">
            <v>Yes</v>
          </cell>
        </row>
        <row r="28">
          <cell r="A28" t="str">
            <v>49231-44455-IC</v>
          </cell>
          <cell r="B28" t="str">
            <v>Selene Shales</v>
          </cell>
          <cell r="C28" t="str">
            <v>sshalesq@umich.edu</v>
          </cell>
          <cell r="D28" t="str">
            <v>+1 (707) 881-5004</v>
          </cell>
          <cell r="E28" t="str">
            <v>74 Bultman Plaza</v>
          </cell>
          <cell r="F28" t="str">
            <v>Petaluma</v>
          </cell>
          <cell r="G28" t="str">
            <v>United States</v>
          </cell>
          <cell r="H28">
            <v>94975</v>
          </cell>
          <cell r="I28" t="str">
            <v>Yes</v>
          </cell>
        </row>
        <row r="29">
          <cell r="A29" t="str">
            <v>50124-88608-EO</v>
          </cell>
          <cell r="B29" t="str">
            <v>Vivie Danneil</v>
          </cell>
          <cell r="C29" t="str">
            <v>vdanneilr@mtv.com</v>
          </cell>
          <cell r="D29" t="str">
            <v>+353 (751) 346-0399</v>
          </cell>
          <cell r="E29" t="str">
            <v>5626 Darwin Avenue</v>
          </cell>
          <cell r="F29" t="str">
            <v>Tralee</v>
          </cell>
          <cell r="G29" t="str">
            <v>Ireland</v>
          </cell>
          <cell r="H29" t="str">
            <v>V92</v>
          </cell>
          <cell r="I29" t="str">
            <v>No</v>
          </cell>
        </row>
        <row r="30">
          <cell r="A30" t="str">
            <v>00888-74814-UZ</v>
          </cell>
          <cell r="B30" t="str">
            <v>Theresita Newbury</v>
          </cell>
          <cell r="C30" t="str">
            <v>tnewburys@usda.gov</v>
          </cell>
          <cell r="D30" t="str">
            <v>+353 (803) 587-0026</v>
          </cell>
          <cell r="E30" t="str">
            <v>79526 Bultman Lane</v>
          </cell>
          <cell r="F30" t="str">
            <v>Clonskeagh</v>
          </cell>
          <cell r="G30" t="str">
            <v>Ireland</v>
          </cell>
          <cell r="H30" t="str">
            <v>D04</v>
          </cell>
          <cell r="I30" t="str">
            <v>No</v>
          </cell>
        </row>
        <row r="31">
          <cell r="A31" t="str">
            <v>14158-30713-OB</v>
          </cell>
          <cell r="B31" t="str">
            <v>Mozelle Calcutt</v>
          </cell>
          <cell r="C31" t="str">
            <v>mcalcuttt@baidu.com</v>
          </cell>
          <cell r="D31" t="str">
            <v>+353 (928) 869-1762</v>
          </cell>
          <cell r="E31" t="str">
            <v>4389 Russell Way</v>
          </cell>
          <cell r="F31" t="str">
            <v>Rathwire</v>
          </cell>
          <cell r="G31" t="str">
            <v>Ireland</v>
          </cell>
          <cell r="H31" t="str">
            <v>Y25</v>
          </cell>
          <cell r="I31" t="str">
            <v>Yes</v>
          </cell>
        </row>
        <row r="32">
          <cell r="A32" t="str">
            <v>51427-89175-QJ</v>
          </cell>
          <cell r="B32" t="str">
            <v>Adrian Swaine</v>
          </cell>
          <cell r="D32" t="str">
            <v>+1 (303) 486-9517</v>
          </cell>
          <cell r="E32" t="str">
            <v>95 Straubel Hill</v>
          </cell>
          <cell r="F32" t="str">
            <v>Aurora</v>
          </cell>
          <cell r="G32" t="str">
            <v>United States</v>
          </cell>
          <cell r="H32">
            <v>80044</v>
          </cell>
          <cell r="I32" t="str">
            <v>No</v>
          </cell>
        </row>
        <row r="33">
          <cell r="A33" t="str">
            <v>52082-49024-ON</v>
          </cell>
          <cell r="B33" t="str">
            <v>Ray Leivesley</v>
          </cell>
          <cell r="C33" t="str">
            <v>rleivesleyv@canalblog.com</v>
          </cell>
          <cell r="D33" t="str">
            <v>+1 (212) 535-7791</v>
          </cell>
          <cell r="E33" t="str">
            <v>91 Stephen Drive</v>
          </cell>
          <cell r="F33" t="str">
            <v>Jamaica</v>
          </cell>
          <cell r="G33" t="str">
            <v>United States</v>
          </cell>
          <cell r="H33">
            <v>11407</v>
          </cell>
          <cell r="I33" t="str">
            <v>No</v>
          </cell>
        </row>
        <row r="34">
          <cell r="A34" t="str">
            <v>04540-43685-DV</v>
          </cell>
          <cell r="B34" t="str">
            <v>Nelly Basezzi</v>
          </cell>
          <cell r="C34" t="str">
            <v>nbasezziw@webeden.co.uk</v>
          </cell>
          <cell r="D34" t="str">
            <v>+353 (125) 815-7345</v>
          </cell>
          <cell r="E34" t="str">
            <v>923 Mallard Junction</v>
          </cell>
          <cell r="F34" t="str">
            <v>Bailieborough</v>
          </cell>
          <cell r="G34" t="str">
            <v>Ireland</v>
          </cell>
          <cell r="H34" t="str">
            <v>C15</v>
          </cell>
          <cell r="I34" t="str">
            <v>Yes</v>
          </cell>
        </row>
        <row r="35">
          <cell r="A35" t="str">
            <v>39123-12846-YJ</v>
          </cell>
          <cell r="B35" t="str">
            <v>Gallard Gatheral</v>
          </cell>
          <cell r="C35" t="str">
            <v>ggatheralx@123-reg.co.uk</v>
          </cell>
          <cell r="E35" t="str">
            <v>40 Clemons Place</v>
          </cell>
          <cell r="F35" t="str">
            <v>Grand Forks</v>
          </cell>
          <cell r="G35" t="str">
            <v>United States</v>
          </cell>
          <cell r="H35">
            <v>58207</v>
          </cell>
          <cell r="I35" t="str">
            <v>No</v>
          </cell>
        </row>
        <row r="36">
          <cell r="A36" t="str">
            <v>44981-99666-XB</v>
          </cell>
          <cell r="B36" t="str">
            <v>Una Welberry</v>
          </cell>
          <cell r="C36" t="str">
            <v>uwelberryy@ebay.co.uk</v>
          </cell>
          <cell r="D36" t="str">
            <v>+44 (392) 503-8132</v>
          </cell>
          <cell r="E36" t="str">
            <v>40915 Schlimgen Park</v>
          </cell>
          <cell r="F36" t="str">
            <v>Upton</v>
          </cell>
          <cell r="G36" t="str">
            <v>United Kingdom</v>
          </cell>
          <cell r="H36" t="str">
            <v>DN21</v>
          </cell>
          <cell r="I36" t="str">
            <v>Yes</v>
          </cell>
        </row>
        <row r="37">
          <cell r="A37" t="str">
            <v>24825-51803-CQ</v>
          </cell>
          <cell r="B37" t="str">
            <v>Faber Eilhart</v>
          </cell>
          <cell r="C37" t="str">
            <v>feilhartz@who.int</v>
          </cell>
          <cell r="D37" t="str">
            <v>+1 (304) 510-6095</v>
          </cell>
          <cell r="E37" t="str">
            <v>6966 Victoria Street</v>
          </cell>
          <cell r="F37" t="str">
            <v>Charleston</v>
          </cell>
          <cell r="G37" t="str">
            <v>United States</v>
          </cell>
          <cell r="H37">
            <v>25362</v>
          </cell>
          <cell r="I37" t="str">
            <v>No</v>
          </cell>
        </row>
        <row r="38">
          <cell r="A38" t="str">
            <v>77634-13918-GJ</v>
          </cell>
          <cell r="B38" t="str">
            <v>Zorina Ponting</v>
          </cell>
          <cell r="C38" t="str">
            <v>zponting10@altervista.org</v>
          </cell>
          <cell r="D38" t="str">
            <v>+1 (501) 172-1476</v>
          </cell>
          <cell r="E38" t="str">
            <v>7118 Holmberg Court</v>
          </cell>
          <cell r="F38" t="str">
            <v>Little Rock</v>
          </cell>
          <cell r="G38" t="str">
            <v>United States</v>
          </cell>
          <cell r="H38">
            <v>72204</v>
          </cell>
          <cell r="I38" t="str">
            <v>No</v>
          </cell>
        </row>
        <row r="39">
          <cell r="A39" t="str">
            <v>13694-25001-LX</v>
          </cell>
          <cell r="B39" t="str">
            <v>Silvio Strase</v>
          </cell>
          <cell r="C39" t="str">
            <v>sstrase11@booking.com</v>
          </cell>
          <cell r="D39" t="str">
            <v>+1 (303) 579-8015</v>
          </cell>
          <cell r="E39" t="str">
            <v>5 Forest Lane</v>
          </cell>
          <cell r="F39" t="str">
            <v>Denver</v>
          </cell>
          <cell r="G39" t="str">
            <v>United States</v>
          </cell>
          <cell r="H39">
            <v>80291</v>
          </cell>
          <cell r="I39" t="str">
            <v>No</v>
          </cell>
        </row>
        <row r="40">
          <cell r="A40" t="str">
            <v>08523-01791-TI</v>
          </cell>
          <cell r="B40" t="str">
            <v>Dorie de la Tremoille</v>
          </cell>
          <cell r="C40" t="str">
            <v>dde12@unesco.org</v>
          </cell>
          <cell r="D40" t="str">
            <v>+1 (612) 492-5160</v>
          </cell>
          <cell r="E40" t="str">
            <v>0817 Dennis Street</v>
          </cell>
          <cell r="F40" t="str">
            <v>Minneapolis</v>
          </cell>
          <cell r="G40" t="str">
            <v>United States</v>
          </cell>
          <cell r="H40">
            <v>55458</v>
          </cell>
          <cell r="I40" t="str">
            <v>No</v>
          </cell>
        </row>
        <row r="41">
          <cell r="A41" t="str">
            <v>49860-68865-AB</v>
          </cell>
          <cell r="B41" t="str">
            <v>Hy Zanetto</v>
          </cell>
          <cell r="E41" t="str">
            <v>469 Paget Place</v>
          </cell>
          <cell r="F41" t="str">
            <v>Tucson</v>
          </cell>
          <cell r="G41" t="str">
            <v>United States</v>
          </cell>
          <cell r="H41">
            <v>85715</v>
          </cell>
          <cell r="I41" t="str">
            <v>Yes</v>
          </cell>
        </row>
        <row r="42">
          <cell r="A42" t="str">
            <v>21240-83132-SP</v>
          </cell>
          <cell r="B42" t="str">
            <v>Jessica McNess</v>
          </cell>
          <cell r="D42" t="str">
            <v>+1 (504) 545-1478</v>
          </cell>
          <cell r="E42" t="str">
            <v>664 Erie Place</v>
          </cell>
          <cell r="F42" t="str">
            <v>New Orleans</v>
          </cell>
          <cell r="G42" t="str">
            <v>United States</v>
          </cell>
          <cell r="H42">
            <v>70116</v>
          </cell>
          <cell r="I42" t="str">
            <v>No</v>
          </cell>
        </row>
        <row r="43">
          <cell r="A43" t="str">
            <v>08350-81623-TF</v>
          </cell>
          <cell r="B43" t="str">
            <v>Lorenzo Yeoland</v>
          </cell>
          <cell r="C43" t="str">
            <v>lyeoland15@pbs.org</v>
          </cell>
          <cell r="D43" t="str">
            <v>+1 (860) 576-2887</v>
          </cell>
          <cell r="E43" t="str">
            <v>8510 Merrick Road</v>
          </cell>
          <cell r="F43" t="str">
            <v>Hartford</v>
          </cell>
          <cell r="G43" t="str">
            <v>United States</v>
          </cell>
          <cell r="H43">
            <v>6183</v>
          </cell>
          <cell r="I43" t="str">
            <v>Yes</v>
          </cell>
        </row>
        <row r="44">
          <cell r="A44" t="str">
            <v>73284-01385-SJ</v>
          </cell>
          <cell r="B44" t="str">
            <v>Abigail Tolworthy</v>
          </cell>
          <cell r="C44" t="str">
            <v>atolworthy16@toplist.cz</v>
          </cell>
          <cell r="D44" t="str">
            <v>+1 (801) 722-4425</v>
          </cell>
          <cell r="E44" t="str">
            <v>74 Shopko Way</v>
          </cell>
          <cell r="F44" t="str">
            <v>Ogden</v>
          </cell>
          <cell r="G44" t="str">
            <v>United States</v>
          </cell>
          <cell r="H44">
            <v>84409</v>
          </cell>
          <cell r="I44" t="str">
            <v>Yes</v>
          </cell>
        </row>
        <row r="45">
          <cell r="A45" t="str">
            <v>04152-34436-IE</v>
          </cell>
          <cell r="B45" t="str">
            <v>Maurie Bartol</v>
          </cell>
          <cell r="D45" t="str">
            <v>+1 (617) 493-7594</v>
          </cell>
          <cell r="E45" t="str">
            <v>7625 Starling Court</v>
          </cell>
          <cell r="F45" t="str">
            <v>Boston</v>
          </cell>
          <cell r="G45" t="str">
            <v>United States</v>
          </cell>
          <cell r="H45">
            <v>2216</v>
          </cell>
          <cell r="I45" t="str">
            <v>No</v>
          </cell>
        </row>
        <row r="46">
          <cell r="A46" t="str">
            <v>06631-86965-XP</v>
          </cell>
          <cell r="B46" t="str">
            <v>Olag Baudassi</v>
          </cell>
          <cell r="C46" t="str">
            <v>obaudassi18@seesaa.net</v>
          </cell>
          <cell r="D46" t="str">
            <v>+1 (585) 356-6251</v>
          </cell>
          <cell r="E46" t="str">
            <v>55 Dottie Court</v>
          </cell>
          <cell r="F46" t="str">
            <v>Rochester</v>
          </cell>
          <cell r="G46" t="str">
            <v>United States</v>
          </cell>
          <cell r="H46">
            <v>14604</v>
          </cell>
          <cell r="I46" t="str">
            <v>Yes</v>
          </cell>
        </row>
        <row r="47">
          <cell r="A47" t="str">
            <v>54619-08558-ZU</v>
          </cell>
          <cell r="B47" t="str">
            <v>Petey Kingsbury</v>
          </cell>
          <cell r="C47" t="str">
            <v>pkingsbury19@comcast.net</v>
          </cell>
          <cell r="D47" t="str">
            <v>+1 (917) 705-8224</v>
          </cell>
          <cell r="E47" t="str">
            <v>28 Loftsgordon Place</v>
          </cell>
          <cell r="F47" t="str">
            <v>Bronx</v>
          </cell>
          <cell r="G47" t="str">
            <v>United States</v>
          </cell>
          <cell r="H47">
            <v>10469</v>
          </cell>
          <cell r="I47" t="str">
            <v>No</v>
          </cell>
        </row>
        <row r="48">
          <cell r="A48" t="str">
            <v>85589-17020-CX</v>
          </cell>
          <cell r="B48" t="str">
            <v>Donna Baskeyfied</v>
          </cell>
          <cell r="D48" t="str">
            <v>+1 (205) 923-1460</v>
          </cell>
          <cell r="E48" t="str">
            <v>7586 Logan Avenue</v>
          </cell>
          <cell r="F48" t="str">
            <v>Birmingham</v>
          </cell>
          <cell r="G48" t="str">
            <v>United States</v>
          </cell>
          <cell r="H48">
            <v>35205</v>
          </cell>
          <cell r="I48" t="str">
            <v>Yes</v>
          </cell>
        </row>
        <row r="49">
          <cell r="A49" t="str">
            <v>36078-91009-WU</v>
          </cell>
          <cell r="B49" t="str">
            <v>Arda Curley</v>
          </cell>
          <cell r="C49" t="str">
            <v>acurley1b@hao123.com</v>
          </cell>
          <cell r="D49" t="str">
            <v>+1 (760) 840-3808</v>
          </cell>
          <cell r="E49" t="str">
            <v>45098 Scott Drive</v>
          </cell>
          <cell r="F49" t="str">
            <v>San Bernardino</v>
          </cell>
          <cell r="G49" t="str">
            <v>United States</v>
          </cell>
          <cell r="H49">
            <v>92415</v>
          </cell>
          <cell r="I49" t="str">
            <v>Yes</v>
          </cell>
        </row>
        <row r="50">
          <cell r="A50" t="str">
            <v>15770-27099-GX</v>
          </cell>
          <cell r="B50" t="str">
            <v>Raynor McGilvary</v>
          </cell>
          <cell r="C50" t="str">
            <v>rmcgilvary1c@tamu.edu</v>
          </cell>
          <cell r="E50" t="str">
            <v>496 Rockefeller Court</v>
          </cell>
          <cell r="F50" t="str">
            <v>Norfolk</v>
          </cell>
          <cell r="G50" t="str">
            <v>United States</v>
          </cell>
          <cell r="H50">
            <v>23514</v>
          </cell>
          <cell r="I50" t="str">
            <v>No</v>
          </cell>
        </row>
        <row r="51">
          <cell r="A51" t="str">
            <v>91460-04823-BX</v>
          </cell>
          <cell r="B51" t="str">
            <v>Isis Pikett</v>
          </cell>
          <cell r="C51" t="str">
            <v>ipikett1d@xinhuanet.com</v>
          </cell>
          <cell r="D51" t="str">
            <v>+1 (202) 871-9039</v>
          </cell>
          <cell r="E51" t="str">
            <v>5892 Hauk Drive</v>
          </cell>
          <cell r="F51" t="str">
            <v>Washington</v>
          </cell>
          <cell r="G51" t="str">
            <v>United States</v>
          </cell>
          <cell r="H51">
            <v>20409</v>
          </cell>
          <cell r="I51" t="str">
            <v>No</v>
          </cell>
        </row>
        <row r="52">
          <cell r="A52" t="str">
            <v>45089-52817-WN</v>
          </cell>
          <cell r="B52" t="str">
            <v>Inger Bouldon</v>
          </cell>
          <cell r="C52" t="str">
            <v>ibouldon1e@gizmodo.com</v>
          </cell>
          <cell r="D52" t="str">
            <v>+1 (754) 391-4736</v>
          </cell>
          <cell r="E52" t="str">
            <v>925 Barby Circle</v>
          </cell>
          <cell r="F52" t="str">
            <v>Fort Lauderdale</v>
          </cell>
          <cell r="G52" t="str">
            <v>United States</v>
          </cell>
          <cell r="H52">
            <v>33355</v>
          </cell>
          <cell r="I52" t="str">
            <v>No</v>
          </cell>
        </row>
        <row r="53">
          <cell r="A53" t="str">
            <v>76447-50326-IC</v>
          </cell>
          <cell r="B53" t="str">
            <v>Karry Flanders</v>
          </cell>
          <cell r="C53" t="str">
            <v>kflanders1f@over-blog.com</v>
          </cell>
          <cell r="D53" t="str">
            <v>+353 (467) 720-7274</v>
          </cell>
          <cell r="E53" t="str">
            <v>88 Blue Bill Park Avenue</v>
          </cell>
          <cell r="F53" t="str">
            <v>Crumlin</v>
          </cell>
          <cell r="G53" t="str">
            <v>Ireland</v>
          </cell>
          <cell r="H53" t="str">
            <v>D6W</v>
          </cell>
          <cell r="I53" t="str">
            <v>Yes</v>
          </cell>
        </row>
        <row r="54">
          <cell r="A54" t="str">
            <v>26333-67911-OL</v>
          </cell>
          <cell r="B54" t="str">
            <v>Hartley Mattioli</v>
          </cell>
          <cell r="C54" t="str">
            <v>hmattioli1g@webmd.com</v>
          </cell>
          <cell r="E54" t="str">
            <v>126 Valley Edge Street</v>
          </cell>
          <cell r="F54" t="str">
            <v>Kinloch</v>
          </cell>
          <cell r="G54" t="str">
            <v>United Kingdom</v>
          </cell>
          <cell r="H54" t="str">
            <v>PH43</v>
          </cell>
          <cell r="I54" t="str">
            <v>No</v>
          </cell>
        </row>
        <row r="55">
          <cell r="A55" t="str">
            <v>40768-49176-BL</v>
          </cell>
          <cell r="B55" t="str">
            <v>Horatio Rubberts</v>
          </cell>
          <cell r="C55" t="str">
            <v>hrubberts1h@google.com.hk</v>
          </cell>
          <cell r="D55" t="str">
            <v>+1 (801) 635-8791</v>
          </cell>
          <cell r="E55" t="str">
            <v>459 Russell Center</v>
          </cell>
          <cell r="F55" t="str">
            <v>Provo</v>
          </cell>
          <cell r="G55" t="str">
            <v>United States</v>
          </cell>
          <cell r="H55">
            <v>84605</v>
          </cell>
          <cell r="I55" t="str">
            <v>No</v>
          </cell>
        </row>
        <row r="56">
          <cell r="A56" t="str">
            <v>22107-86640-SB</v>
          </cell>
          <cell r="B56" t="str">
            <v>Archambault Gillard</v>
          </cell>
          <cell r="C56" t="str">
            <v>agillard1i@issuu.com</v>
          </cell>
          <cell r="D56" t="str">
            <v>+1 (419) 663-2236</v>
          </cell>
          <cell r="E56" t="str">
            <v>97490 Susan Avenue</v>
          </cell>
          <cell r="F56" t="str">
            <v>Toledo</v>
          </cell>
          <cell r="G56" t="str">
            <v>United States</v>
          </cell>
          <cell r="H56">
            <v>43666</v>
          </cell>
          <cell r="I56" t="str">
            <v>No</v>
          </cell>
        </row>
        <row r="57">
          <cell r="A57" t="str">
            <v>09960-34242-LZ</v>
          </cell>
          <cell r="B57" t="str">
            <v>Salomo Cushworth</v>
          </cell>
          <cell r="D57" t="str">
            <v>+1 (609) 409-7044</v>
          </cell>
          <cell r="E57" t="str">
            <v>44 Oneill Parkway</v>
          </cell>
          <cell r="F57" t="str">
            <v>Trenton</v>
          </cell>
          <cell r="G57" t="str">
            <v>United States</v>
          </cell>
          <cell r="H57">
            <v>8650</v>
          </cell>
          <cell r="I57" t="str">
            <v>No</v>
          </cell>
        </row>
        <row r="58">
          <cell r="A58" t="str">
            <v>04671-85591-RT</v>
          </cell>
          <cell r="B58" t="str">
            <v>Theda Grizard</v>
          </cell>
          <cell r="C58" t="str">
            <v>tgrizard1k@odnoklassniki.ru</v>
          </cell>
          <cell r="D58" t="str">
            <v>+1 (813) 243-2150</v>
          </cell>
          <cell r="E58" t="str">
            <v>6 Knutson Pass</v>
          </cell>
          <cell r="F58" t="str">
            <v>Tampa</v>
          </cell>
          <cell r="G58" t="str">
            <v>United States</v>
          </cell>
          <cell r="H58">
            <v>33686</v>
          </cell>
          <cell r="I58" t="str">
            <v>Yes</v>
          </cell>
        </row>
        <row r="59">
          <cell r="A59" t="str">
            <v>25729-68859-UA</v>
          </cell>
          <cell r="B59" t="str">
            <v>Rozele Relton</v>
          </cell>
          <cell r="C59" t="str">
            <v>rrelton1l@stanford.edu</v>
          </cell>
          <cell r="D59" t="str">
            <v>+1 (850) 626-1181</v>
          </cell>
          <cell r="E59" t="str">
            <v>2484 Reindahl Court</v>
          </cell>
          <cell r="F59" t="str">
            <v>Pensacola</v>
          </cell>
          <cell r="G59" t="str">
            <v>United States</v>
          </cell>
          <cell r="H59">
            <v>32590</v>
          </cell>
          <cell r="I59" t="str">
            <v>No</v>
          </cell>
        </row>
        <row r="60">
          <cell r="A60" t="str">
            <v>05501-86351-NX</v>
          </cell>
          <cell r="B60" t="str">
            <v>Willa Rolling</v>
          </cell>
          <cell r="D60" t="str">
            <v>+1 (813) 759-3534</v>
          </cell>
          <cell r="E60" t="str">
            <v>3 Mockingbird Plaza</v>
          </cell>
          <cell r="F60" t="str">
            <v>Zephyrhills</v>
          </cell>
          <cell r="G60" t="str">
            <v>United States</v>
          </cell>
          <cell r="H60">
            <v>33543</v>
          </cell>
          <cell r="I60" t="str">
            <v>Yes</v>
          </cell>
        </row>
        <row r="61">
          <cell r="A61" t="str">
            <v>04521-04300-OK</v>
          </cell>
          <cell r="B61" t="str">
            <v>Stanislaus Gilroy</v>
          </cell>
          <cell r="C61" t="str">
            <v>sgilroy1n@eepurl.com</v>
          </cell>
          <cell r="E61" t="str">
            <v>9120 Harbort Terrace</v>
          </cell>
          <cell r="F61" t="str">
            <v>Saint Paul</v>
          </cell>
          <cell r="G61" t="str">
            <v>United States</v>
          </cell>
          <cell r="H61">
            <v>55123</v>
          </cell>
          <cell r="I61" t="str">
            <v>Yes</v>
          </cell>
        </row>
        <row r="62">
          <cell r="A62" t="str">
            <v>58689-55264-VK</v>
          </cell>
          <cell r="B62" t="str">
            <v>Correy Cottingham</v>
          </cell>
          <cell r="C62" t="str">
            <v>ccottingham1o@wikipedia.org</v>
          </cell>
          <cell r="D62" t="str">
            <v>+1 (260) 764-1820</v>
          </cell>
          <cell r="E62" t="str">
            <v>394 Logan Road</v>
          </cell>
          <cell r="F62" t="str">
            <v>Fort Wayne</v>
          </cell>
          <cell r="G62" t="str">
            <v>United States</v>
          </cell>
          <cell r="H62">
            <v>46862</v>
          </cell>
          <cell r="I62" t="str">
            <v>No</v>
          </cell>
        </row>
        <row r="63">
          <cell r="A63" t="str">
            <v>79436-73011-MM</v>
          </cell>
          <cell r="B63" t="str">
            <v>Pammi Endacott</v>
          </cell>
          <cell r="D63" t="str">
            <v>+44 (177) 260-5076</v>
          </cell>
          <cell r="E63" t="str">
            <v>5841 Atwood Lane</v>
          </cell>
          <cell r="F63" t="str">
            <v>Wootton</v>
          </cell>
          <cell r="G63" t="str">
            <v>United Kingdom</v>
          </cell>
          <cell r="H63" t="str">
            <v>NN4</v>
          </cell>
          <cell r="I63" t="str">
            <v>Yes</v>
          </cell>
        </row>
        <row r="64">
          <cell r="A64" t="str">
            <v>65552-60476-KY</v>
          </cell>
          <cell r="B64" t="str">
            <v>Nona Linklater</v>
          </cell>
          <cell r="D64" t="str">
            <v>+1 (239) 347-9766</v>
          </cell>
          <cell r="E64" t="str">
            <v>856 Bonner Parkway</v>
          </cell>
          <cell r="F64" t="str">
            <v>Naples</v>
          </cell>
          <cell r="G64" t="str">
            <v>United States</v>
          </cell>
          <cell r="H64">
            <v>34114</v>
          </cell>
          <cell r="I64" t="str">
            <v>Yes</v>
          </cell>
        </row>
        <row r="65">
          <cell r="A65" t="str">
            <v>69904-02729-YS</v>
          </cell>
          <cell r="B65" t="str">
            <v>Annadiane Dykes</v>
          </cell>
          <cell r="C65" t="str">
            <v>adykes1r@eventbrite.com</v>
          </cell>
          <cell r="D65" t="str">
            <v>+1 (312) 111-6203</v>
          </cell>
          <cell r="E65" t="str">
            <v>31 Northport Terrace</v>
          </cell>
          <cell r="F65" t="str">
            <v>Chicago</v>
          </cell>
          <cell r="G65" t="str">
            <v>United States</v>
          </cell>
          <cell r="H65">
            <v>60681</v>
          </cell>
          <cell r="I65" t="str">
            <v>No</v>
          </cell>
        </row>
        <row r="66">
          <cell r="A66" t="str">
            <v>01433-04270-AX</v>
          </cell>
          <cell r="B66" t="str">
            <v>Felecia Dodgson</v>
          </cell>
          <cell r="D66" t="str">
            <v>+1 (973) 434-8662</v>
          </cell>
          <cell r="E66" t="str">
            <v>48053 8th Crossing</v>
          </cell>
          <cell r="F66" t="str">
            <v>Newark</v>
          </cell>
          <cell r="G66" t="str">
            <v>United States</v>
          </cell>
          <cell r="H66">
            <v>7104</v>
          </cell>
          <cell r="I66" t="str">
            <v>Yes</v>
          </cell>
        </row>
        <row r="67">
          <cell r="A67" t="str">
            <v>14204-14186-LA</v>
          </cell>
          <cell r="B67" t="str">
            <v>Angelia Cockrem</v>
          </cell>
          <cell r="C67" t="str">
            <v>acockrem1t@engadget.com</v>
          </cell>
          <cell r="D67" t="str">
            <v>+1 (571) 316-8217</v>
          </cell>
          <cell r="E67" t="str">
            <v>1 Sherman Alley</v>
          </cell>
          <cell r="F67" t="str">
            <v>Vienna</v>
          </cell>
          <cell r="G67" t="str">
            <v>United States</v>
          </cell>
          <cell r="H67">
            <v>22184</v>
          </cell>
          <cell r="I67" t="str">
            <v>Yes</v>
          </cell>
        </row>
        <row r="68">
          <cell r="A68" t="str">
            <v>32948-34398-HC</v>
          </cell>
          <cell r="B68" t="str">
            <v>Belvia Umpleby</v>
          </cell>
          <cell r="C68" t="str">
            <v>bumpleby1u@soundcloud.com</v>
          </cell>
          <cell r="D68" t="str">
            <v>+1 (682) 627-0888</v>
          </cell>
          <cell r="E68" t="str">
            <v>710 Prairie Rose Terrace</v>
          </cell>
          <cell r="F68" t="str">
            <v>Fort Worth</v>
          </cell>
          <cell r="G68" t="str">
            <v>United States</v>
          </cell>
          <cell r="H68">
            <v>76178</v>
          </cell>
          <cell r="I68" t="str">
            <v>Yes</v>
          </cell>
        </row>
        <row r="69">
          <cell r="A69" t="str">
            <v>77343-52608-FF</v>
          </cell>
          <cell r="B69" t="str">
            <v>Nat Saleway</v>
          </cell>
          <cell r="C69" t="str">
            <v>nsaleway1v@dedecms.com</v>
          </cell>
          <cell r="D69" t="str">
            <v>+1 (323) 473-0294</v>
          </cell>
          <cell r="E69" t="str">
            <v>0780 Anthes Plaza</v>
          </cell>
          <cell r="F69" t="str">
            <v>Burbank</v>
          </cell>
          <cell r="G69" t="str">
            <v>United States</v>
          </cell>
          <cell r="H69">
            <v>91505</v>
          </cell>
          <cell r="I69" t="str">
            <v>No</v>
          </cell>
        </row>
        <row r="70">
          <cell r="A70" t="str">
            <v>42770-36274-QA</v>
          </cell>
          <cell r="B70" t="str">
            <v>Hayward Goulter</v>
          </cell>
          <cell r="C70" t="str">
            <v>hgoulter1w@abc.net.au</v>
          </cell>
          <cell r="D70" t="str">
            <v>+1 (423) 764-7751</v>
          </cell>
          <cell r="E70" t="str">
            <v>2081 Mariners Cove Drive</v>
          </cell>
          <cell r="F70" t="str">
            <v>Kingsport</v>
          </cell>
          <cell r="G70" t="str">
            <v>United States</v>
          </cell>
          <cell r="H70">
            <v>37665</v>
          </cell>
          <cell r="I70" t="str">
            <v>No</v>
          </cell>
        </row>
        <row r="71">
          <cell r="A71" t="str">
            <v>14103-58987-ZU</v>
          </cell>
          <cell r="B71" t="str">
            <v>Gay Rizzello</v>
          </cell>
          <cell r="C71" t="str">
            <v>grizzello1x@symantec.com</v>
          </cell>
          <cell r="D71" t="str">
            <v>+44 (247) 225-8003</v>
          </cell>
          <cell r="E71" t="str">
            <v>21 Schmedeman Crossing</v>
          </cell>
          <cell r="F71" t="str">
            <v>Liverpool</v>
          </cell>
          <cell r="G71" t="str">
            <v>United Kingdom</v>
          </cell>
          <cell r="H71" t="str">
            <v>L33</v>
          </cell>
          <cell r="I71" t="str">
            <v>Yes</v>
          </cell>
        </row>
        <row r="72">
          <cell r="A72" t="str">
            <v>69958-32065-SW</v>
          </cell>
          <cell r="B72" t="str">
            <v>Shannon List</v>
          </cell>
          <cell r="C72" t="str">
            <v>slist1y@mapquest.com</v>
          </cell>
          <cell r="D72" t="str">
            <v>+1 (614) 279-9816</v>
          </cell>
          <cell r="E72" t="str">
            <v>7123 Algoma Center</v>
          </cell>
          <cell r="F72" t="str">
            <v>Columbus</v>
          </cell>
          <cell r="G72" t="str">
            <v>United States</v>
          </cell>
          <cell r="H72">
            <v>43231</v>
          </cell>
          <cell r="I72" t="str">
            <v>No</v>
          </cell>
        </row>
        <row r="73">
          <cell r="A73" t="str">
            <v>69533-84907-FA</v>
          </cell>
          <cell r="B73" t="str">
            <v>Shirlene Edmondson</v>
          </cell>
          <cell r="C73" t="str">
            <v>sedmondson1z@theguardian.com</v>
          </cell>
          <cell r="D73" t="str">
            <v>+353 (248) 428-7978</v>
          </cell>
          <cell r="E73" t="str">
            <v>4752 International Point</v>
          </cell>
          <cell r="F73" t="str">
            <v>Newmarket on Fergus</v>
          </cell>
          <cell r="G73" t="str">
            <v>Ireland</v>
          </cell>
          <cell r="H73" t="str">
            <v>P17</v>
          </cell>
          <cell r="I73" t="str">
            <v>No</v>
          </cell>
        </row>
        <row r="74">
          <cell r="A74" t="str">
            <v>76005-95461-CI</v>
          </cell>
          <cell r="B74" t="str">
            <v>Aurlie McCarl</v>
          </cell>
          <cell r="D74" t="str">
            <v>+1 (504) 209-2724</v>
          </cell>
          <cell r="E74" t="str">
            <v>731 David Park</v>
          </cell>
          <cell r="F74" t="str">
            <v>New Orleans</v>
          </cell>
          <cell r="G74" t="str">
            <v>United States</v>
          </cell>
          <cell r="H74">
            <v>70183</v>
          </cell>
          <cell r="I74" t="str">
            <v>No</v>
          </cell>
        </row>
        <row r="75">
          <cell r="A75" t="str">
            <v>15395-90855-VB</v>
          </cell>
          <cell r="B75" t="str">
            <v>Alikee Carryer</v>
          </cell>
          <cell r="D75" t="str">
            <v>+1 (704) 799-5219</v>
          </cell>
          <cell r="E75" t="str">
            <v>247 Helena Drive</v>
          </cell>
          <cell r="F75" t="str">
            <v>Charlotte</v>
          </cell>
          <cell r="G75" t="str">
            <v>United States</v>
          </cell>
          <cell r="H75">
            <v>28230</v>
          </cell>
          <cell r="I75" t="str">
            <v>Yes</v>
          </cell>
        </row>
        <row r="76">
          <cell r="A76" t="str">
            <v>80640-45811-LB</v>
          </cell>
          <cell r="B76" t="str">
            <v>Jennifer Rangall</v>
          </cell>
          <cell r="C76" t="str">
            <v>jrangall22@newsvine.com</v>
          </cell>
          <cell r="D76" t="str">
            <v>+1 (781) 512-6637</v>
          </cell>
          <cell r="E76" t="str">
            <v>0 Grasskamp Lane</v>
          </cell>
          <cell r="F76" t="str">
            <v>Springfield</v>
          </cell>
          <cell r="G76" t="str">
            <v>United States</v>
          </cell>
          <cell r="H76">
            <v>1114</v>
          </cell>
          <cell r="I76" t="str">
            <v>Yes</v>
          </cell>
        </row>
        <row r="77">
          <cell r="A77" t="str">
            <v>28476-04082-GR</v>
          </cell>
          <cell r="B77" t="str">
            <v>Kipper Boorn</v>
          </cell>
          <cell r="C77" t="str">
            <v>kboorn23@ezinearticles.com</v>
          </cell>
          <cell r="D77" t="str">
            <v>+353 (359) 134-1550</v>
          </cell>
          <cell r="E77" t="str">
            <v>9513 Meadow Ridge Parkway</v>
          </cell>
          <cell r="F77" t="str">
            <v>Listowel</v>
          </cell>
          <cell r="G77" t="str">
            <v>Ireland</v>
          </cell>
          <cell r="H77" t="str">
            <v>V31</v>
          </cell>
          <cell r="I77" t="str">
            <v>Yes</v>
          </cell>
        </row>
        <row r="78">
          <cell r="A78" t="str">
            <v>12018-75670-EU</v>
          </cell>
          <cell r="B78" t="str">
            <v>Melania Beadle</v>
          </cell>
          <cell r="D78" t="str">
            <v>+353 (569) 458-9673</v>
          </cell>
          <cell r="E78" t="str">
            <v>4418 Quincy Terrace</v>
          </cell>
          <cell r="F78" t="str">
            <v>Moycullen</v>
          </cell>
          <cell r="G78" t="str">
            <v>Ireland</v>
          </cell>
          <cell r="H78" t="str">
            <v>A41</v>
          </cell>
          <cell r="I78" t="str">
            <v>Yes</v>
          </cell>
        </row>
        <row r="79">
          <cell r="A79" t="str">
            <v>86437-17399-FK</v>
          </cell>
          <cell r="B79" t="str">
            <v>Colene Elgey</v>
          </cell>
          <cell r="C79" t="str">
            <v>celgey25@webs.com</v>
          </cell>
          <cell r="D79" t="str">
            <v>+1 (432) 261-0702</v>
          </cell>
          <cell r="E79" t="str">
            <v>45 Marcy Crossing</v>
          </cell>
          <cell r="F79" t="str">
            <v>Midland</v>
          </cell>
          <cell r="G79" t="str">
            <v>United States</v>
          </cell>
          <cell r="H79">
            <v>79705</v>
          </cell>
          <cell r="I79" t="str">
            <v>No</v>
          </cell>
        </row>
        <row r="80">
          <cell r="A80" t="str">
            <v>62979-53167-ML</v>
          </cell>
          <cell r="B80" t="str">
            <v>Lothaire Mizzi</v>
          </cell>
          <cell r="C80" t="str">
            <v>lmizzi26@rakuten.co.jp</v>
          </cell>
          <cell r="D80" t="str">
            <v>+1 (214) 719-8530</v>
          </cell>
          <cell r="E80" t="str">
            <v>74 Atwood Lane</v>
          </cell>
          <cell r="F80" t="str">
            <v>Dallas</v>
          </cell>
          <cell r="G80" t="str">
            <v>United States</v>
          </cell>
          <cell r="H80">
            <v>75323</v>
          </cell>
          <cell r="I80" t="str">
            <v>Yes</v>
          </cell>
        </row>
        <row r="81">
          <cell r="A81" t="str">
            <v>54810-81899-HL</v>
          </cell>
          <cell r="B81" t="str">
            <v>Cletis Giacomazzo</v>
          </cell>
          <cell r="C81" t="str">
            <v>cgiacomazzo27@jigsy.com</v>
          </cell>
          <cell r="D81" t="str">
            <v>+1 (571) 703-2064</v>
          </cell>
          <cell r="E81" t="str">
            <v>817 Ridgeway Hill</v>
          </cell>
          <cell r="F81" t="str">
            <v>Dulles</v>
          </cell>
          <cell r="G81" t="str">
            <v>United States</v>
          </cell>
          <cell r="H81">
            <v>20189</v>
          </cell>
          <cell r="I81" t="str">
            <v>No</v>
          </cell>
        </row>
        <row r="82">
          <cell r="A82" t="str">
            <v>26103-41504-IB</v>
          </cell>
          <cell r="B82" t="str">
            <v>Ami Arnow</v>
          </cell>
          <cell r="C82" t="str">
            <v>aarnow28@arizona.edu</v>
          </cell>
          <cell r="D82" t="str">
            <v>+1 (650) 238-1964</v>
          </cell>
          <cell r="E82" t="str">
            <v>12 Oakridge Court</v>
          </cell>
          <cell r="F82" t="str">
            <v>Oakland</v>
          </cell>
          <cell r="G82" t="str">
            <v>United States</v>
          </cell>
          <cell r="H82">
            <v>94627</v>
          </cell>
          <cell r="I82" t="str">
            <v>Yes</v>
          </cell>
        </row>
        <row r="83">
          <cell r="A83" t="str">
            <v>76534-45229-SG</v>
          </cell>
          <cell r="B83" t="str">
            <v>Sheppard Yann</v>
          </cell>
          <cell r="C83" t="str">
            <v>syann29@senate.gov</v>
          </cell>
          <cell r="D83" t="str">
            <v>+1 (719) 803-5276</v>
          </cell>
          <cell r="E83" t="str">
            <v>4 Farmco Place</v>
          </cell>
          <cell r="F83" t="str">
            <v>Colorado Springs</v>
          </cell>
          <cell r="G83" t="str">
            <v>United States</v>
          </cell>
          <cell r="H83">
            <v>80930</v>
          </cell>
          <cell r="I83" t="str">
            <v>Yes</v>
          </cell>
        </row>
        <row r="84">
          <cell r="A84" t="str">
            <v>81744-27332-RR</v>
          </cell>
          <cell r="B84" t="str">
            <v>Bunny Naulls</v>
          </cell>
          <cell r="C84" t="str">
            <v>bnaulls2a@tiny.cc</v>
          </cell>
          <cell r="D84" t="str">
            <v>+353 (809) 128-0755</v>
          </cell>
          <cell r="E84" t="str">
            <v>595 Melby Avenue</v>
          </cell>
          <cell r="F84" t="str">
            <v>Adare</v>
          </cell>
          <cell r="G84" t="str">
            <v>Ireland</v>
          </cell>
          <cell r="H84" t="str">
            <v>H54</v>
          </cell>
          <cell r="I84" t="str">
            <v>Yes</v>
          </cell>
        </row>
        <row r="85">
          <cell r="A85" t="str">
            <v>91513-75657-PH</v>
          </cell>
          <cell r="B85" t="str">
            <v>Hally Lorait</v>
          </cell>
          <cell r="D85" t="str">
            <v>+1 (716) 869-3749</v>
          </cell>
          <cell r="E85" t="str">
            <v>80 Jana Avenue</v>
          </cell>
          <cell r="F85" t="str">
            <v>Buffalo</v>
          </cell>
          <cell r="G85" t="str">
            <v>United States</v>
          </cell>
          <cell r="H85">
            <v>14205</v>
          </cell>
          <cell r="I85" t="str">
            <v>Yes</v>
          </cell>
        </row>
        <row r="86">
          <cell r="A86" t="str">
            <v>30373-66619-CB</v>
          </cell>
          <cell r="B86" t="str">
            <v>Zaccaria Sherewood</v>
          </cell>
          <cell r="C86" t="str">
            <v>zsherewood2c@apache.org</v>
          </cell>
          <cell r="D86" t="str">
            <v>+1 (209) 433-7924</v>
          </cell>
          <cell r="E86" t="str">
            <v>1325 Jay Terrace</v>
          </cell>
          <cell r="F86" t="str">
            <v>Fresno</v>
          </cell>
          <cell r="G86" t="str">
            <v>United States</v>
          </cell>
          <cell r="H86">
            <v>93715</v>
          </cell>
          <cell r="I86" t="str">
            <v>No</v>
          </cell>
        </row>
        <row r="87">
          <cell r="A87" t="str">
            <v>31582-23562-FM</v>
          </cell>
          <cell r="B87" t="str">
            <v>Jeffrey Dufaire</v>
          </cell>
          <cell r="C87" t="str">
            <v>jdufaire2d@fc2.com</v>
          </cell>
          <cell r="E87" t="str">
            <v>8 Buell Junction</v>
          </cell>
          <cell r="F87" t="str">
            <v>Fort Worth</v>
          </cell>
          <cell r="G87" t="str">
            <v>United States</v>
          </cell>
          <cell r="H87">
            <v>76121</v>
          </cell>
          <cell r="I87" t="str">
            <v>No</v>
          </cell>
        </row>
        <row r="88">
          <cell r="A88" t="str">
            <v>58638-01029-CB</v>
          </cell>
          <cell r="B88" t="str">
            <v>Blancha McAmish</v>
          </cell>
          <cell r="C88" t="str">
            <v>bmcamish2e@tripadvisor.com</v>
          </cell>
          <cell r="E88" t="str">
            <v>5484 Stephen Court</v>
          </cell>
          <cell r="F88" t="str">
            <v>Oklahoma City</v>
          </cell>
          <cell r="G88" t="str">
            <v>United States</v>
          </cell>
          <cell r="H88">
            <v>73179</v>
          </cell>
          <cell r="I88" t="str">
            <v>Yes</v>
          </cell>
        </row>
        <row r="89">
          <cell r="A89" t="str">
            <v>81431-12577-VD</v>
          </cell>
          <cell r="B89" t="str">
            <v>Beitris Keaveney</v>
          </cell>
          <cell r="C89" t="str">
            <v>bkeaveney2f@netlog.com</v>
          </cell>
          <cell r="E89" t="str">
            <v>67319 Redwing Parkway</v>
          </cell>
          <cell r="F89" t="str">
            <v>Beaumont</v>
          </cell>
          <cell r="G89" t="str">
            <v>United States</v>
          </cell>
          <cell r="H89">
            <v>77705</v>
          </cell>
          <cell r="I89" t="str">
            <v>No</v>
          </cell>
        </row>
        <row r="90">
          <cell r="A90" t="str">
            <v>68894-91205-MP</v>
          </cell>
          <cell r="B90" t="str">
            <v>Elna Grise</v>
          </cell>
          <cell r="C90" t="str">
            <v>egrise2g@cargocollective.com</v>
          </cell>
          <cell r="E90" t="str">
            <v>92 Becker Circle</v>
          </cell>
          <cell r="F90" t="str">
            <v>Reno</v>
          </cell>
          <cell r="G90" t="str">
            <v>United States</v>
          </cell>
          <cell r="H90">
            <v>89519</v>
          </cell>
          <cell r="I90" t="str">
            <v>No</v>
          </cell>
        </row>
        <row r="91">
          <cell r="A91" t="str">
            <v>87602-55754-VN</v>
          </cell>
          <cell r="B91" t="str">
            <v>Torie Gottelier</v>
          </cell>
          <cell r="C91" t="str">
            <v>tgottelier2h@vistaprint.com</v>
          </cell>
          <cell r="D91" t="str">
            <v>+1 (816) 743-8492</v>
          </cell>
          <cell r="E91" t="str">
            <v>426 Division Avenue</v>
          </cell>
          <cell r="F91" t="str">
            <v>Kansas City</v>
          </cell>
          <cell r="G91" t="str">
            <v>United States</v>
          </cell>
          <cell r="H91">
            <v>64136</v>
          </cell>
          <cell r="I91" t="str">
            <v>No</v>
          </cell>
        </row>
        <row r="92">
          <cell r="A92" t="str">
            <v>39181-35745-WH</v>
          </cell>
          <cell r="B92" t="str">
            <v>Loydie Langlais</v>
          </cell>
          <cell r="D92" t="str">
            <v>+353 (576) 222-5069</v>
          </cell>
          <cell r="E92" t="str">
            <v>290 Ilene Street</v>
          </cell>
          <cell r="F92" t="str">
            <v>Crumlin</v>
          </cell>
          <cell r="G92" t="str">
            <v>Ireland</v>
          </cell>
          <cell r="H92" t="str">
            <v>D6W</v>
          </cell>
          <cell r="I92" t="str">
            <v>Yes</v>
          </cell>
        </row>
        <row r="93">
          <cell r="A93" t="str">
            <v>30381-64762-NG</v>
          </cell>
          <cell r="B93" t="str">
            <v>Adham Greenhead</v>
          </cell>
          <cell r="C93" t="str">
            <v>agreenhead2j@dailymail.co.uk</v>
          </cell>
          <cell r="D93" t="str">
            <v>+1 (951) 797-0738</v>
          </cell>
          <cell r="E93" t="str">
            <v>0062 Spenser Place</v>
          </cell>
          <cell r="F93" t="str">
            <v>Corona</v>
          </cell>
          <cell r="G93" t="str">
            <v>United States</v>
          </cell>
          <cell r="H93">
            <v>92878</v>
          </cell>
          <cell r="I93" t="str">
            <v>No</v>
          </cell>
        </row>
        <row r="94">
          <cell r="A94" t="str">
            <v>17503-27693-ZH</v>
          </cell>
          <cell r="B94" t="str">
            <v>Hamish MacSherry</v>
          </cell>
          <cell r="D94" t="str">
            <v>+1 (512) 430-4374</v>
          </cell>
          <cell r="E94" t="str">
            <v>7 Brentwood Plaza</v>
          </cell>
          <cell r="F94" t="str">
            <v>Austin</v>
          </cell>
          <cell r="G94" t="str">
            <v>United States</v>
          </cell>
          <cell r="H94">
            <v>78759</v>
          </cell>
          <cell r="I94" t="str">
            <v>Yes</v>
          </cell>
        </row>
        <row r="95">
          <cell r="A95" t="str">
            <v>89442-35633-HJ</v>
          </cell>
          <cell r="B95" t="str">
            <v>Else Langcaster</v>
          </cell>
          <cell r="C95" t="str">
            <v>elangcaster2l@spotify.com</v>
          </cell>
          <cell r="D95" t="str">
            <v>+44 (547) 590-3103</v>
          </cell>
          <cell r="E95" t="str">
            <v>3658 Jenna Street</v>
          </cell>
          <cell r="F95" t="str">
            <v>Normanton</v>
          </cell>
          <cell r="G95" t="str">
            <v>United Kingdom</v>
          </cell>
          <cell r="H95" t="str">
            <v>LE15</v>
          </cell>
          <cell r="I95" t="str">
            <v>Yes</v>
          </cell>
        </row>
        <row r="96">
          <cell r="A96" t="str">
            <v>13654-85265-IL</v>
          </cell>
          <cell r="B96" t="str">
            <v>Rudy Farquharson</v>
          </cell>
          <cell r="E96" t="str">
            <v>30178 Claremont Road</v>
          </cell>
          <cell r="F96" t="str">
            <v>Charlesland</v>
          </cell>
          <cell r="G96" t="str">
            <v>Ireland</v>
          </cell>
          <cell r="H96" t="str">
            <v>A63</v>
          </cell>
          <cell r="I96" t="str">
            <v>Yes</v>
          </cell>
        </row>
        <row r="97">
          <cell r="A97" t="str">
            <v>40946-22090-FP</v>
          </cell>
          <cell r="B97" t="str">
            <v>Norene Magauran</v>
          </cell>
          <cell r="C97" t="str">
            <v>nmagauran2n@51.la</v>
          </cell>
          <cell r="E97" t="str">
            <v>567 Artisan Place</v>
          </cell>
          <cell r="F97" t="str">
            <v>Fresno</v>
          </cell>
          <cell r="G97" t="str">
            <v>United States</v>
          </cell>
          <cell r="H97">
            <v>93762</v>
          </cell>
          <cell r="I97" t="str">
            <v>No</v>
          </cell>
        </row>
        <row r="98">
          <cell r="A98" t="str">
            <v>29050-93691-TS</v>
          </cell>
          <cell r="B98" t="str">
            <v>Vicki Kirdsch</v>
          </cell>
          <cell r="C98" t="str">
            <v>vkirdsch2o@google.fr</v>
          </cell>
          <cell r="E98" t="str">
            <v>0263 Golf Street</v>
          </cell>
          <cell r="F98" t="str">
            <v>Saint Louis</v>
          </cell>
          <cell r="G98" t="str">
            <v>United States</v>
          </cell>
          <cell r="H98">
            <v>63150</v>
          </cell>
          <cell r="I98" t="str">
            <v>No</v>
          </cell>
        </row>
        <row r="99">
          <cell r="A99" t="str">
            <v>64395-74865-WF</v>
          </cell>
          <cell r="B99" t="str">
            <v>Ilysa Whapple</v>
          </cell>
          <cell r="C99" t="str">
            <v>iwhapple2p@com.com</v>
          </cell>
          <cell r="D99" t="str">
            <v>+1 (559) 522-1152</v>
          </cell>
          <cell r="E99" t="str">
            <v>41598 Everett Drive</v>
          </cell>
          <cell r="F99" t="str">
            <v>Fresno</v>
          </cell>
          <cell r="G99" t="str">
            <v>United States</v>
          </cell>
          <cell r="H99">
            <v>93726</v>
          </cell>
          <cell r="I99" t="str">
            <v>No</v>
          </cell>
        </row>
        <row r="100">
          <cell r="A100" t="str">
            <v>81861-66046-SU</v>
          </cell>
          <cell r="B100" t="str">
            <v>Ruy Cancellieri</v>
          </cell>
          <cell r="D100" t="str">
            <v>+353 (338) 743-8327</v>
          </cell>
          <cell r="E100" t="str">
            <v>251 Welch Parkway</v>
          </cell>
          <cell r="F100" t="str">
            <v>Confey</v>
          </cell>
          <cell r="G100" t="str">
            <v>Ireland</v>
          </cell>
          <cell r="H100" t="str">
            <v>A86</v>
          </cell>
          <cell r="I100" t="str">
            <v>No</v>
          </cell>
        </row>
        <row r="101">
          <cell r="A101" t="str">
            <v>13366-78506-KP</v>
          </cell>
          <cell r="B101" t="str">
            <v>Aube Follett</v>
          </cell>
          <cell r="D101" t="str">
            <v>+1 (614) 370-6392</v>
          </cell>
          <cell r="E101" t="str">
            <v>8671 David Park</v>
          </cell>
          <cell r="F101" t="str">
            <v>Columbus</v>
          </cell>
          <cell r="G101" t="str">
            <v>United States</v>
          </cell>
          <cell r="H101">
            <v>43210</v>
          </cell>
          <cell r="I101" t="str">
            <v>Yes</v>
          </cell>
        </row>
        <row r="102">
          <cell r="A102" t="str">
            <v>08847-29858-HN</v>
          </cell>
          <cell r="B102" t="str">
            <v>Rudiger Di Bartolomeo</v>
          </cell>
          <cell r="D102" t="str">
            <v>+1 (209) 148-6668</v>
          </cell>
          <cell r="E102" t="str">
            <v>7700 Melby Park</v>
          </cell>
          <cell r="F102" t="str">
            <v>Stockton</v>
          </cell>
          <cell r="G102" t="str">
            <v>United States</v>
          </cell>
          <cell r="H102">
            <v>95205</v>
          </cell>
          <cell r="I102" t="str">
            <v>Yes</v>
          </cell>
        </row>
        <row r="103">
          <cell r="A103" t="str">
            <v>00539-42510-RY</v>
          </cell>
          <cell r="B103" t="str">
            <v>Nickey Youles</v>
          </cell>
          <cell r="C103" t="str">
            <v>nyoules2t@reference.com</v>
          </cell>
          <cell r="D103" t="str">
            <v>+353 (641) 846-7654</v>
          </cell>
          <cell r="E103" t="str">
            <v>12461 Dryden Pass</v>
          </cell>
          <cell r="F103" t="str">
            <v>Edgeworthstown</v>
          </cell>
          <cell r="G103" t="str">
            <v>Ireland</v>
          </cell>
          <cell r="H103" t="str">
            <v>E25</v>
          </cell>
          <cell r="I103" t="str">
            <v>Yes</v>
          </cell>
        </row>
        <row r="104">
          <cell r="A104" t="str">
            <v>45190-08727-NV</v>
          </cell>
          <cell r="B104" t="str">
            <v>Dyanna Aizikovitz</v>
          </cell>
          <cell r="C104" t="str">
            <v>daizikovitz2u@answers.com</v>
          </cell>
          <cell r="D104" t="str">
            <v>+353 (766) 141-6317</v>
          </cell>
          <cell r="E104" t="str">
            <v>7 Northland Court</v>
          </cell>
          <cell r="F104" t="str">
            <v>Leixlip</v>
          </cell>
          <cell r="G104" t="str">
            <v>Ireland</v>
          </cell>
          <cell r="H104" t="str">
            <v>A86</v>
          </cell>
          <cell r="I104" t="str">
            <v>Yes</v>
          </cell>
        </row>
        <row r="105">
          <cell r="A105" t="str">
            <v>87049-37901-FU</v>
          </cell>
          <cell r="B105" t="str">
            <v>Bram Revel</v>
          </cell>
          <cell r="C105" t="str">
            <v>brevel2v@fastcompany.com</v>
          </cell>
          <cell r="D105" t="str">
            <v>+1 (585) 775-6952</v>
          </cell>
          <cell r="E105" t="str">
            <v>6168 Westend Plaza</v>
          </cell>
          <cell r="F105" t="str">
            <v>Rochester</v>
          </cell>
          <cell r="G105" t="str">
            <v>United States</v>
          </cell>
          <cell r="H105">
            <v>14652</v>
          </cell>
          <cell r="I105" t="str">
            <v>No</v>
          </cell>
        </row>
        <row r="106">
          <cell r="A106" t="str">
            <v>34015-31593-JC</v>
          </cell>
          <cell r="B106" t="str">
            <v>Emiline Priddis</v>
          </cell>
          <cell r="C106" t="str">
            <v>epriddis2w@nationalgeographic.com</v>
          </cell>
          <cell r="D106" t="str">
            <v>+1 (205) 133-0205</v>
          </cell>
          <cell r="E106" t="str">
            <v>62 Amoth Terrace</v>
          </cell>
          <cell r="F106" t="str">
            <v>Tuscaloosa</v>
          </cell>
          <cell r="G106" t="str">
            <v>United States</v>
          </cell>
          <cell r="H106">
            <v>35487</v>
          </cell>
          <cell r="I106" t="str">
            <v>No</v>
          </cell>
        </row>
        <row r="107">
          <cell r="A107" t="str">
            <v>90305-50099-SV</v>
          </cell>
          <cell r="B107" t="str">
            <v>Queenie Veel</v>
          </cell>
          <cell r="C107" t="str">
            <v>qveel2x@jugem.jp</v>
          </cell>
          <cell r="D107" t="str">
            <v>+1 (713) 750-9202</v>
          </cell>
          <cell r="E107" t="str">
            <v>378 Shopko Center</v>
          </cell>
          <cell r="F107" t="str">
            <v>Houston</v>
          </cell>
          <cell r="G107" t="str">
            <v>United States</v>
          </cell>
          <cell r="H107">
            <v>77260</v>
          </cell>
          <cell r="I107" t="str">
            <v>Yes</v>
          </cell>
        </row>
        <row r="108">
          <cell r="A108" t="str">
            <v>55871-61935-MF</v>
          </cell>
          <cell r="B108" t="str">
            <v>Lind Conyers</v>
          </cell>
          <cell r="C108" t="str">
            <v>lconyers2y@twitter.com</v>
          </cell>
          <cell r="D108" t="str">
            <v>+1 (915) 476-5712</v>
          </cell>
          <cell r="E108" t="str">
            <v>778 Summer Ridge Junction</v>
          </cell>
          <cell r="F108" t="str">
            <v>El Paso</v>
          </cell>
          <cell r="G108" t="str">
            <v>United States</v>
          </cell>
          <cell r="H108">
            <v>88514</v>
          </cell>
          <cell r="I108" t="str">
            <v>No</v>
          </cell>
        </row>
        <row r="109">
          <cell r="A109" t="str">
            <v>15405-60469-TM</v>
          </cell>
          <cell r="B109" t="str">
            <v>Pen Wye</v>
          </cell>
          <cell r="C109" t="str">
            <v>pwye2z@dagondesign.com</v>
          </cell>
          <cell r="D109" t="str">
            <v>+1 (719) 620-1128</v>
          </cell>
          <cell r="E109" t="str">
            <v>7 Dorton Terrace</v>
          </cell>
          <cell r="F109" t="str">
            <v>Colorado Springs</v>
          </cell>
          <cell r="G109" t="str">
            <v>United States</v>
          </cell>
          <cell r="H109">
            <v>80935</v>
          </cell>
          <cell r="I109" t="str">
            <v>Yes</v>
          </cell>
        </row>
        <row r="110">
          <cell r="A110" t="str">
            <v>06953-94794-FB</v>
          </cell>
          <cell r="B110" t="str">
            <v>Isahella Hagland</v>
          </cell>
          <cell r="D110" t="str">
            <v>+1 (260) 613-2279</v>
          </cell>
          <cell r="E110" t="str">
            <v>07 Roxbury Street</v>
          </cell>
          <cell r="F110" t="str">
            <v>Fort Wayne</v>
          </cell>
          <cell r="G110" t="str">
            <v>United States</v>
          </cell>
          <cell r="H110">
            <v>46862</v>
          </cell>
          <cell r="I110" t="str">
            <v>No</v>
          </cell>
        </row>
        <row r="111">
          <cell r="A111" t="str">
            <v>22305-40299-CY</v>
          </cell>
          <cell r="B111" t="str">
            <v>Terry Sheryn</v>
          </cell>
          <cell r="C111" t="str">
            <v>tsheryn31@mtv.com</v>
          </cell>
          <cell r="D111" t="str">
            <v>+1 (516) 826-3780</v>
          </cell>
          <cell r="E111" t="str">
            <v>58147 Eagle Crest Court</v>
          </cell>
          <cell r="F111" t="str">
            <v>Port Washington</v>
          </cell>
          <cell r="G111" t="str">
            <v>United States</v>
          </cell>
          <cell r="H111">
            <v>11054</v>
          </cell>
          <cell r="I111" t="str">
            <v>Yes</v>
          </cell>
        </row>
        <row r="112">
          <cell r="A112" t="str">
            <v>09020-56774-GU</v>
          </cell>
          <cell r="B112" t="str">
            <v>Marie-jeanne Redgrave</v>
          </cell>
          <cell r="C112" t="str">
            <v>mredgrave32@cargocollective.com</v>
          </cell>
          <cell r="D112" t="str">
            <v>+1 (413) 691-2892</v>
          </cell>
          <cell r="E112" t="str">
            <v>61022 Helena Street</v>
          </cell>
          <cell r="F112" t="str">
            <v>Springfield</v>
          </cell>
          <cell r="G112" t="str">
            <v>United States</v>
          </cell>
          <cell r="H112">
            <v>1105</v>
          </cell>
          <cell r="I112" t="str">
            <v>Yes</v>
          </cell>
        </row>
        <row r="113">
          <cell r="A113" t="str">
            <v>92926-08470-YS</v>
          </cell>
          <cell r="B113" t="str">
            <v>Betty Fominov</v>
          </cell>
          <cell r="C113" t="str">
            <v>bfominov33@yale.edu</v>
          </cell>
          <cell r="E113" t="str">
            <v>305 Tennyson Court</v>
          </cell>
          <cell r="F113" t="str">
            <v>Pensacola</v>
          </cell>
          <cell r="G113" t="str">
            <v>United States</v>
          </cell>
          <cell r="H113">
            <v>32575</v>
          </cell>
          <cell r="I113" t="str">
            <v>No</v>
          </cell>
        </row>
        <row r="114">
          <cell r="A114" t="str">
            <v>07250-63194-JO</v>
          </cell>
          <cell r="B114" t="str">
            <v>Shawnee Critchlow</v>
          </cell>
          <cell r="C114" t="str">
            <v>scritchlow34@un.org</v>
          </cell>
          <cell r="D114" t="str">
            <v>+1 (804) 428-7292</v>
          </cell>
          <cell r="E114" t="str">
            <v>6886 Oxford Hill</v>
          </cell>
          <cell r="F114" t="str">
            <v>Richmond</v>
          </cell>
          <cell r="G114" t="str">
            <v>United States</v>
          </cell>
          <cell r="H114">
            <v>23242</v>
          </cell>
          <cell r="I114" t="str">
            <v>No</v>
          </cell>
        </row>
        <row r="115">
          <cell r="A115" t="str">
            <v>63787-96257-TQ</v>
          </cell>
          <cell r="B115" t="str">
            <v>Merrel Steptow</v>
          </cell>
          <cell r="C115" t="str">
            <v>msteptow35@earthlink.net</v>
          </cell>
          <cell r="D115" t="str">
            <v>+353 (266) 235-5189</v>
          </cell>
          <cell r="E115" t="str">
            <v>368 Ridgeview Trail</v>
          </cell>
          <cell r="F115" t="str">
            <v>Cherryville</v>
          </cell>
          <cell r="G115" t="str">
            <v>Ireland</v>
          </cell>
          <cell r="H115" t="str">
            <v>P31</v>
          </cell>
          <cell r="I115" t="str">
            <v>No</v>
          </cell>
        </row>
        <row r="116">
          <cell r="A116" t="str">
            <v>49530-25460-RW</v>
          </cell>
          <cell r="B116" t="str">
            <v>Carmina Hubbuck</v>
          </cell>
          <cell r="D116" t="str">
            <v>+1 (304) 532-7229</v>
          </cell>
          <cell r="E116" t="str">
            <v>39749 Bobwhite Plaza</v>
          </cell>
          <cell r="F116" t="str">
            <v>Huntington</v>
          </cell>
          <cell r="G116" t="str">
            <v>United States</v>
          </cell>
          <cell r="H116">
            <v>25705</v>
          </cell>
          <cell r="I116" t="str">
            <v>No</v>
          </cell>
        </row>
        <row r="117">
          <cell r="A117" t="str">
            <v>66508-21373-OQ</v>
          </cell>
          <cell r="B117" t="str">
            <v>Ingeberg Mulliner</v>
          </cell>
          <cell r="C117" t="str">
            <v>imulliner37@pinterest.com</v>
          </cell>
          <cell r="D117" t="str">
            <v>+44 (331) 777-9556</v>
          </cell>
          <cell r="E117" t="str">
            <v>61 Oak Valley Trail</v>
          </cell>
          <cell r="F117" t="str">
            <v>Birmingham</v>
          </cell>
          <cell r="G117" t="str">
            <v>United Kingdom</v>
          </cell>
          <cell r="H117" t="str">
            <v>B40</v>
          </cell>
          <cell r="I117" t="str">
            <v>No</v>
          </cell>
        </row>
        <row r="118">
          <cell r="A118" t="str">
            <v>20203-03950-FY</v>
          </cell>
          <cell r="B118" t="str">
            <v>Geneva Standley</v>
          </cell>
          <cell r="C118" t="str">
            <v>gstandley38@dion.ne.jp</v>
          </cell>
          <cell r="D118" t="str">
            <v>+353 (521) 138-4331</v>
          </cell>
          <cell r="E118" t="str">
            <v>4 Thompson Drive</v>
          </cell>
          <cell r="F118" t="str">
            <v>Killorglin</v>
          </cell>
          <cell r="G118" t="str">
            <v>Ireland</v>
          </cell>
          <cell r="H118" t="str">
            <v>H14</v>
          </cell>
          <cell r="I118" t="str">
            <v>Yes</v>
          </cell>
        </row>
        <row r="119">
          <cell r="A119" t="str">
            <v>83895-90735-XH</v>
          </cell>
          <cell r="B119" t="str">
            <v>Brook Drage</v>
          </cell>
          <cell r="C119" t="str">
            <v>bdrage39@youku.com</v>
          </cell>
          <cell r="D119" t="str">
            <v>+1 (937) 566-3449</v>
          </cell>
          <cell r="E119" t="str">
            <v>3584 7th Parkway</v>
          </cell>
          <cell r="F119" t="str">
            <v>Dayton</v>
          </cell>
          <cell r="G119" t="str">
            <v>United States</v>
          </cell>
          <cell r="H119">
            <v>45432</v>
          </cell>
          <cell r="I119" t="str">
            <v>No</v>
          </cell>
        </row>
        <row r="120">
          <cell r="A120" t="str">
            <v>61954-61462-RJ</v>
          </cell>
          <cell r="B120" t="str">
            <v>Muffin Yallop</v>
          </cell>
          <cell r="C120" t="str">
            <v>myallop3a@fema.gov</v>
          </cell>
          <cell r="D120" t="str">
            <v>+1 (907) 267-1236</v>
          </cell>
          <cell r="E120" t="str">
            <v>1 Beilfuss Junction</v>
          </cell>
          <cell r="F120" t="str">
            <v>Anchorage</v>
          </cell>
          <cell r="G120" t="str">
            <v>United States</v>
          </cell>
          <cell r="H120">
            <v>99507</v>
          </cell>
          <cell r="I120" t="str">
            <v>Yes</v>
          </cell>
        </row>
        <row r="121">
          <cell r="A121" t="str">
            <v>47939-53158-LS</v>
          </cell>
          <cell r="B121" t="str">
            <v>Cordi Switsur</v>
          </cell>
          <cell r="C121" t="str">
            <v>cswitsur3b@chronoengine.com</v>
          </cell>
          <cell r="D121" t="str">
            <v>+1 (615) 791-3142</v>
          </cell>
          <cell r="E121" t="str">
            <v>57942 North Point</v>
          </cell>
          <cell r="F121" t="str">
            <v>Nashville</v>
          </cell>
          <cell r="G121" t="str">
            <v>United States</v>
          </cell>
          <cell r="H121">
            <v>37215</v>
          </cell>
          <cell r="I121" t="str">
            <v>No</v>
          </cell>
        </row>
        <row r="122">
          <cell r="A122" t="str">
            <v>38903-46478-ZE</v>
          </cell>
          <cell r="B122" t="str">
            <v>Ezri Hows</v>
          </cell>
          <cell r="C122" t="str">
            <v>ehows3c@devhub.com</v>
          </cell>
          <cell r="D122" t="str">
            <v>+1 (760) 706-9092</v>
          </cell>
          <cell r="E122" t="str">
            <v>343 Burning Wood Court</v>
          </cell>
          <cell r="F122" t="str">
            <v>Los Angeles</v>
          </cell>
          <cell r="G122" t="str">
            <v>United States</v>
          </cell>
          <cell r="H122">
            <v>90040</v>
          </cell>
          <cell r="I122" t="str">
            <v>Yes</v>
          </cell>
        </row>
        <row r="123">
          <cell r="A123" t="str">
            <v>76841-77583-BJ</v>
          </cell>
          <cell r="B123" t="str">
            <v>Sylas Becaris</v>
          </cell>
          <cell r="C123" t="str">
            <v>sbecaris3d@google.ru</v>
          </cell>
          <cell r="D123" t="str">
            <v>+1 (704) 594-9047</v>
          </cell>
          <cell r="E123" t="str">
            <v>35407 Tomscot Junction</v>
          </cell>
          <cell r="F123" t="str">
            <v>Charlotte</v>
          </cell>
          <cell r="G123" t="str">
            <v>United States</v>
          </cell>
          <cell r="H123">
            <v>28289</v>
          </cell>
          <cell r="I123" t="str">
            <v>No</v>
          </cell>
        </row>
        <row r="124">
          <cell r="A124" t="str">
            <v>61513-27752-FA</v>
          </cell>
          <cell r="B124" t="str">
            <v>Mahala Ludwell</v>
          </cell>
          <cell r="C124" t="str">
            <v>mludwell3e@blogger.com</v>
          </cell>
          <cell r="D124" t="str">
            <v>+1 (303) 242-3542</v>
          </cell>
          <cell r="E124" t="str">
            <v>6 Bay Center</v>
          </cell>
          <cell r="F124" t="str">
            <v>Denver</v>
          </cell>
          <cell r="G124" t="str">
            <v>United States</v>
          </cell>
          <cell r="H124">
            <v>80217</v>
          </cell>
          <cell r="I124" t="str">
            <v>Yes</v>
          </cell>
        </row>
        <row r="125">
          <cell r="A125" t="str">
            <v>89714-19856-WX</v>
          </cell>
          <cell r="B125" t="str">
            <v>Doll Beauchamp</v>
          </cell>
          <cell r="C125" t="str">
            <v>dbeauchamp3f@usda.gov</v>
          </cell>
          <cell r="D125" t="str">
            <v>+1 (203) 189-4256</v>
          </cell>
          <cell r="E125" t="str">
            <v>0967 Clemons Alley</v>
          </cell>
          <cell r="F125" t="str">
            <v>Stamford</v>
          </cell>
          <cell r="G125" t="str">
            <v>United States</v>
          </cell>
          <cell r="H125">
            <v>6912</v>
          </cell>
          <cell r="I125" t="str">
            <v>No</v>
          </cell>
        </row>
        <row r="126">
          <cell r="A126" t="str">
            <v>87979-56781-YV</v>
          </cell>
          <cell r="B126" t="str">
            <v>Stanford Rodliff</v>
          </cell>
          <cell r="C126" t="str">
            <v>srodliff3g@ted.com</v>
          </cell>
          <cell r="D126" t="str">
            <v>+1 (757) 537-3012</v>
          </cell>
          <cell r="E126" t="str">
            <v>3 Lerdahl Parkway</v>
          </cell>
          <cell r="F126" t="str">
            <v>Newport News</v>
          </cell>
          <cell r="G126" t="str">
            <v>United States</v>
          </cell>
          <cell r="H126">
            <v>23605</v>
          </cell>
          <cell r="I126" t="str">
            <v>Yes</v>
          </cell>
        </row>
        <row r="127">
          <cell r="A127" t="str">
            <v>74126-88836-KA</v>
          </cell>
          <cell r="B127" t="str">
            <v>Stevana Woodham</v>
          </cell>
          <cell r="C127" t="str">
            <v>swoodham3h@businesswire.com</v>
          </cell>
          <cell r="D127" t="str">
            <v>+353 (190) 188-4918</v>
          </cell>
          <cell r="E127" t="str">
            <v>7 Rowland Plaza</v>
          </cell>
          <cell r="F127" t="str">
            <v>Drumcondra</v>
          </cell>
          <cell r="G127" t="str">
            <v>Ireland</v>
          </cell>
          <cell r="H127" t="str">
            <v>D11</v>
          </cell>
          <cell r="I127" t="str">
            <v>Yes</v>
          </cell>
        </row>
        <row r="128">
          <cell r="A128" t="str">
            <v>37397-05992-VO</v>
          </cell>
          <cell r="B128" t="str">
            <v>Hewet Synnot</v>
          </cell>
          <cell r="C128" t="str">
            <v>hsynnot3i@about.com</v>
          </cell>
          <cell r="D128" t="str">
            <v>+1 (907) 245-0601</v>
          </cell>
          <cell r="E128" t="str">
            <v>9667 Lunder Court</v>
          </cell>
          <cell r="F128" t="str">
            <v>Anchorage</v>
          </cell>
          <cell r="G128" t="str">
            <v>United States</v>
          </cell>
          <cell r="H128">
            <v>99599</v>
          </cell>
          <cell r="I128" t="str">
            <v>No</v>
          </cell>
        </row>
        <row r="129">
          <cell r="A129" t="str">
            <v>54904-18397-UD</v>
          </cell>
          <cell r="B129" t="str">
            <v>Raleigh Lepere</v>
          </cell>
          <cell r="C129" t="str">
            <v>rlepere3j@shop-pro.jp</v>
          </cell>
          <cell r="D129" t="str">
            <v>+353 (792) 857-4513</v>
          </cell>
          <cell r="E129" t="str">
            <v>27 Mosinee Court</v>
          </cell>
          <cell r="F129" t="str">
            <v>Beaumont</v>
          </cell>
          <cell r="G129" t="str">
            <v>Ireland</v>
          </cell>
          <cell r="H129" t="str">
            <v>D17</v>
          </cell>
          <cell r="I129" t="str">
            <v>No</v>
          </cell>
        </row>
        <row r="130">
          <cell r="A130" t="str">
            <v>19017-95853-EK</v>
          </cell>
          <cell r="B130" t="str">
            <v>Timofei Woofinden</v>
          </cell>
          <cell r="C130" t="str">
            <v>twoofinden3k@businesswire.com</v>
          </cell>
          <cell r="D130" t="str">
            <v>+1 (701) 503-1067</v>
          </cell>
          <cell r="E130" t="str">
            <v>1 Pennsylvania Center</v>
          </cell>
          <cell r="F130" t="str">
            <v>Fargo</v>
          </cell>
          <cell r="G130" t="str">
            <v>United States</v>
          </cell>
          <cell r="H130">
            <v>58122</v>
          </cell>
          <cell r="I130" t="str">
            <v>No</v>
          </cell>
        </row>
        <row r="131">
          <cell r="A131" t="str">
            <v>88593-59934-VU</v>
          </cell>
          <cell r="B131" t="str">
            <v>Evelina Dacca</v>
          </cell>
          <cell r="C131" t="str">
            <v>edacca3l@google.pl</v>
          </cell>
          <cell r="D131" t="str">
            <v>+1 (812) 921-5458</v>
          </cell>
          <cell r="E131" t="str">
            <v>83150 Dixon Park</v>
          </cell>
          <cell r="F131" t="str">
            <v>Evansville</v>
          </cell>
          <cell r="G131" t="str">
            <v>United States</v>
          </cell>
          <cell r="H131">
            <v>47737</v>
          </cell>
          <cell r="I131" t="str">
            <v>Yes</v>
          </cell>
        </row>
        <row r="132">
          <cell r="A132" t="str">
            <v>47493-68564-YM</v>
          </cell>
          <cell r="B132" t="str">
            <v>Bidget Tremellier</v>
          </cell>
          <cell r="D132" t="str">
            <v>+353 (900) 633-2359</v>
          </cell>
          <cell r="E132" t="str">
            <v>5 Sunfield Parkway</v>
          </cell>
          <cell r="F132" t="str">
            <v>Cherryville</v>
          </cell>
          <cell r="G132" t="str">
            <v>Ireland</v>
          </cell>
          <cell r="H132" t="str">
            <v>P31</v>
          </cell>
          <cell r="I132" t="str">
            <v>Yes</v>
          </cell>
        </row>
        <row r="133">
          <cell r="A133" t="str">
            <v>82246-82543-DW</v>
          </cell>
          <cell r="B133" t="str">
            <v>Bobinette Hindsberg</v>
          </cell>
          <cell r="C133" t="str">
            <v>bhindsberg3n@blogs.com</v>
          </cell>
          <cell r="D133" t="str">
            <v>+1 (704) 888-5303</v>
          </cell>
          <cell r="E133" t="str">
            <v>7 Brickson Park Road</v>
          </cell>
          <cell r="F133" t="str">
            <v>Charlotte</v>
          </cell>
          <cell r="G133" t="str">
            <v>United States</v>
          </cell>
          <cell r="H133">
            <v>28210</v>
          </cell>
          <cell r="I133" t="str">
            <v>Yes</v>
          </cell>
        </row>
        <row r="134">
          <cell r="A134" t="str">
            <v>03384-62101-IY</v>
          </cell>
          <cell r="B134" t="str">
            <v>Osbert Robins</v>
          </cell>
          <cell r="C134" t="str">
            <v>orobins3o@salon.com</v>
          </cell>
          <cell r="D134" t="str">
            <v>+1 (256) 196-8054</v>
          </cell>
          <cell r="E134" t="str">
            <v>42557 Fallview Plaza</v>
          </cell>
          <cell r="F134" t="str">
            <v>Huntsville</v>
          </cell>
          <cell r="G134" t="str">
            <v>United States</v>
          </cell>
          <cell r="H134">
            <v>35815</v>
          </cell>
          <cell r="I134" t="str">
            <v>Yes</v>
          </cell>
        </row>
        <row r="135">
          <cell r="A135" t="str">
            <v>86881-41559-OR</v>
          </cell>
          <cell r="B135" t="str">
            <v>Othello Syseland</v>
          </cell>
          <cell r="C135" t="str">
            <v>osyseland3p@independent.co.uk</v>
          </cell>
          <cell r="D135" t="str">
            <v>+1 (714) 895-0210</v>
          </cell>
          <cell r="E135" t="str">
            <v>957 Sachtjen Road</v>
          </cell>
          <cell r="F135" t="str">
            <v>Santa Ana</v>
          </cell>
          <cell r="G135" t="str">
            <v>United States</v>
          </cell>
          <cell r="H135">
            <v>92725</v>
          </cell>
          <cell r="I135" t="str">
            <v>No</v>
          </cell>
        </row>
        <row r="136">
          <cell r="A136" t="str">
            <v>02536-18494-AQ</v>
          </cell>
          <cell r="B136" t="str">
            <v>Ewell Hanby</v>
          </cell>
          <cell r="E136" t="str">
            <v>903 Oak Center</v>
          </cell>
          <cell r="F136" t="str">
            <v>Washington</v>
          </cell>
          <cell r="G136" t="str">
            <v>United States</v>
          </cell>
          <cell r="H136">
            <v>20520</v>
          </cell>
          <cell r="I136" t="str">
            <v>Yes</v>
          </cell>
        </row>
        <row r="137">
          <cell r="A137" t="str">
            <v>29732-74147-HX</v>
          </cell>
          <cell r="B137" t="str">
            <v>Chalmers Havenhand</v>
          </cell>
          <cell r="C137" t="str">
            <v>chavenhand3r@1688.com</v>
          </cell>
          <cell r="D137" t="str">
            <v>+353 (850) 901-7902</v>
          </cell>
          <cell r="E137" t="str">
            <v>8 Morningstar Plaza</v>
          </cell>
          <cell r="F137" t="str">
            <v>Macroom</v>
          </cell>
          <cell r="G137" t="str">
            <v>Ireland</v>
          </cell>
          <cell r="H137" t="str">
            <v>P12</v>
          </cell>
          <cell r="I137" t="str">
            <v>No</v>
          </cell>
        </row>
        <row r="138">
          <cell r="A138" t="str">
            <v>90312-11148-LA</v>
          </cell>
          <cell r="B138" t="str">
            <v>Lowell Keenleyside</v>
          </cell>
          <cell r="C138" t="str">
            <v>lkeenleyside3s@topsy.com</v>
          </cell>
          <cell r="D138" t="str">
            <v>+1 (636) 713-5124</v>
          </cell>
          <cell r="E138" t="str">
            <v>6 Hauk Junction</v>
          </cell>
          <cell r="F138" t="str">
            <v>Saint Louis</v>
          </cell>
          <cell r="G138" t="str">
            <v>United States</v>
          </cell>
          <cell r="H138">
            <v>63131</v>
          </cell>
          <cell r="I138" t="str">
            <v>No</v>
          </cell>
        </row>
        <row r="139">
          <cell r="A139" t="str">
            <v>68239-74809-TF</v>
          </cell>
          <cell r="B139" t="str">
            <v>Elonore Joliffe</v>
          </cell>
          <cell r="D139" t="str">
            <v>+353 (994) 611-5746</v>
          </cell>
          <cell r="E139" t="str">
            <v>7077 School Crossing</v>
          </cell>
          <cell r="F139" t="str">
            <v>Bailieborough</v>
          </cell>
          <cell r="G139" t="str">
            <v>Ireland</v>
          </cell>
          <cell r="H139" t="str">
            <v>C15</v>
          </cell>
          <cell r="I139" t="str">
            <v>No</v>
          </cell>
        </row>
        <row r="140">
          <cell r="A140" t="str">
            <v>91074-60023-IP</v>
          </cell>
          <cell r="B140" t="str">
            <v>Abraham Coleman</v>
          </cell>
          <cell r="D140" t="str">
            <v>+1 (808) 815-5051</v>
          </cell>
          <cell r="E140" t="str">
            <v>40 Packers Alley</v>
          </cell>
          <cell r="F140" t="str">
            <v>Honolulu</v>
          </cell>
          <cell r="G140" t="str">
            <v>United States</v>
          </cell>
          <cell r="H140">
            <v>96805</v>
          </cell>
          <cell r="I140" t="str">
            <v>No</v>
          </cell>
        </row>
        <row r="141">
          <cell r="A141" t="str">
            <v>07972-83748-JI</v>
          </cell>
          <cell r="B141" t="str">
            <v>Rivy Farington</v>
          </cell>
          <cell r="D141" t="str">
            <v>+1 (951) 638-0879</v>
          </cell>
          <cell r="E141" t="str">
            <v>54400 Brickson Park Center</v>
          </cell>
          <cell r="F141" t="str">
            <v>Corona</v>
          </cell>
          <cell r="G141" t="str">
            <v>United States</v>
          </cell>
          <cell r="H141">
            <v>92878</v>
          </cell>
          <cell r="I141" t="str">
            <v>Yes</v>
          </cell>
        </row>
        <row r="142">
          <cell r="A142" t="str">
            <v>08694-57330-XR</v>
          </cell>
          <cell r="B142" t="str">
            <v>Vallie Kundt</v>
          </cell>
          <cell r="C142" t="str">
            <v>vkundt3w@bigcartel.com</v>
          </cell>
          <cell r="D142" t="str">
            <v>+353 (472) 791-2507</v>
          </cell>
          <cell r="E142" t="str">
            <v>3 Porter Hill</v>
          </cell>
          <cell r="F142" t="str">
            <v>Ballivor</v>
          </cell>
          <cell r="G142" t="str">
            <v>Ireland</v>
          </cell>
          <cell r="H142" t="str">
            <v>D17</v>
          </cell>
          <cell r="I142" t="str">
            <v>Yes</v>
          </cell>
        </row>
        <row r="143">
          <cell r="A143" t="str">
            <v>68412-11126-YJ</v>
          </cell>
          <cell r="B143" t="str">
            <v>Boyd Bett</v>
          </cell>
          <cell r="C143" t="str">
            <v>bbett3x@google.de</v>
          </cell>
          <cell r="D143" t="str">
            <v>+1 (202) 632-9905</v>
          </cell>
          <cell r="E143" t="str">
            <v>353 Maple Wood Avenue</v>
          </cell>
          <cell r="F143" t="str">
            <v>Washington</v>
          </cell>
          <cell r="G143" t="str">
            <v>United States</v>
          </cell>
          <cell r="H143">
            <v>20520</v>
          </cell>
          <cell r="I143" t="str">
            <v>Yes</v>
          </cell>
        </row>
        <row r="144">
          <cell r="A144" t="str">
            <v>69037-66822-DW</v>
          </cell>
          <cell r="B144" t="str">
            <v>Julio Armytage</v>
          </cell>
          <cell r="E144" t="str">
            <v>782 Spaight Center</v>
          </cell>
          <cell r="F144" t="str">
            <v>Portumna</v>
          </cell>
          <cell r="G144" t="str">
            <v>Ireland</v>
          </cell>
          <cell r="H144" t="str">
            <v>V31</v>
          </cell>
          <cell r="I144" t="str">
            <v>Yes</v>
          </cell>
        </row>
        <row r="145">
          <cell r="A145" t="str">
            <v>01297-94364-XH</v>
          </cell>
          <cell r="B145" t="str">
            <v>Deana Staite</v>
          </cell>
          <cell r="C145" t="str">
            <v>dstaite3z@scientificamerican.com</v>
          </cell>
          <cell r="D145" t="str">
            <v>+1 (713) 478-3937</v>
          </cell>
          <cell r="E145" t="str">
            <v>39 Dunning Hill</v>
          </cell>
          <cell r="F145" t="str">
            <v>Houston</v>
          </cell>
          <cell r="G145" t="str">
            <v>United States</v>
          </cell>
          <cell r="H145">
            <v>77281</v>
          </cell>
          <cell r="I145" t="str">
            <v>No</v>
          </cell>
        </row>
        <row r="146">
          <cell r="A146" t="str">
            <v>39919-06540-ZI</v>
          </cell>
          <cell r="B146" t="str">
            <v>Winn Keyse</v>
          </cell>
          <cell r="C146" t="str">
            <v>wkeyse40@apple.com</v>
          </cell>
          <cell r="D146" t="str">
            <v>+1 (650) 947-8867</v>
          </cell>
          <cell r="E146" t="str">
            <v>02688 Duke Park</v>
          </cell>
          <cell r="F146" t="str">
            <v>Orange</v>
          </cell>
          <cell r="G146" t="str">
            <v>United States</v>
          </cell>
          <cell r="H146">
            <v>92668</v>
          </cell>
          <cell r="I146" t="str">
            <v>Yes</v>
          </cell>
        </row>
        <row r="147">
          <cell r="A147" t="str">
            <v>60512-78550-WS</v>
          </cell>
          <cell r="B147" t="str">
            <v>Osmund Clausen-Thue</v>
          </cell>
          <cell r="C147" t="str">
            <v>oclausenthue41@marriott.com</v>
          </cell>
          <cell r="D147" t="str">
            <v>+1 (915) 558-6109</v>
          </cell>
          <cell r="E147" t="str">
            <v>2163 Dexter Hill</v>
          </cell>
          <cell r="F147" t="str">
            <v>El Paso</v>
          </cell>
          <cell r="G147" t="str">
            <v>United States</v>
          </cell>
          <cell r="H147">
            <v>88553</v>
          </cell>
          <cell r="I147" t="str">
            <v>No</v>
          </cell>
        </row>
        <row r="148">
          <cell r="A148" t="str">
            <v>40172-12000-AU</v>
          </cell>
          <cell r="B148" t="str">
            <v>Leonore Francisco</v>
          </cell>
          <cell r="C148" t="str">
            <v>lfrancisco42@fema.gov</v>
          </cell>
          <cell r="D148" t="str">
            <v>+1 (775) 346-9758</v>
          </cell>
          <cell r="E148" t="str">
            <v>48757 Bay Parkway</v>
          </cell>
          <cell r="F148" t="str">
            <v>Carson City</v>
          </cell>
          <cell r="G148" t="str">
            <v>United States</v>
          </cell>
          <cell r="H148">
            <v>89714</v>
          </cell>
          <cell r="I148" t="str">
            <v>No</v>
          </cell>
        </row>
        <row r="149">
          <cell r="A149" t="str">
            <v>42394-07234-AM</v>
          </cell>
          <cell r="B149" t="str">
            <v>Adey Lowseley</v>
          </cell>
          <cell r="C149" t="str">
            <v>alowseley43@timesonline.co.uk</v>
          </cell>
          <cell r="D149" t="str">
            <v>+1 (682) 536-4473</v>
          </cell>
          <cell r="E149" t="str">
            <v>01 Alpine Center</v>
          </cell>
          <cell r="F149" t="str">
            <v>Fort Worth</v>
          </cell>
          <cell r="G149" t="str">
            <v>United States</v>
          </cell>
          <cell r="H149">
            <v>76105</v>
          </cell>
          <cell r="I149" t="str">
            <v>Yes</v>
          </cell>
        </row>
        <row r="150">
          <cell r="A150" t="str">
            <v>39019-13649-CL</v>
          </cell>
          <cell r="B150" t="str">
            <v>Giacobo Skingle</v>
          </cell>
          <cell r="C150" t="str">
            <v>gskingle44@clickbank.net</v>
          </cell>
          <cell r="D150" t="str">
            <v>+1 (801) 886-5886</v>
          </cell>
          <cell r="E150" t="str">
            <v>61617 Roth Street</v>
          </cell>
          <cell r="F150" t="str">
            <v>Provo</v>
          </cell>
          <cell r="G150" t="str">
            <v>United States</v>
          </cell>
          <cell r="H150">
            <v>84605</v>
          </cell>
          <cell r="I150" t="str">
            <v>Yes</v>
          </cell>
        </row>
        <row r="151">
          <cell r="A151" t="str">
            <v>12715-05198-QU</v>
          </cell>
          <cell r="B151" t="str">
            <v>Gerard Pirdy</v>
          </cell>
          <cell r="D151" t="str">
            <v>+1 (305) 345-2788</v>
          </cell>
          <cell r="E151" t="str">
            <v>74 Becker Lane</v>
          </cell>
          <cell r="F151" t="str">
            <v>Boca Raton</v>
          </cell>
          <cell r="G151" t="str">
            <v>United States</v>
          </cell>
          <cell r="H151">
            <v>33487</v>
          </cell>
          <cell r="I151" t="str">
            <v>Yes</v>
          </cell>
        </row>
        <row r="152">
          <cell r="A152" t="str">
            <v>04513-76520-QO</v>
          </cell>
          <cell r="B152" t="str">
            <v>Jacinthe Balsillie</v>
          </cell>
          <cell r="C152" t="str">
            <v>jbalsillie46@princeton.edu</v>
          </cell>
          <cell r="D152" t="str">
            <v>+1 (540) 905-2213</v>
          </cell>
          <cell r="E152" t="str">
            <v>2 Heffernan Center</v>
          </cell>
          <cell r="F152" t="str">
            <v>Roanoke</v>
          </cell>
          <cell r="G152" t="str">
            <v>United States</v>
          </cell>
          <cell r="H152">
            <v>24040</v>
          </cell>
          <cell r="I152" t="str">
            <v>Yes</v>
          </cell>
        </row>
        <row r="153">
          <cell r="A153" t="str">
            <v>88446-59251-SQ</v>
          </cell>
          <cell r="B153" t="str">
            <v>Quinton Fouracres</v>
          </cell>
          <cell r="D153" t="str">
            <v>+1 (515) 508-1573</v>
          </cell>
          <cell r="E153" t="str">
            <v>53 New Castle Point</v>
          </cell>
          <cell r="F153" t="str">
            <v>Des Moines</v>
          </cell>
          <cell r="G153" t="str">
            <v>United States</v>
          </cell>
          <cell r="H153">
            <v>50369</v>
          </cell>
          <cell r="I153" t="str">
            <v>Yes</v>
          </cell>
        </row>
        <row r="154">
          <cell r="A154" t="str">
            <v>23779-10274-KN</v>
          </cell>
          <cell r="B154" t="str">
            <v>Bettina Leffek</v>
          </cell>
          <cell r="C154" t="str">
            <v>bleffek48@ning.com</v>
          </cell>
          <cell r="D154" t="str">
            <v>+1 (808) 815-3474</v>
          </cell>
          <cell r="E154" t="str">
            <v>0688 Burning Wood Point</v>
          </cell>
          <cell r="F154" t="str">
            <v>Honolulu</v>
          </cell>
          <cell r="G154" t="str">
            <v>United States</v>
          </cell>
          <cell r="H154">
            <v>96805</v>
          </cell>
          <cell r="I154" t="str">
            <v>Yes</v>
          </cell>
        </row>
        <row r="155">
          <cell r="A155" t="str">
            <v>57235-92842-DK</v>
          </cell>
          <cell r="B155" t="str">
            <v>Hetti Penson</v>
          </cell>
          <cell r="D155" t="str">
            <v>+1 (754) 664-6126</v>
          </cell>
          <cell r="E155" t="str">
            <v>16 Dottie Point</v>
          </cell>
          <cell r="F155" t="str">
            <v>Fort Lauderdale</v>
          </cell>
          <cell r="G155" t="str">
            <v>United States</v>
          </cell>
          <cell r="H155">
            <v>33345</v>
          </cell>
          <cell r="I155" t="str">
            <v>No</v>
          </cell>
        </row>
        <row r="156">
          <cell r="A156" t="str">
            <v>75977-30364-AY</v>
          </cell>
          <cell r="B156" t="str">
            <v>Jocko Pray</v>
          </cell>
          <cell r="C156" t="str">
            <v>jpray4a@youtube.com</v>
          </cell>
          <cell r="D156" t="str">
            <v>+1 (215) 771-6504</v>
          </cell>
          <cell r="E156" t="str">
            <v>7764 Thackeray Hill</v>
          </cell>
          <cell r="F156" t="str">
            <v>Philadelphia</v>
          </cell>
          <cell r="G156" t="str">
            <v>United States</v>
          </cell>
          <cell r="H156">
            <v>19172</v>
          </cell>
          <cell r="I156" t="str">
            <v>No</v>
          </cell>
        </row>
        <row r="157">
          <cell r="A157" t="str">
            <v>12299-30914-NG</v>
          </cell>
          <cell r="B157" t="str">
            <v>Grete Holborn</v>
          </cell>
          <cell r="C157" t="str">
            <v>gholborn4b@ow.ly</v>
          </cell>
          <cell r="D157" t="str">
            <v>+1 (203) 577-5788</v>
          </cell>
          <cell r="E157" t="str">
            <v>124 Sycamore Point</v>
          </cell>
          <cell r="F157" t="str">
            <v>Norwalk</v>
          </cell>
          <cell r="G157" t="str">
            <v>United States</v>
          </cell>
          <cell r="H157">
            <v>6854</v>
          </cell>
          <cell r="I157" t="str">
            <v>Yes</v>
          </cell>
        </row>
        <row r="158">
          <cell r="A158" t="str">
            <v>59971-35626-YJ</v>
          </cell>
          <cell r="B158" t="str">
            <v>Fielding Keinrat</v>
          </cell>
          <cell r="C158" t="str">
            <v>fkeinrat4c@dailymail.co.uk</v>
          </cell>
          <cell r="D158" t="str">
            <v>+1 (817) 785-7050</v>
          </cell>
          <cell r="E158" t="str">
            <v>99382 Hagan Hill</v>
          </cell>
          <cell r="F158" t="str">
            <v>Arlington</v>
          </cell>
          <cell r="G158" t="str">
            <v>United States</v>
          </cell>
          <cell r="H158">
            <v>76011</v>
          </cell>
          <cell r="I158" t="str">
            <v>Yes</v>
          </cell>
        </row>
        <row r="159">
          <cell r="A159" t="str">
            <v>15380-76513-PS</v>
          </cell>
          <cell r="B159" t="str">
            <v>Paulo Yea</v>
          </cell>
          <cell r="C159" t="str">
            <v>pyea4d@aol.com</v>
          </cell>
          <cell r="D159" t="str">
            <v>+353 (885) 555-9183</v>
          </cell>
          <cell r="E159" t="str">
            <v>9760 Nelson Lane</v>
          </cell>
          <cell r="F159" t="str">
            <v>Ashford</v>
          </cell>
          <cell r="G159" t="str">
            <v>Ireland</v>
          </cell>
          <cell r="H159" t="str">
            <v>H12</v>
          </cell>
          <cell r="I159" t="str">
            <v>No</v>
          </cell>
        </row>
        <row r="160">
          <cell r="A160" t="str">
            <v>73564-98204-EY</v>
          </cell>
          <cell r="B160" t="str">
            <v>Say Risborough</v>
          </cell>
          <cell r="D160" t="str">
            <v>+1 (423) 485-6650</v>
          </cell>
          <cell r="E160" t="str">
            <v>57914 Brentwood Junction</v>
          </cell>
          <cell r="F160" t="str">
            <v>Chattanooga</v>
          </cell>
          <cell r="G160" t="str">
            <v>United States</v>
          </cell>
          <cell r="H160">
            <v>37416</v>
          </cell>
          <cell r="I160" t="str">
            <v>Yes</v>
          </cell>
        </row>
        <row r="161">
          <cell r="A161" t="str">
            <v>72282-40594-RX</v>
          </cell>
          <cell r="B161" t="str">
            <v>Alexa Sizey</v>
          </cell>
          <cell r="D161" t="str">
            <v>+1 (503) 774-7836</v>
          </cell>
          <cell r="E161" t="str">
            <v>198 Lighthouse Bay Avenue</v>
          </cell>
          <cell r="F161" t="str">
            <v>Portland</v>
          </cell>
          <cell r="G161" t="str">
            <v>United States</v>
          </cell>
          <cell r="H161">
            <v>97296</v>
          </cell>
          <cell r="I161" t="str">
            <v>No</v>
          </cell>
        </row>
        <row r="162">
          <cell r="A162" t="str">
            <v>17514-94165-RJ</v>
          </cell>
          <cell r="B162" t="str">
            <v>Kari Swede</v>
          </cell>
          <cell r="C162" t="str">
            <v>kswede4g@addthis.com</v>
          </cell>
          <cell r="D162" t="str">
            <v>+1 (405) 535-0273</v>
          </cell>
          <cell r="E162" t="str">
            <v>94 Pleasure Circle</v>
          </cell>
          <cell r="F162" t="str">
            <v>Oklahoma City</v>
          </cell>
          <cell r="G162" t="str">
            <v>United States</v>
          </cell>
          <cell r="H162">
            <v>73135</v>
          </cell>
          <cell r="I162" t="str">
            <v>No</v>
          </cell>
        </row>
        <row r="163">
          <cell r="A163" t="str">
            <v>56248-75861-JX</v>
          </cell>
          <cell r="B163" t="str">
            <v>Leontine Rubrow</v>
          </cell>
          <cell r="C163" t="str">
            <v>lrubrow4h@microsoft.com</v>
          </cell>
          <cell r="D163" t="str">
            <v>+1 (202) 503-9022</v>
          </cell>
          <cell r="E163" t="str">
            <v>352 Jana Center</v>
          </cell>
          <cell r="F163" t="str">
            <v>Washington</v>
          </cell>
          <cell r="G163" t="str">
            <v>United States</v>
          </cell>
          <cell r="H163">
            <v>20520</v>
          </cell>
          <cell r="I163" t="str">
            <v>No</v>
          </cell>
        </row>
        <row r="164">
          <cell r="A164" t="str">
            <v>97855-54761-IS</v>
          </cell>
          <cell r="B164" t="str">
            <v>Dottie Tift</v>
          </cell>
          <cell r="C164" t="str">
            <v>dtift4i@netvibes.com</v>
          </cell>
          <cell r="D164" t="str">
            <v>+1 (336) 766-8518</v>
          </cell>
          <cell r="E164" t="str">
            <v>581 Forest Run Avenue</v>
          </cell>
          <cell r="F164" t="str">
            <v>Greensboro</v>
          </cell>
          <cell r="G164" t="str">
            <v>United States</v>
          </cell>
          <cell r="H164">
            <v>27415</v>
          </cell>
          <cell r="I164" t="str">
            <v>Yes</v>
          </cell>
        </row>
        <row r="165">
          <cell r="A165" t="str">
            <v>96544-91644-IT</v>
          </cell>
          <cell r="B165" t="str">
            <v>Gerardo Schonfeld</v>
          </cell>
          <cell r="C165" t="str">
            <v>gschonfeld4j@oracle.com</v>
          </cell>
          <cell r="D165" t="str">
            <v>+1 (571) 238-0580</v>
          </cell>
          <cell r="E165" t="str">
            <v>60 Spohn Plaza</v>
          </cell>
          <cell r="F165" t="str">
            <v>Alexandria</v>
          </cell>
          <cell r="G165" t="str">
            <v>United States</v>
          </cell>
          <cell r="H165">
            <v>22313</v>
          </cell>
          <cell r="I165" t="str">
            <v>No</v>
          </cell>
        </row>
        <row r="166">
          <cell r="A166" t="str">
            <v>51971-70393-QM</v>
          </cell>
          <cell r="B166" t="str">
            <v>Claiborne Feye</v>
          </cell>
          <cell r="C166" t="str">
            <v>cfeye4k@google.co.jp</v>
          </cell>
          <cell r="D166" t="str">
            <v>+353 (471) 184-7815</v>
          </cell>
          <cell r="E166" t="str">
            <v>601 Northridge Circle</v>
          </cell>
          <cell r="F166" t="str">
            <v>Castlebridge</v>
          </cell>
          <cell r="G166" t="str">
            <v>Ireland</v>
          </cell>
          <cell r="H166" t="str">
            <v>R14</v>
          </cell>
          <cell r="I166" t="str">
            <v>No</v>
          </cell>
        </row>
        <row r="167">
          <cell r="A167" t="str">
            <v>06812-11924-IK</v>
          </cell>
          <cell r="B167" t="str">
            <v>Mina Elstone</v>
          </cell>
          <cell r="D167" t="str">
            <v>+1 (262) 320-1474</v>
          </cell>
          <cell r="E167" t="str">
            <v>6 Manley Plaza</v>
          </cell>
          <cell r="F167" t="str">
            <v>Racine</v>
          </cell>
          <cell r="G167" t="str">
            <v>United States</v>
          </cell>
          <cell r="H167">
            <v>53405</v>
          </cell>
          <cell r="I167" t="str">
            <v>Yes</v>
          </cell>
        </row>
        <row r="168">
          <cell r="A168" t="str">
            <v>59741-90220-OW</v>
          </cell>
          <cell r="B168" t="str">
            <v>Sherman Mewrcik</v>
          </cell>
          <cell r="D168" t="str">
            <v>+1 (305) 419-8626</v>
          </cell>
          <cell r="E168" t="str">
            <v>44305 Scofield Park</v>
          </cell>
          <cell r="F168" t="str">
            <v>Clearwater</v>
          </cell>
          <cell r="G168" t="str">
            <v>United States</v>
          </cell>
          <cell r="H168">
            <v>34629</v>
          </cell>
          <cell r="I168" t="str">
            <v>Yes</v>
          </cell>
        </row>
        <row r="169">
          <cell r="A169" t="str">
            <v>62682-27930-PD</v>
          </cell>
          <cell r="B169" t="str">
            <v>Tamarah Fero</v>
          </cell>
          <cell r="C169" t="str">
            <v>tfero4n@comsenz.com</v>
          </cell>
          <cell r="D169" t="str">
            <v>+1 (262) 954-6859</v>
          </cell>
          <cell r="E169" t="str">
            <v>6 Fisk Street</v>
          </cell>
          <cell r="F169" t="str">
            <v>Racine</v>
          </cell>
          <cell r="G169" t="str">
            <v>United States</v>
          </cell>
          <cell r="H169">
            <v>53405</v>
          </cell>
          <cell r="I169" t="str">
            <v>Yes</v>
          </cell>
        </row>
        <row r="170">
          <cell r="A170" t="str">
            <v>00256-19905-YG</v>
          </cell>
          <cell r="B170" t="str">
            <v>Stanislaus Valsler</v>
          </cell>
          <cell r="D170" t="str">
            <v>+353 (479) 865-9222</v>
          </cell>
          <cell r="E170" t="str">
            <v>95 Southridge Alley</v>
          </cell>
          <cell r="F170" t="str">
            <v>Castlebridge</v>
          </cell>
          <cell r="G170" t="str">
            <v>Ireland</v>
          </cell>
          <cell r="H170" t="str">
            <v>R14</v>
          </cell>
          <cell r="I170" t="str">
            <v>No</v>
          </cell>
        </row>
        <row r="171">
          <cell r="A171" t="str">
            <v>38890-22576-UI</v>
          </cell>
          <cell r="B171" t="str">
            <v>Felita Dauney</v>
          </cell>
          <cell r="C171" t="str">
            <v>fdauney4p@sphinn.com</v>
          </cell>
          <cell r="D171" t="str">
            <v>+353 (669) 355-6726</v>
          </cell>
          <cell r="E171" t="str">
            <v>22484 Tomscot Lane</v>
          </cell>
          <cell r="F171" t="str">
            <v>Castlebellingham</v>
          </cell>
          <cell r="G171" t="str">
            <v>Ireland</v>
          </cell>
          <cell r="H171" t="str">
            <v>Y34</v>
          </cell>
          <cell r="I171" t="str">
            <v>No</v>
          </cell>
        </row>
        <row r="172">
          <cell r="A172" t="str">
            <v>94573-61802-PH</v>
          </cell>
          <cell r="B172" t="str">
            <v>Serena Earley</v>
          </cell>
          <cell r="C172" t="str">
            <v>searley4q@youku.com</v>
          </cell>
          <cell r="E172" t="str">
            <v>66197 Onsgard Place</v>
          </cell>
          <cell r="F172" t="str">
            <v>Craigavon</v>
          </cell>
          <cell r="G172" t="str">
            <v>United Kingdom</v>
          </cell>
          <cell r="H172" t="str">
            <v>BT66</v>
          </cell>
          <cell r="I172" t="str">
            <v>No</v>
          </cell>
        </row>
        <row r="173">
          <cell r="A173" t="str">
            <v>86447-02699-UT</v>
          </cell>
          <cell r="B173" t="str">
            <v>Minny Chamberlayne</v>
          </cell>
          <cell r="C173" t="str">
            <v>mchamberlayne4r@bigcartel.com</v>
          </cell>
          <cell r="D173" t="str">
            <v>+1 (813) 801-0026</v>
          </cell>
          <cell r="E173" t="str">
            <v>1 Ridgeview Place</v>
          </cell>
          <cell r="F173" t="str">
            <v>Tampa</v>
          </cell>
          <cell r="G173" t="str">
            <v>United States</v>
          </cell>
          <cell r="H173">
            <v>33686</v>
          </cell>
          <cell r="I173" t="str">
            <v>Yes</v>
          </cell>
        </row>
        <row r="174">
          <cell r="A174" t="str">
            <v>51432-27169-KN</v>
          </cell>
          <cell r="B174" t="str">
            <v>Bartholemy Flaherty</v>
          </cell>
          <cell r="C174" t="str">
            <v>bflaherty4s@moonfruit.com</v>
          </cell>
          <cell r="E174" t="str">
            <v>045 Jana Place</v>
          </cell>
          <cell r="F174" t="str">
            <v>Eadestown</v>
          </cell>
          <cell r="G174" t="str">
            <v>Ireland</v>
          </cell>
          <cell r="H174" t="str">
            <v>A86</v>
          </cell>
          <cell r="I174" t="str">
            <v>No</v>
          </cell>
        </row>
        <row r="175">
          <cell r="A175" t="str">
            <v>43074-00987-PB</v>
          </cell>
          <cell r="B175" t="str">
            <v>Oran Colbeck</v>
          </cell>
          <cell r="C175" t="str">
            <v>ocolbeck4t@sina.com.cn</v>
          </cell>
          <cell r="D175" t="str">
            <v>+1 (334) 441-4420</v>
          </cell>
          <cell r="E175" t="str">
            <v>8984 Moulton Hill</v>
          </cell>
          <cell r="F175" t="str">
            <v>Montgomery</v>
          </cell>
          <cell r="G175" t="str">
            <v>United States</v>
          </cell>
          <cell r="H175">
            <v>36195</v>
          </cell>
          <cell r="I175" t="str">
            <v>No</v>
          </cell>
        </row>
        <row r="176">
          <cell r="A176" t="str">
            <v>04739-85772-QT</v>
          </cell>
          <cell r="B176" t="str">
            <v>Elysee Sketch</v>
          </cell>
          <cell r="D176" t="str">
            <v>+1 (775) 947-1470</v>
          </cell>
          <cell r="E176" t="str">
            <v>2 Gina Drive</v>
          </cell>
          <cell r="F176" t="str">
            <v>Sparks</v>
          </cell>
          <cell r="G176" t="str">
            <v>United States</v>
          </cell>
          <cell r="H176">
            <v>89436</v>
          </cell>
          <cell r="I176" t="str">
            <v>Yes</v>
          </cell>
        </row>
        <row r="177">
          <cell r="A177" t="str">
            <v>28279-78469-YW</v>
          </cell>
          <cell r="B177" t="str">
            <v>Ethelda Hobbing</v>
          </cell>
          <cell r="C177" t="str">
            <v>ehobbing4v@nsw.gov.au</v>
          </cell>
          <cell r="D177" t="str">
            <v>+1 (478) 206-7670</v>
          </cell>
          <cell r="E177" t="str">
            <v>1 Debs Place</v>
          </cell>
          <cell r="F177" t="str">
            <v>Macon</v>
          </cell>
          <cell r="G177" t="str">
            <v>United States</v>
          </cell>
          <cell r="H177">
            <v>31205</v>
          </cell>
          <cell r="I177" t="str">
            <v>Yes</v>
          </cell>
        </row>
        <row r="178">
          <cell r="A178" t="str">
            <v>91829-99544-DS</v>
          </cell>
          <cell r="B178" t="str">
            <v>Odille Thynne</v>
          </cell>
          <cell r="C178" t="str">
            <v>othynne4w@auda.org.au</v>
          </cell>
          <cell r="D178" t="str">
            <v>+1 (562) 132-7323</v>
          </cell>
          <cell r="E178" t="str">
            <v>26 Oakridge Way</v>
          </cell>
          <cell r="F178" t="str">
            <v>Whittier</v>
          </cell>
          <cell r="G178" t="str">
            <v>United States</v>
          </cell>
          <cell r="H178">
            <v>90605</v>
          </cell>
          <cell r="I178" t="str">
            <v>Yes</v>
          </cell>
        </row>
        <row r="179">
          <cell r="A179" t="str">
            <v>38978-59582-JP</v>
          </cell>
          <cell r="B179" t="str">
            <v>Emlynne Heining</v>
          </cell>
          <cell r="C179" t="str">
            <v>eheining4x@flickr.com</v>
          </cell>
          <cell r="E179" t="str">
            <v>439 West Point</v>
          </cell>
          <cell r="F179" t="str">
            <v>Johnson City</v>
          </cell>
          <cell r="G179" t="str">
            <v>United States</v>
          </cell>
          <cell r="H179">
            <v>37605</v>
          </cell>
          <cell r="I179" t="str">
            <v>Yes</v>
          </cell>
        </row>
        <row r="180">
          <cell r="A180" t="str">
            <v>86504-96610-BH</v>
          </cell>
          <cell r="B180" t="str">
            <v>Katerina Melloi</v>
          </cell>
          <cell r="C180" t="str">
            <v>kmelloi4y@imdb.com</v>
          </cell>
          <cell r="D180" t="str">
            <v>+1 (315) 525-0805</v>
          </cell>
          <cell r="E180" t="str">
            <v>1930 Haas Way</v>
          </cell>
          <cell r="F180" t="str">
            <v>Rochester</v>
          </cell>
          <cell r="G180" t="str">
            <v>United States</v>
          </cell>
          <cell r="H180">
            <v>14614</v>
          </cell>
          <cell r="I180" t="str">
            <v>No</v>
          </cell>
        </row>
        <row r="181">
          <cell r="A181" t="str">
            <v>75986-98864-EZ</v>
          </cell>
          <cell r="B181" t="str">
            <v>Tiffany Scardafield</v>
          </cell>
          <cell r="D181" t="str">
            <v>+353 (232) 652-5145</v>
          </cell>
          <cell r="E181" t="str">
            <v>69737 Hanover Center</v>
          </cell>
          <cell r="F181" t="str">
            <v>Portarlington</v>
          </cell>
          <cell r="G181" t="str">
            <v>Ireland</v>
          </cell>
          <cell r="H181" t="str">
            <v>R21</v>
          </cell>
          <cell r="I181" t="str">
            <v>No</v>
          </cell>
        </row>
        <row r="182">
          <cell r="A182" t="str">
            <v>66776-88682-RG</v>
          </cell>
          <cell r="B182" t="str">
            <v>Abrahan Mussen</v>
          </cell>
          <cell r="C182" t="str">
            <v>amussen50@51.la</v>
          </cell>
          <cell r="D182" t="str">
            <v>+1 (212) 630-8669</v>
          </cell>
          <cell r="E182" t="str">
            <v>22974 Beilfuss Plaza</v>
          </cell>
          <cell r="F182" t="str">
            <v>Brooklyn</v>
          </cell>
          <cell r="G182" t="str">
            <v>United States</v>
          </cell>
          <cell r="H182">
            <v>11254</v>
          </cell>
          <cell r="I182" t="str">
            <v>No</v>
          </cell>
        </row>
        <row r="183">
          <cell r="A183" t="str">
            <v>33284-98063-SE</v>
          </cell>
          <cell r="B183" t="str">
            <v>Essie Nellies</v>
          </cell>
          <cell r="C183" t="str">
            <v>enellies51@goodreads.com</v>
          </cell>
          <cell r="D183" t="str">
            <v>+1 (617) 519-0419</v>
          </cell>
          <cell r="E183" t="str">
            <v>9 Hallows Trail</v>
          </cell>
          <cell r="F183" t="str">
            <v>Springfield</v>
          </cell>
          <cell r="G183" t="str">
            <v>United States</v>
          </cell>
          <cell r="H183">
            <v>1114</v>
          </cell>
          <cell r="I183" t="str">
            <v>No</v>
          </cell>
        </row>
        <row r="184">
          <cell r="A184" t="str">
            <v>85851-78384-DM</v>
          </cell>
          <cell r="B184" t="str">
            <v>Anny Mundford</v>
          </cell>
          <cell r="C184" t="str">
            <v>amundford52@nbcnews.com</v>
          </cell>
          <cell r="D184" t="str">
            <v>+1 (434) 738-7279</v>
          </cell>
          <cell r="E184" t="str">
            <v>5097 Mitchell Plaza</v>
          </cell>
          <cell r="F184" t="str">
            <v>Charlottesville</v>
          </cell>
          <cell r="G184" t="str">
            <v>United States</v>
          </cell>
          <cell r="H184">
            <v>22908</v>
          </cell>
          <cell r="I184" t="str">
            <v>No</v>
          </cell>
        </row>
        <row r="185">
          <cell r="A185" t="str">
            <v>55232-81621-BX</v>
          </cell>
          <cell r="B185" t="str">
            <v>Tory Walas</v>
          </cell>
          <cell r="C185" t="str">
            <v>twalas53@google.ca</v>
          </cell>
          <cell r="D185" t="str">
            <v>+1 (214) 205-7809</v>
          </cell>
          <cell r="E185" t="str">
            <v>2673 Everett Place</v>
          </cell>
          <cell r="F185" t="str">
            <v>Garland</v>
          </cell>
          <cell r="G185" t="str">
            <v>United States</v>
          </cell>
          <cell r="H185">
            <v>75044</v>
          </cell>
          <cell r="I185" t="str">
            <v>No</v>
          </cell>
        </row>
        <row r="186">
          <cell r="A186" t="str">
            <v>80310-92912-JA</v>
          </cell>
          <cell r="B186" t="str">
            <v>Isa Blazewicz</v>
          </cell>
          <cell r="C186" t="str">
            <v>iblazewicz54@thetimes.co.uk</v>
          </cell>
          <cell r="D186" t="str">
            <v>+1 (612) 683-3450</v>
          </cell>
          <cell r="E186" t="str">
            <v>4646 Graceland Circle</v>
          </cell>
          <cell r="F186" t="str">
            <v>Minneapolis</v>
          </cell>
          <cell r="G186" t="str">
            <v>United States</v>
          </cell>
          <cell r="H186">
            <v>55448</v>
          </cell>
          <cell r="I186" t="str">
            <v>No</v>
          </cell>
        </row>
        <row r="187">
          <cell r="A187" t="str">
            <v>19821-05175-WZ</v>
          </cell>
          <cell r="B187" t="str">
            <v>Angie Rizzetti</v>
          </cell>
          <cell r="C187" t="str">
            <v>arizzetti55@naver.com</v>
          </cell>
          <cell r="D187" t="str">
            <v>+1 (517) 237-7606</v>
          </cell>
          <cell r="E187" t="str">
            <v>24 Mendota Junction</v>
          </cell>
          <cell r="F187" t="str">
            <v>Lansing</v>
          </cell>
          <cell r="G187" t="str">
            <v>United States</v>
          </cell>
          <cell r="H187">
            <v>48919</v>
          </cell>
          <cell r="I187" t="str">
            <v>Yes</v>
          </cell>
        </row>
        <row r="188">
          <cell r="A188" t="str">
            <v>01338-83217-GV</v>
          </cell>
          <cell r="B188" t="str">
            <v>Mord Meriet</v>
          </cell>
          <cell r="C188" t="str">
            <v>mmeriet56@noaa.gov</v>
          </cell>
          <cell r="D188" t="str">
            <v>+1 (701) 560-2604</v>
          </cell>
          <cell r="E188" t="str">
            <v>56000 Kedzie Alley</v>
          </cell>
          <cell r="F188" t="str">
            <v>Grand Forks</v>
          </cell>
          <cell r="G188" t="str">
            <v>United States</v>
          </cell>
          <cell r="H188">
            <v>58207</v>
          </cell>
          <cell r="I188" t="str">
            <v>No</v>
          </cell>
        </row>
        <row r="189">
          <cell r="A189" t="str">
            <v>66044-25298-TA</v>
          </cell>
          <cell r="B189" t="str">
            <v>Lawrence Pratt</v>
          </cell>
          <cell r="C189" t="str">
            <v>lpratt57@netvibes.com</v>
          </cell>
          <cell r="E189" t="str">
            <v>57 Monterey Avenue</v>
          </cell>
          <cell r="F189" t="str">
            <v>Anchorage</v>
          </cell>
          <cell r="G189" t="str">
            <v>United States</v>
          </cell>
          <cell r="H189">
            <v>99522</v>
          </cell>
          <cell r="I189" t="str">
            <v>Yes</v>
          </cell>
        </row>
        <row r="190">
          <cell r="A190" t="str">
            <v>28728-47861-TZ</v>
          </cell>
          <cell r="B190" t="str">
            <v>Astrix Kitchingham</v>
          </cell>
          <cell r="C190" t="str">
            <v>akitchingham58@com.com</v>
          </cell>
          <cell r="D190" t="str">
            <v>+1 (405) 645-2204</v>
          </cell>
          <cell r="E190" t="str">
            <v>716 Shoshone Point</v>
          </cell>
          <cell r="F190" t="str">
            <v>Oklahoma City</v>
          </cell>
          <cell r="G190" t="str">
            <v>United States</v>
          </cell>
          <cell r="H190">
            <v>73129</v>
          </cell>
          <cell r="I190" t="str">
            <v>Yes</v>
          </cell>
        </row>
        <row r="191">
          <cell r="A191" t="str">
            <v>32638-38620-AX</v>
          </cell>
          <cell r="B191" t="str">
            <v>Burnard Bartholin</v>
          </cell>
          <cell r="C191" t="str">
            <v>bbartholin59@xinhuanet.com</v>
          </cell>
          <cell r="D191" t="str">
            <v>+1 (918) 720-2715</v>
          </cell>
          <cell r="E191" t="str">
            <v>19600 Scofield Trail</v>
          </cell>
          <cell r="F191" t="str">
            <v>Tulsa</v>
          </cell>
          <cell r="G191" t="str">
            <v>United States</v>
          </cell>
          <cell r="H191">
            <v>74103</v>
          </cell>
          <cell r="I191" t="str">
            <v>Yes</v>
          </cell>
        </row>
        <row r="192">
          <cell r="A192" t="str">
            <v>83163-65741-IH</v>
          </cell>
          <cell r="B192" t="str">
            <v>Madelene Prinn</v>
          </cell>
          <cell r="C192" t="str">
            <v>mprinn5a@usa.gov</v>
          </cell>
          <cell r="D192" t="str">
            <v>+1 (734) 909-6836</v>
          </cell>
          <cell r="E192" t="str">
            <v>39 Dahle Road</v>
          </cell>
          <cell r="F192" t="str">
            <v>Detroit</v>
          </cell>
          <cell r="G192" t="str">
            <v>United States</v>
          </cell>
          <cell r="H192">
            <v>48211</v>
          </cell>
          <cell r="I192" t="str">
            <v>Yes</v>
          </cell>
        </row>
        <row r="193">
          <cell r="A193" t="str">
            <v>89422-58281-FD</v>
          </cell>
          <cell r="B193" t="str">
            <v>Alisun Baudino</v>
          </cell>
          <cell r="C193" t="str">
            <v>abaudino5b@netvibes.com</v>
          </cell>
          <cell r="D193" t="str">
            <v>+1 (202) 328-7869</v>
          </cell>
          <cell r="E193" t="str">
            <v>07 Charing Cross Circle</v>
          </cell>
          <cell r="F193" t="str">
            <v>Washington</v>
          </cell>
          <cell r="G193" t="str">
            <v>United States</v>
          </cell>
          <cell r="H193">
            <v>20436</v>
          </cell>
          <cell r="I193" t="str">
            <v>Yes</v>
          </cell>
        </row>
        <row r="194">
          <cell r="A194" t="str">
            <v>76293-30918-DQ</v>
          </cell>
          <cell r="B194" t="str">
            <v>Philipa Petrushanko</v>
          </cell>
          <cell r="C194" t="str">
            <v>ppetrushanko5c@blinklist.com</v>
          </cell>
          <cell r="D194" t="str">
            <v>+353 (540) 480-2145</v>
          </cell>
          <cell r="E194" t="str">
            <v>08 Laurel Trail</v>
          </cell>
          <cell r="F194" t="str">
            <v>Nenagh</v>
          </cell>
          <cell r="G194" t="str">
            <v>Ireland</v>
          </cell>
          <cell r="H194" t="str">
            <v>E45</v>
          </cell>
          <cell r="I194" t="str">
            <v>Yes</v>
          </cell>
        </row>
        <row r="195">
          <cell r="A195" t="str">
            <v>86779-84838-EJ</v>
          </cell>
          <cell r="B195" t="str">
            <v>Kimberli Mustchin</v>
          </cell>
          <cell r="D195" t="str">
            <v>+1 (602) 411-5038</v>
          </cell>
          <cell r="E195" t="str">
            <v>0043 Arkansas Court</v>
          </cell>
          <cell r="F195" t="str">
            <v>Mesa</v>
          </cell>
          <cell r="G195" t="str">
            <v>United States</v>
          </cell>
          <cell r="H195">
            <v>85215</v>
          </cell>
          <cell r="I195" t="str">
            <v>No</v>
          </cell>
        </row>
        <row r="196">
          <cell r="A196" t="str">
            <v>66806-41795-MX</v>
          </cell>
          <cell r="B196" t="str">
            <v>Emlynne Laird</v>
          </cell>
          <cell r="C196" t="str">
            <v>elaird5e@bing.com</v>
          </cell>
          <cell r="D196" t="str">
            <v>+1 (330) 112-0053</v>
          </cell>
          <cell r="E196" t="str">
            <v>43451 Doe Crossing Trail</v>
          </cell>
          <cell r="F196" t="str">
            <v>Warren</v>
          </cell>
          <cell r="G196" t="str">
            <v>United States</v>
          </cell>
          <cell r="H196">
            <v>44485</v>
          </cell>
          <cell r="I196" t="str">
            <v>No</v>
          </cell>
        </row>
        <row r="197">
          <cell r="A197" t="str">
            <v>64875-71224-UI</v>
          </cell>
          <cell r="B197" t="str">
            <v>Marlena Howsden</v>
          </cell>
          <cell r="C197" t="str">
            <v>mhowsden5f@infoseek.co.jp</v>
          </cell>
          <cell r="D197" t="str">
            <v>+1 (901) 806-9640</v>
          </cell>
          <cell r="E197" t="str">
            <v>0410 Autumn Leaf Drive</v>
          </cell>
          <cell r="F197" t="str">
            <v>Memphis</v>
          </cell>
          <cell r="G197" t="str">
            <v>United States</v>
          </cell>
          <cell r="H197">
            <v>38150</v>
          </cell>
          <cell r="I197" t="str">
            <v>No</v>
          </cell>
        </row>
        <row r="198">
          <cell r="A198" t="str">
            <v>16982-35708-BZ</v>
          </cell>
          <cell r="B198" t="str">
            <v>Nealson Cuttler</v>
          </cell>
          <cell r="C198" t="str">
            <v>ncuttler5g@parallels.com</v>
          </cell>
          <cell r="E198" t="str">
            <v>1 Melvin Circle</v>
          </cell>
          <cell r="F198" t="str">
            <v>Washington</v>
          </cell>
          <cell r="G198" t="str">
            <v>United States</v>
          </cell>
          <cell r="H198">
            <v>20535</v>
          </cell>
          <cell r="I198" t="str">
            <v>No</v>
          </cell>
        </row>
        <row r="199">
          <cell r="A199" t="str">
            <v>62425-26461-RK</v>
          </cell>
          <cell r="B199" t="str">
            <v>Crin Vernham</v>
          </cell>
          <cell r="C199" t="str">
            <v>cvernham5h@e-recht24.de</v>
          </cell>
          <cell r="D199" t="str">
            <v>+353 (807) 911-7640</v>
          </cell>
          <cell r="E199" t="str">
            <v>96312 Michigan Parkway</v>
          </cell>
          <cell r="F199" t="str">
            <v>Muff</v>
          </cell>
          <cell r="G199" t="str">
            <v>Ireland</v>
          </cell>
          <cell r="H199" t="str">
            <v>R32</v>
          </cell>
          <cell r="I199" t="str">
            <v>Yes</v>
          </cell>
        </row>
        <row r="200">
          <cell r="A200" t="str">
            <v>71468-76923-BU</v>
          </cell>
          <cell r="B200" t="str">
            <v>Jenn Munnings</v>
          </cell>
          <cell r="C200" t="str">
            <v>jmunnings5i@springer.com</v>
          </cell>
          <cell r="D200" t="str">
            <v>+1 (305) 802-3100</v>
          </cell>
          <cell r="E200" t="str">
            <v>7 Merchant Point</v>
          </cell>
          <cell r="F200" t="str">
            <v>Pompano Beach</v>
          </cell>
          <cell r="G200" t="str">
            <v>United States</v>
          </cell>
          <cell r="H200">
            <v>33064</v>
          </cell>
          <cell r="I200" t="str">
            <v>No</v>
          </cell>
        </row>
        <row r="201">
          <cell r="A201" t="str">
            <v>23014-48364-QB</v>
          </cell>
          <cell r="B201" t="str">
            <v>Olympie Dautry</v>
          </cell>
          <cell r="C201" t="str">
            <v>odautry5j@etsy.com</v>
          </cell>
          <cell r="D201" t="str">
            <v>+1 (773) 841-1261</v>
          </cell>
          <cell r="E201" t="str">
            <v>9015 Anzinger Point</v>
          </cell>
          <cell r="F201" t="str">
            <v>Chicago</v>
          </cell>
          <cell r="G201" t="str">
            <v>United States</v>
          </cell>
          <cell r="H201">
            <v>60604</v>
          </cell>
          <cell r="I201" t="str">
            <v>No</v>
          </cell>
        </row>
        <row r="202">
          <cell r="A202" t="str">
            <v>92588-14671-JM</v>
          </cell>
          <cell r="B202" t="str">
            <v>Ingaborg Dunwoody</v>
          </cell>
          <cell r="C202" t="str">
            <v>idunwoody5k@sourceforge.net</v>
          </cell>
          <cell r="D202" t="str">
            <v>+44 (389) 895-0886</v>
          </cell>
          <cell r="E202" t="str">
            <v>687 Ruskin Center</v>
          </cell>
          <cell r="F202" t="str">
            <v>East End</v>
          </cell>
          <cell r="G202" t="str">
            <v>United Kingdom</v>
          </cell>
          <cell r="H202" t="str">
            <v>BH21</v>
          </cell>
          <cell r="I202" t="str">
            <v>No</v>
          </cell>
        </row>
        <row r="203">
          <cell r="A203" t="str">
            <v>66708-26678-QK</v>
          </cell>
          <cell r="B203" t="str">
            <v>Adriana Lazarus</v>
          </cell>
          <cell r="D203" t="str">
            <v>+1 (801) 581-0444</v>
          </cell>
          <cell r="E203" t="str">
            <v>9429 Porter Circle</v>
          </cell>
          <cell r="F203" t="str">
            <v>Ogden</v>
          </cell>
          <cell r="G203" t="str">
            <v>United States</v>
          </cell>
          <cell r="H203">
            <v>84409</v>
          </cell>
          <cell r="I203" t="str">
            <v>No</v>
          </cell>
        </row>
        <row r="204">
          <cell r="A204" t="str">
            <v>08743-09057-OO</v>
          </cell>
          <cell r="B204" t="str">
            <v>Tallie felip</v>
          </cell>
          <cell r="C204" t="str">
            <v>tfelip5m@typepad.com</v>
          </cell>
          <cell r="D204" t="str">
            <v>+1 (518) 651-0940</v>
          </cell>
          <cell r="E204" t="str">
            <v>9 Roth Point</v>
          </cell>
          <cell r="F204" t="str">
            <v>Albany</v>
          </cell>
          <cell r="G204" t="str">
            <v>United States</v>
          </cell>
          <cell r="H204">
            <v>12205</v>
          </cell>
          <cell r="I204" t="str">
            <v>Yes</v>
          </cell>
        </row>
        <row r="205">
          <cell r="A205" t="str">
            <v>37490-01572-JW</v>
          </cell>
          <cell r="B205" t="str">
            <v>Vanna Le - Count</v>
          </cell>
          <cell r="C205" t="str">
            <v>vle5n@disqus.com</v>
          </cell>
          <cell r="D205" t="str">
            <v>+1 (864) 694-6658</v>
          </cell>
          <cell r="E205" t="str">
            <v>69128 Ronald Regan Road</v>
          </cell>
          <cell r="F205" t="str">
            <v>Spartanburg</v>
          </cell>
          <cell r="G205" t="str">
            <v>United States</v>
          </cell>
          <cell r="H205">
            <v>29305</v>
          </cell>
          <cell r="I205" t="str">
            <v>No</v>
          </cell>
        </row>
        <row r="206">
          <cell r="A206" t="str">
            <v>01811-60350-CU</v>
          </cell>
          <cell r="B206" t="str">
            <v>Sarette Ducarel</v>
          </cell>
          <cell r="D206" t="str">
            <v>+1 (914) 915-4328</v>
          </cell>
          <cell r="E206" t="str">
            <v>04922 Colorado Street</v>
          </cell>
          <cell r="F206" t="str">
            <v>Staten Island</v>
          </cell>
          <cell r="G206" t="str">
            <v>United States</v>
          </cell>
          <cell r="H206">
            <v>10310</v>
          </cell>
          <cell r="I206" t="str">
            <v>No</v>
          </cell>
        </row>
        <row r="207">
          <cell r="A207" t="str">
            <v>24766-58139-GT</v>
          </cell>
          <cell r="B207" t="str">
            <v>Kendra Glison</v>
          </cell>
          <cell r="D207" t="str">
            <v>+1 (202) 137-6867</v>
          </cell>
          <cell r="E207" t="str">
            <v>1 Kipling Lane</v>
          </cell>
          <cell r="F207" t="str">
            <v>Washington</v>
          </cell>
          <cell r="G207" t="str">
            <v>United States</v>
          </cell>
          <cell r="H207">
            <v>20337</v>
          </cell>
          <cell r="I207" t="str">
            <v>Yes</v>
          </cell>
        </row>
        <row r="208">
          <cell r="A208" t="str">
            <v>90123-70970-NY</v>
          </cell>
          <cell r="B208" t="str">
            <v>Nertie Poolman</v>
          </cell>
          <cell r="C208" t="str">
            <v>npoolman5q@howstuffworks.com</v>
          </cell>
          <cell r="E208" t="str">
            <v>356 Service Way</v>
          </cell>
          <cell r="F208" t="str">
            <v>Charlotte</v>
          </cell>
          <cell r="G208" t="str">
            <v>United States</v>
          </cell>
          <cell r="H208">
            <v>28225</v>
          </cell>
          <cell r="I208" t="str">
            <v>No</v>
          </cell>
        </row>
        <row r="209">
          <cell r="A209" t="str">
            <v>93809-05424-MG</v>
          </cell>
          <cell r="B209" t="str">
            <v>Orbadiah Duny</v>
          </cell>
          <cell r="C209" t="str">
            <v>oduny5r@constantcontact.com</v>
          </cell>
          <cell r="D209" t="str">
            <v>+1 (806) 181-9003</v>
          </cell>
          <cell r="E209" t="str">
            <v>62772 Arkansas Pass</v>
          </cell>
          <cell r="F209" t="str">
            <v>Lubbock</v>
          </cell>
          <cell r="G209" t="str">
            <v>United States</v>
          </cell>
          <cell r="H209">
            <v>79491</v>
          </cell>
          <cell r="I209" t="str">
            <v>Yes</v>
          </cell>
        </row>
        <row r="210">
          <cell r="A210" t="str">
            <v>85425-33494-HQ</v>
          </cell>
          <cell r="B210" t="str">
            <v>Constance Halfhide</v>
          </cell>
          <cell r="C210" t="str">
            <v>chalfhide5s@google.ru</v>
          </cell>
          <cell r="D210" t="str">
            <v>+353 (885) 827-8865</v>
          </cell>
          <cell r="E210" t="str">
            <v>75275 Sunnyside Center</v>
          </cell>
          <cell r="F210" t="str">
            <v>Fermoy</v>
          </cell>
          <cell r="G210" t="str">
            <v>Ireland</v>
          </cell>
          <cell r="H210" t="str">
            <v>P61</v>
          </cell>
          <cell r="I210" t="str">
            <v>Yes</v>
          </cell>
        </row>
        <row r="211">
          <cell r="A211" t="str">
            <v>54387-64897-XC</v>
          </cell>
          <cell r="B211" t="str">
            <v>Fransisco Malecky</v>
          </cell>
          <cell r="C211" t="str">
            <v>fmalecky5t@list-manage.com</v>
          </cell>
          <cell r="D211" t="str">
            <v>+44 (738) 660-4264</v>
          </cell>
          <cell r="E211" t="str">
            <v>11 Dakota Lane</v>
          </cell>
          <cell r="F211" t="str">
            <v>Whitwell</v>
          </cell>
          <cell r="G211" t="str">
            <v>United Kingdom</v>
          </cell>
          <cell r="H211" t="str">
            <v>DL10</v>
          </cell>
          <cell r="I211" t="str">
            <v>No</v>
          </cell>
        </row>
        <row r="212">
          <cell r="A212" t="str">
            <v>01035-70465-UO</v>
          </cell>
          <cell r="B212" t="str">
            <v>Anselma Attwater</v>
          </cell>
          <cell r="C212" t="str">
            <v>aattwater5u@wikia.com</v>
          </cell>
          <cell r="D212" t="str">
            <v>+1 (434) 821-8618</v>
          </cell>
          <cell r="E212" t="str">
            <v>72 Maryland Terrace</v>
          </cell>
          <cell r="F212" t="str">
            <v>Charlottesville</v>
          </cell>
          <cell r="G212" t="str">
            <v>United States</v>
          </cell>
          <cell r="H212">
            <v>22908</v>
          </cell>
          <cell r="I212" t="str">
            <v>Yes</v>
          </cell>
        </row>
        <row r="213">
          <cell r="A213" t="str">
            <v>84260-39432-ML</v>
          </cell>
          <cell r="B213" t="str">
            <v>Minette Whellans</v>
          </cell>
          <cell r="C213" t="str">
            <v>mwhellans5v@mapquest.com</v>
          </cell>
          <cell r="E213" t="str">
            <v>3 High Crossing Way</v>
          </cell>
          <cell r="F213" t="str">
            <v>New York City</v>
          </cell>
          <cell r="G213" t="str">
            <v>United States</v>
          </cell>
          <cell r="H213">
            <v>10105</v>
          </cell>
          <cell r="I213" t="str">
            <v>No</v>
          </cell>
        </row>
        <row r="214">
          <cell r="A214" t="str">
            <v>69779-40609-RS</v>
          </cell>
          <cell r="B214" t="str">
            <v>Dael Camilletti</v>
          </cell>
          <cell r="C214" t="str">
            <v>dcamilletti5w@businesswire.com</v>
          </cell>
          <cell r="D214" t="str">
            <v>+1 (540) 722-6065</v>
          </cell>
          <cell r="E214" t="str">
            <v>782 American Terrace</v>
          </cell>
          <cell r="F214" t="str">
            <v>Roanoke</v>
          </cell>
          <cell r="G214" t="str">
            <v>United States</v>
          </cell>
          <cell r="H214">
            <v>24009</v>
          </cell>
          <cell r="I214" t="str">
            <v>Yes</v>
          </cell>
        </row>
        <row r="215">
          <cell r="A215" t="str">
            <v>80247-70000-HT</v>
          </cell>
          <cell r="B215" t="str">
            <v>Emiline Galgey</v>
          </cell>
          <cell r="C215" t="str">
            <v>egalgey5x@wufoo.com</v>
          </cell>
          <cell r="D215" t="str">
            <v>+1 (718) 311-6732</v>
          </cell>
          <cell r="E215" t="str">
            <v>6 Park Meadow Plaza</v>
          </cell>
          <cell r="F215" t="str">
            <v>New York City</v>
          </cell>
          <cell r="G215" t="str">
            <v>United States</v>
          </cell>
          <cell r="H215">
            <v>10009</v>
          </cell>
          <cell r="I215" t="str">
            <v>No</v>
          </cell>
        </row>
        <row r="216">
          <cell r="A216" t="str">
            <v>35058-04550-VC</v>
          </cell>
          <cell r="B216" t="str">
            <v>Murdock Hame</v>
          </cell>
          <cell r="C216" t="str">
            <v>mhame5y@newsvine.com</v>
          </cell>
          <cell r="D216" t="str">
            <v>+353 (649) 297-0884</v>
          </cell>
          <cell r="E216" t="str">
            <v>0 Burning Wood Drive</v>
          </cell>
          <cell r="F216" t="str">
            <v>Balally</v>
          </cell>
          <cell r="G216" t="str">
            <v>Ireland</v>
          </cell>
          <cell r="H216" t="str">
            <v>D04</v>
          </cell>
          <cell r="I216" t="str">
            <v>No</v>
          </cell>
        </row>
        <row r="217">
          <cell r="A217" t="str">
            <v>27226-53717-SY</v>
          </cell>
          <cell r="B217" t="str">
            <v>Ilka Gurnee</v>
          </cell>
          <cell r="C217" t="str">
            <v>igurnee5z@usnews.com</v>
          </cell>
          <cell r="D217" t="str">
            <v>+1 (801) 642-0352</v>
          </cell>
          <cell r="E217" t="str">
            <v>1 Troy Circle</v>
          </cell>
          <cell r="F217" t="str">
            <v>Salt Lake City</v>
          </cell>
          <cell r="G217" t="str">
            <v>United States</v>
          </cell>
          <cell r="H217">
            <v>84120</v>
          </cell>
          <cell r="I217" t="str">
            <v>No</v>
          </cell>
        </row>
        <row r="218">
          <cell r="A218" t="str">
            <v>02002-98725-CH</v>
          </cell>
          <cell r="B218" t="str">
            <v>Alfy Snowding</v>
          </cell>
          <cell r="C218" t="str">
            <v>asnowding60@comsenz.com</v>
          </cell>
          <cell r="D218" t="str">
            <v>+1 (419) 996-2492</v>
          </cell>
          <cell r="E218" t="str">
            <v>1691 Comanche Lane</v>
          </cell>
          <cell r="F218" t="str">
            <v>Toledo</v>
          </cell>
          <cell r="G218" t="str">
            <v>United States</v>
          </cell>
          <cell r="H218">
            <v>43635</v>
          </cell>
          <cell r="I218" t="str">
            <v>Yes</v>
          </cell>
        </row>
        <row r="219">
          <cell r="A219" t="str">
            <v>38487-01549-MV</v>
          </cell>
          <cell r="B219" t="str">
            <v>Godfry Poinsett</v>
          </cell>
          <cell r="C219" t="str">
            <v>gpoinsett61@berkeley.edu</v>
          </cell>
          <cell r="D219" t="str">
            <v>+1 (626) 451-7397</v>
          </cell>
          <cell r="E219" t="str">
            <v>75026 Monica Parkway</v>
          </cell>
          <cell r="F219" t="str">
            <v>Pasadena</v>
          </cell>
          <cell r="G219" t="str">
            <v>United States</v>
          </cell>
          <cell r="H219">
            <v>91131</v>
          </cell>
          <cell r="I219" t="str">
            <v>No</v>
          </cell>
        </row>
        <row r="220">
          <cell r="A220" t="str">
            <v>98573-41811-EQ</v>
          </cell>
          <cell r="B220" t="str">
            <v>Rem Furman</v>
          </cell>
          <cell r="C220" t="str">
            <v>rfurman62@t.co</v>
          </cell>
          <cell r="D220" t="str">
            <v>+353 (829) 808-4788</v>
          </cell>
          <cell r="E220" t="str">
            <v>91239 Ilene Hill</v>
          </cell>
          <cell r="F220" t="str">
            <v>Kinsale</v>
          </cell>
          <cell r="G220" t="str">
            <v>Ireland</v>
          </cell>
          <cell r="H220" t="str">
            <v>P17</v>
          </cell>
          <cell r="I220" t="str">
            <v>Yes</v>
          </cell>
        </row>
        <row r="221">
          <cell r="A221" t="str">
            <v>72463-75685-MV</v>
          </cell>
          <cell r="B221" t="str">
            <v>Charis Crosier</v>
          </cell>
          <cell r="C221" t="str">
            <v>ccrosier63@xrea.com</v>
          </cell>
          <cell r="D221" t="str">
            <v>+1 (816) 578-2743</v>
          </cell>
          <cell r="E221" t="str">
            <v>54506 Arapahoe Center</v>
          </cell>
          <cell r="F221" t="str">
            <v>Lees Summit</v>
          </cell>
          <cell r="G221" t="str">
            <v>United States</v>
          </cell>
          <cell r="H221">
            <v>64082</v>
          </cell>
          <cell r="I221" t="str">
            <v>No</v>
          </cell>
        </row>
        <row r="222">
          <cell r="A222" t="str">
            <v>14797-35530-HY</v>
          </cell>
          <cell r="B222" t="str">
            <v>Monte Percifull</v>
          </cell>
          <cell r="C222" t="str">
            <v>mpercifull64@netlog.com</v>
          </cell>
          <cell r="D222" t="str">
            <v>+1 (817) 441-3285</v>
          </cell>
          <cell r="E222" t="str">
            <v>7 Stoughton Hill</v>
          </cell>
          <cell r="F222" t="str">
            <v>Fort Worth</v>
          </cell>
          <cell r="G222" t="str">
            <v>United States</v>
          </cell>
          <cell r="H222">
            <v>76121</v>
          </cell>
          <cell r="I222" t="str">
            <v>No</v>
          </cell>
        </row>
        <row r="223">
          <cell r="A223" t="str">
            <v>10225-91535-AI</v>
          </cell>
          <cell r="B223" t="str">
            <v>Lenka Rushmer</v>
          </cell>
          <cell r="C223" t="str">
            <v>lrushmer65@europa.eu</v>
          </cell>
          <cell r="D223" t="str">
            <v>+1 (949) 869-7598</v>
          </cell>
          <cell r="E223" t="str">
            <v>70379 Canary Plaza</v>
          </cell>
          <cell r="F223" t="str">
            <v>Irvine</v>
          </cell>
          <cell r="G223" t="str">
            <v>United States</v>
          </cell>
          <cell r="H223">
            <v>92619</v>
          </cell>
          <cell r="I223" t="str">
            <v>Yes</v>
          </cell>
        </row>
        <row r="224">
          <cell r="A224" t="str">
            <v>48090-06534-HI</v>
          </cell>
          <cell r="B224" t="str">
            <v>Waneta Edinborough</v>
          </cell>
          <cell r="C224" t="str">
            <v>wedinborough66@github.io</v>
          </cell>
          <cell r="D224" t="str">
            <v>+1 (516) 445-4950</v>
          </cell>
          <cell r="E224" t="str">
            <v>1 Golden Leaf Hill</v>
          </cell>
          <cell r="F224" t="str">
            <v>Hicksville</v>
          </cell>
          <cell r="G224" t="str">
            <v>United States</v>
          </cell>
          <cell r="H224">
            <v>11854</v>
          </cell>
          <cell r="I224" t="str">
            <v>No</v>
          </cell>
        </row>
        <row r="225">
          <cell r="A225" t="str">
            <v>80444-58185-FX</v>
          </cell>
          <cell r="B225" t="str">
            <v>Bobbe Piggott</v>
          </cell>
          <cell r="D225" t="str">
            <v>+1 (202) 650-1803</v>
          </cell>
          <cell r="E225" t="str">
            <v>812 Erie Court</v>
          </cell>
          <cell r="F225" t="str">
            <v>Washington</v>
          </cell>
          <cell r="G225" t="str">
            <v>United States</v>
          </cell>
          <cell r="H225">
            <v>20546</v>
          </cell>
          <cell r="I225" t="str">
            <v>Yes</v>
          </cell>
        </row>
        <row r="226">
          <cell r="A226" t="str">
            <v>13561-92774-WP</v>
          </cell>
          <cell r="B226" t="str">
            <v>Ketty Bromehead</v>
          </cell>
          <cell r="C226" t="str">
            <v>kbromehead68@un.org</v>
          </cell>
          <cell r="D226" t="str">
            <v>+1 (646) 586-9964</v>
          </cell>
          <cell r="E226" t="str">
            <v>69 Birchwood Place</v>
          </cell>
          <cell r="F226" t="str">
            <v>New York City</v>
          </cell>
          <cell r="G226" t="str">
            <v>United States</v>
          </cell>
          <cell r="H226">
            <v>10060</v>
          </cell>
          <cell r="I226" t="str">
            <v>Yes</v>
          </cell>
        </row>
        <row r="227">
          <cell r="A227" t="str">
            <v>11550-78378-GE</v>
          </cell>
          <cell r="B227" t="str">
            <v>Elsbeth Westerman</v>
          </cell>
          <cell r="C227" t="str">
            <v>ewesterman69@si.edu</v>
          </cell>
          <cell r="D227" t="str">
            <v>+353 (343) 455-4020</v>
          </cell>
          <cell r="E227" t="str">
            <v>7 Packers Court</v>
          </cell>
          <cell r="F227" t="str">
            <v>Newmarket on Fergus</v>
          </cell>
          <cell r="G227" t="str">
            <v>Ireland</v>
          </cell>
          <cell r="H227" t="str">
            <v>P17</v>
          </cell>
          <cell r="I227" t="str">
            <v>No</v>
          </cell>
        </row>
        <row r="228">
          <cell r="A228" t="str">
            <v>90961-35603-RP</v>
          </cell>
          <cell r="B228" t="str">
            <v>Anabelle Hutchens</v>
          </cell>
          <cell r="C228" t="str">
            <v>ahutchens6a@amazonaws.com</v>
          </cell>
          <cell r="D228" t="str">
            <v>+1 (913) 108-5997</v>
          </cell>
          <cell r="E228" t="str">
            <v>8 Russell Plaza</v>
          </cell>
          <cell r="F228" t="str">
            <v>Shawnee Mission</v>
          </cell>
          <cell r="G228" t="str">
            <v>United States</v>
          </cell>
          <cell r="H228">
            <v>66276</v>
          </cell>
          <cell r="I228" t="str">
            <v>No</v>
          </cell>
        </row>
        <row r="229">
          <cell r="A229" t="str">
            <v>57145-03803-ZL</v>
          </cell>
          <cell r="B229" t="str">
            <v>Noak Wyvill</v>
          </cell>
          <cell r="C229" t="str">
            <v>nwyvill6b@naver.com</v>
          </cell>
          <cell r="D229" t="str">
            <v>+44 (872) 383-2829</v>
          </cell>
          <cell r="E229" t="str">
            <v>47 Declaration Alley</v>
          </cell>
          <cell r="F229" t="str">
            <v>Edinburgh</v>
          </cell>
          <cell r="G229" t="str">
            <v>United Kingdom</v>
          </cell>
          <cell r="H229" t="str">
            <v>EH9</v>
          </cell>
          <cell r="I229" t="str">
            <v>Yes</v>
          </cell>
        </row>
        <row r="230">
          <cell r="A230" t="str">
            <v>89115-11966-VF</v>
          </cell>
          <cell r="B230" t="str">
            <v>Beltran Mathon</v>
          </cell>
          <cell r="C230" t="str">
            <v>bmathon6c@barnesandnoble.com</v>
          </cell>
          <cell r="D230" t="str">
            <v>+1 (916) 915-5069</v>
          </cell>
          <cell r="E230" t="str">
            <v>6131 Huxley Pass</v>
          </cell>
          <cell r="F230" t="str">
            <v>Sacramento</v>
          </cell>
          <cell r="G230" t="str">
            <v>United States</v>
          </cell>
          <cell r="H230">
            <v>94291</v>
          </cell>
          <cell r="I230" t="str">
            <v>No</v>
          </cell>
        </row>
        <row r="231">
          <cell r="A231" t="str">
            <v>05754-41702-FG</v>
          </cell>
          <cell r="B231" t="str">
            <v>Kristos Streight</v>
          </cell>
          <cell r="C231" t="str">
            <v>kstreight6d@about.com</v>
          </cell>
          <cell r="D231" t="str">
            <v>+1 (570) 873-3891</v>
          </cell>
          <cell r="E231" t="str">
            <v>5 Anderson Court</v>
          </cell>
          <cell r="F231" t="str">
            <v>Wilkes Barre</v>
          </cell>
          <cell r="G231" t="str">
            <v>United States</v>
          </cell>
          <cell r="H231">
            <v>18706</v>
          </cell>
          <cell r="I231" t="str">
            <v>No</v>
          </cell>
        </row>
        <row r="232">
          <cell r="A232" t="str">
            <v>84269-49816-ML</v>
          </cell>
          <cell r="B232" t="str">
            <v>Portie Cutchie</v>
          </cell>
          <cell r="C232" t="str">
            <v>pcutchie6e@globo.com</v>
          </cell>
          <cell r="D232" t="str">
            <v>+1 (336) 679-7755</v>
          </cell>
          <cell r="E232" t="str">
            <v>5 Esch Parkway</v>
          </cell>
          <cell r="F232" t="str">
            <v>Greensboro</v>
          </cell>
          <cell r="G232" t="str">
            <v>United States</v>
          </cell>
          <cell r="H232">
            <v>27499</v>
          </cell>
          <cell r="I232" t="str">
            <v>No</v>
          </cell>
        </row>
        <row r="233">
          <cell r="A233" t="str">
            <v>23600-98432-ME</v>
          </cell>
          <cell r="B233" t="str">
            <v>Sinclare Edsell</v>
          </cell>
          <cell r="D233" t="str">
            <v>+1 (302) 746-8950</v>
          </cell>
          <cell r="E233" t="str">
            <v>226 Harper Place</v>
          </cell>
          <cell r="F233" t="str">
            <v>Newark</v>
          </cell>
          <cell r="G233" t="str">
            <v>United States</v>
          </cell>
          <cell r="H233">
            <v>19725</v>
          </cell>
          <cell r="I233" t="str">
            <v>Yes</v>
          </cell>
        </row>
        <row r="234">
          <cell r="A234" t="str">
            <v>79058-02767-CP</v>
          </cell>
          <cell r="B234" t="str">
            <v>Conny Gheraldi</v>
          </cell>
          <cell r="C234" t="str">
            <v>cgheraldi6g@opera.com</v>
          </cell>
          <cell r="D234" t="str">
            <v>+44 (494) 875-2364</v>
          </cell>
          <cell r="E234" t="str">
            <v>28998 Cottonwood Point</v>
          </cell>
          <cell r="F234" t="str">
            <v>Kinloch</v>
          </cell>
          <cell r="G234" t="str">
            <v>United Kingdom</v>
          </cell>
          <cell r="H234" t="str">
            <v>PH43</v>
          </cell>
          <cell r="I234" t="str">
            <v>No</v>
          </cell>
        </row>
        <row r="235">
          <cell r="A235" t="str">
            <v>89208-74646-UK</v>
          </cell>
          <cell r="B235" t="str">
            <v>Beryle Kenwell</v>
          </cell>
          <cell r="C235" t="str">
            <v>bkenwell6h@over-blog.com</v>
          </cell>
          <cell r="D235" t="str">
            <v>+1 (808) 836-6023</v>
          </cell>
          <cell r="E235" t="str">
            <v>62 Dayton Drive</v>
          </cell>
          <cell r="F235" t="str">
            <v>Honolulu</v>
          </cell>
          <cell r="G235" t="str">
            <v>United States</v>
          </cell>
          <cell r="H235">
            <v>96825</v>
          </cell>
          <cell r="I235" t="str">
            <v>No</v>
          </cell>
        </row>
        <row r="236">
          <cell r="A236" t="str">
            <v>11408-81032-UR</v>
          </cell>
          <cell r="B236" t="str">
            <v>Tomas Sutty</v>
          </cell>
          <cell r="C236" t="str">
            <v>tsutty6i@google.es</v>
          </cell>
          <cell r="D236" t="str">
            <v>+1 (212) 586-1957</v>
          </cell>
          <cell r="E236" t="str">
            <v>736 Mosinee Court</v>
          </cell>
          <cell r="F236" t="str">
            <v>New York City</v>
          </cell>
          <cell r="G236" t="str">
            <v>United States</v>
          </cell>
          <cell r="H236">
            <v>10150</v>
          </cell>
          <cell r="I236" t="str">
            <v>No</v>
          </cell>
        </row>
        <row r="237">
          <cell r="A237" t="str">
            <v>32070-55528-UG</v>
          </cell>
          <cell r="B237" t="str">
            <v>Samuele Ales0</v>
          </cell>
          <cell r="E237" t="str">
            <v>0023 Westport Terrace</v>
          </cell>
          <cell r="F237" t="str">
            <v>Ballinroad</v>
          </cell>
          <cell r="G237" t="str">
            <v>Ireland</v>
          </cell>
          <cell r="H237" t="str">
            <v>D07</v>
          </cell>
          <cell r="I237" t="str">
            <v>No</v>
          </cell>
        </row>
        <row r="238">
          <cell r="A238" t="str">
            <v>48873-84433-PN</v>
          </cell>
          <cell r="B238" t="str">
            <v>Carlie Harce</v>
          </cell>
          <cell r="C238" t="str">
            <v>charce6k@cafepress.com</v>
          </cell>
          <cell r="D238" t="str">
            <v>+353 (444) 423-0673</v>
          </cell>
          <cell r="E238" t="str">
            <v>8 Melrose Center</v>
          </cell>
          <cell r="F238" t="str">
            <v>D煤n Laoghaire</v>
          </cell>
          <cell r="G238" t="str">
            <v>Ireland</v>
          </cell>
          <cell r="H238" t="str">
            <v>A96</v>
          </cell>
          <cell r="I238" t="str">
            <v>No</v>
          </cell>
        </row>
        <row r="239">
          <cell r="A239" t="str">
            <v>32928-18158-OW</v>
          </cell>
          <cell r="B239" t="str">
            <v>Craggy Bril</v>
          </cell>
          <cell r="D239" t="str">
            <v>+1 (513) 461-0440</v>
          </cell>
          <cell r="E239" t="str">
            <v>955 Ridge Oak Street</v>
          </cell>
          <cell r="F239" t="str">
            <v>Cincinnati</v>
          </cell>
          <cell r="G239" t="str">
            <v>United States</v>
          </cell>
          <cell r="H239">
            <v>45218</v>
          </cell>
          <cell r="I239" t="str">
            <v>Yes</v>
          </cell>
        </row>
        <row r="240">
          <cell r="A240" t="str">
            <v>89711-56688-GG</v>
          </cell>
          <cell r="B240" t="str">
            <v>Friederike Drysdale</v>
          </cell>
          <cell r="C240" t="str">
            <v>fdrysdale6m@symantec.com</v>
          </cell>
          <cell r="D240" t="str">
            <v>+1 (989) 215-5282</v>
          </cell>
          <cell r="E240" t="str">
            <v>0229 Hovde Hill</v>
          </cell>
          <cell r="F240" t="str">
            <v>Midland</v>
          </cell>
          <cell r="G240" t="str">
            <v>United States</v>
          </cell>
          <cell r="H240">
            <v>48670</v>
          </cell>
          <cell r="I240" t="str">
            <v>Yes</v>
          </cell>
        </row>
        <row r="241">
          <cell r="A241" t="str">
            <v>48389-71976-JB</v>
          </cell>
          <cell r="B241" t="str">
            <v>Devon Magowan</v>
          </cell>
          <cell r="C241" t="str">
            <v>dmagowan6n@fc2.com</v>
          </cell>
          <cell r="D241" t="str">
            <v>+1 (307) 159-5237</v>
          </cell>
          <cell r="E241" t="str">
            <v>42 Sloan Way</v>
          </cell>
          <cell r="F241" t="str">
            <v>Cheyenne</v>
          </cell>
          <cell r="G241" t="str">
            <v>United States</v>
          </cell>
          <cell r="H241">
            <v>82007</v>
          </cell>
          <cell r="I241" t="str">
            <v>No</v>
          </cell>
        </row>
        <row r="242">
          <cell r="A242" t="str">
            <v>84033-80762-EQ</v>
          </cell>
          <cell r="B242" t="str">
            <v>Codi Littrell</v>
          </cell>
          <cell r="E242" t="str">
            <v>3 Colorado Lane</v>
          </cell>
          <cell r="F242" t="str">
            <v>Atlanta</v>
          </cell>
          <cell r="G242" t="str">
            <v>United States</v>
          </cell>
          <cell r="H242">
            <v>31119</v>
          </cell>
          <cell r="I242" t="str">
            <v>Yes</v>
          </cell>
        </row>
        <row r="243">
          <cell r="A243" t="str">
            <v>12743-00952-KO</v>
          </cell>
          <cell r="B243" t="str">
            <v>Christel Speak</v>
          </cell>
          <cell r="D243" t="str">
            <v>+1 (678) 222-0967</v>
          </cell>
          <cell r="E243" t="str">
            <v>8 Crowley Place</v>
          </cell>
          <cell r="F243" t="str">
            <v>Duluth</v>
          </cell>
          <cell r="G243" t="str">
            <v>United States</v>
          </cell>
          <cell r="H243">
            <v>30096</v>
          </cell>
          <cell r="I243" t="str">
            <v>No</v>
          </cell>
        </row>
        <row r="244">
          <cell r="A244" t="str">
            <v>41505-42181-EF</v>
          </cell>
          <cell r="B244" t="str">
            <v>Sibella Rushbrooke</v>
          </cell>
          <cell r="C244" t="str">
            <v>srushbrooke6q@youku.com</v>
          </cell>
          <cell r="D244" t="str">
            <v>+1 (916) 214-5665</v>
          </cell>
          <cell r="E244" t="str">
            <v>00901 Marquette Plaza</v>
          </cell>
          <cell r="F244" t="str">
            <v>Sacramento</v>
          </cell>
          <cell r="G244" t="str">
            <v>United States</v>
          </cell>
          <cell r="H244">
            <v>94250</v>
          </cell>
          <cell r="I244" t="str">
            <v>Yes</v>
          </cell>
        </row>
        <row r="245">
          <cell r="A245" t="str">
            <v>14307-87663-KB</v>
          </cell>
          <cell r="B245" t="str">
            <v>Tammie Drynan</v>
          </cell>
          <cell r="C245" t="str">
            <v>tdrynan6r@deviantart.com</v>
          </cell>
          <cell r="D245" t="str">
            <v>+1 (813) 619-0579</v>
          </cell>
          <cell r="E245" t="str">
            <v>5776 Coleman Circle</v>
          </cell>
          <cell r="F245" t="str">
            <v>Tampa</v>
          </cell>
          <cell r="G245" t="str">
            <v>United States</v>
          </cell>
          <cell r="H245">
            <v>33661</v>
          </cell>
          <cell r="I245" t="str">
            <v>Yes</v>
          </cell>
        </row>
        <row r="246">
          <cell r="A246" t="str">
            <v>08360-19442-GB</v>
          </cell>
          <cell r="B246" t="str">
            <v>Effie Yurkov</v>
          </cell>
          <cell r="C246" t="str">
            <v>eyurkov6s@hud.gov</v>
          </cell>
          <cell r="D246" t="str">
            <v>+1 (808) 320-5976</v>
          </cell>
          <cell r="E246" t="str">
            <v>970 Northport Pass</v>
          </cell>
          <cell r="F246" t="str">
            <v>Honolulu</v>
          </cell>
          <cell r="G246" t="str">
            <v>United States</v>
          </cell>
          <cell r="H246">
            <v>96805</v>
          </cell>
          <cell r="I246" t="str">
            <v>No</v>
          </cell>
        </row>
        <row r="247">
          <cell r="A247" t="str">
            <v>93405-51204-UW</v>
          </cell>
          <cell r="B247" t="str">
            <v>Lexie Mallan</v>
          </cell>
          <cell r="C247" t="str">
            <v>lmallan6t@state.gov</v>
          </cell>
          <cell r="D247" t="str">
            <v>+1 (225) 484-4771</v>
          </cell>
          <cell r="E247" t="str">
            <v>43 Longview Center</v>
          </cell>
          <cell r="F247" t="str">
            <v>Baton Rouge</v>
          </cell>
          <cell r="G247" t="str">
            <v>United States</v>
          </cell>
          <cell r="H247">
            <v>70820</v>
          </cell>
          <cell r="I247" t="str">
            <v>Yes</v>
          </cell>
        </row>
        <row r="248">
          <cell r="A248" t="str">
            <v>97152-03355-IW</v>
          </cell>
          <cell r="B248" t="str">
            <v>Georgena Bentjens</v>
          </cell>
          <cell r="C248" t="str">
            <v>gbentjens6u@netlog.com</v>
          </cell>
          <cell r="D248" t="str">
            <v>+44 (610) 153-1208</v>
          </cell>
          <cell r="E248" t="str">
            <v>4738 Bashford Crossing</v>
          </cell>
          <cell r="F248" t="str">
            <v>Newbiggin</v>
          </cell>
          <cell r="G248" t="str">
            <v>United Kingdom</v>
          </cell>
          <cell r="H248" t="str">
            <v>NE46</v>
          </cell>
          <cell r="I248" t="str">
            <v>No</v>
          </cell>
        </row>
        <row r="249">
          <cell r="A249" t="str">
            <v>79216-73157-TE</v>
          </cell>
          <cell r="B249" t="str">
            <v>Delmar Beasant</v>
          </cell>
          <cell r="D249" t="str">
            <v>+353 (382) 208-0531</v>
          </cell>
          <cell r="E249" t="str">
            <v>856 Colorado Way</v>
          </cell>
          <cell r="F249" t="str">
            <v>Kilkenny</v>
          </cell>
          <cell r="G249" t="str">
            <v>Ireland</v>
          </cell>
          <cell r="H249" t="str">
            <v>R95</v>
          </cell>
          <cell r="I249" t="str">
            <v>Yes</v>
          </cell>
        </row>
        <row r="250">
          <cell r="A250" t="str">
            <v>20259-47723-AC</v>
          </cell>
          <cell r="B250" t="str">
            <v>Lyn Entwistle</v>
          </cell>
          <cell r="C250" t="str">
            <v>lentwistle6w@omniture.com</v>
          </cell>
          <cell r="D250" t="str">
            <v>+1 (612) 972-1256</v>
          </cell>
          <cell r="E250" t="str">
            <v>54 Canary Terrace</v>
          </cell>
          <cell r="F250" t="str">
            <v>Minneapolis</v>
          </cell>
          <cell r="G250" t="str">
            <v>United States</v>
          </cell>
          <cell r="H250">
            <v>55458</v>
          </cell>
          <cell r="I250" t="str">
            <v>Yes</v>
          </cell>
        </row>
        <row r="251">
          <cell r="A251" t="str">
            <v>04947-41413-JP</v>
          </cell>
          <cell r="B251" t="str">
            <v>Stuart Lafee</v>
          </cell>
          <cell r="D251" t="str">
            <v>+1 (415) 923-7750</v>
          </cell>
          <cell r="E251" t="str">
            <v>259 Lake View Parkway</v>
          </cell>
          <cell r="F251" t="str">
            <v>San Francisco</v>
          </cell>
          <cell r="G251" t="str">
            <v>United States</v>
          </cell>
          <cell r="H251">
            <v>94159</v>
          </cell>
          <cell r="I251" t="str">
            <v>No</v>
          </cell>
        </row>
        <row r="252">
          <cell r="A252" t="str">
            <v>08909-77713-CG</v>
          </cell>
          <cell r="B252" t="str">
            <v>Mercedes Acott</v>
          </cell>
          <cell r="C252" t="str">
            <v>macott6y@pagesperso-orange.fr</v>
          </cell>
          <cell r="D252" t="str">
            <v>+1 (704) 892-0605</v>
          </cell>
          <cell r="E252" t="str">
            <v>37340 Lerdahl Avenue</v>
          </cell>
          <cell r="F252" t="str">
            <v>Charlotte</v>
          </cell>
          <cell r="G252" t="str">
            <v>United States</v>
          </cell>
          <cell r="H252">
            <v>28225</v>
          </cell>
          <cell r="I252" t="str">
            <v>Yes</v>
          </cell>
        </row>
        <row r="253">
          <cell r="A253" t="str">
            <v>84340-73931-VV</v>
          </cell>
          <cell r="B253" t="str">
            <v>Connor Heaviside</v>
          </cell>
          <cell r="C253" t="str">
            <v>cheaviside6z@rediff.com</v>
          </cell>
          <cell r="D253" t="str">
            <v>+1 (602) 260-2399</v>
          </cell>
          <cell r="E253" t="str">
            <v>941 Graceland Terrace</v>
          </cell>
          <cell r="F253" t="str">
            <v>Phoenix</v>
          </cell>
          <cell r="G253" t="str">
            <v>United States</v>
          </cell>
          <cell r="H253">
            <v>85099</v>
          </cell>
          <cell r="I253" t="str">
            <v>Yes</v>
          </cell>
        </row>
        <row r="254">
          <cell r="A254" t="str">
            <v>04609-95151-XH</v>
          </cell>
          <cell r="B254" t="str">
            <v>Devy Bulbrook</v>
          </cell>
          <cell r="D254" t="str">
            <v>+1 (212) 360-7479</v>
          </cell>
          <cell r="E254" t="str">
            <v>567 Farmco Hill</v>
          </cell>
          <cell r="F254" t="str">
            <v>Jamaica</v>
          </cell>
          <cell r="G254" t="str">
            <v>United States</v>
          </cell>
          <cell r="H254">
            <v>11407</v>
          </cell>
          <cell r="I254" t="str">
            <v>No</v>
          </cell>
        </row>
        <row r="255">
          <cell r="A255" t="str">
            <v>99562-88650-YF</v>
          </cell>
          <cell r="B255" t="str">
            <v>Leia Kernan</v>
          </cell>
          <cell r="C255" t="str">
            <v>lkernan71@wsj.com</v>
          </cell>
          <cell r="D255" t="str">
            <v>+1 (217) 146-0949</v>
          </cell>
          <cell r="E255" t="str">
            <v>76 Briar Crest Avenue</v>
          </cell>
          <cell r="F255" t="str">
            <v>Champaign</v>
          </cell>
          <cell r="G255" t="str">
            <v>United States</v>
          </cell>
          <cell r="H255">
            <v>61825</v>
          </cell>
          <cell r="I255" t="str">
            <v>No</v>
          </cell>
        </row>
        <row r="256">
          <cell r="A256" t="str">
            <v>46560-73885-PJ</v>
          </cell>
          <cell r="B256" t="str">
            <v>Rosaline McLae</v>
          </cell>
          <cell r="C256" t="str">
            <v>rmclae72@dailymotion.com</v>
          </cell>
          <cell r="E256" t="str">
            <v>1065 Myrtle Center</v>
          </cell>
          <cell r="F256" t="str">
            <v>Swindon</v>
          </cell>
          <cell r="G256" t="str">
            <v>United Kingdom</v>
          </cell>
          <cell r="H256" t="str">
            <v>SN1</v>
          </cell>
          <cell r="I256" t="str">
            <v>No</v>
          </cell>
        </row>
        <row r="257">
          <cell r="A257" t="str">
            <v>80179-44620-WN</v>
          </cell>
          <cell r="B257" t="str">
            <v>Cleve Blowfelde</v>
          </cell>
          <cell r="C257" t="str">
            <v>cblowfelde73@ustream.tv</v>
          </cell>
          <cell r="D257" t="str">
            <v>+1 (520) 951-0585</v>
          </cell>
          <cell r="E257" t="str">
            <v>72657 Shelley Alley</v>
          </cell>
          <cell r="F257" t="str">
            <v>Tucson</v>
          </cell>
          <cell r="G257" t="str">
            <v>United States</v>
          </cell>
          <cell r="H257">
            <v>85715</v>
          </cell>
          <cell r="I257" t="str">
            <v>No</v>
          </cell>
        </row>
        <row r="258">
          <cell r="A258" t="str">
            <v>04666-71569-RI</v>
          </cell>
          <cell r="B258" t="str">
            <v>Zacharias Kiffe</v>
          </cell>
          <cell r="C258" t="str">
            <v>zkiffe74@cyberchimps.com</v>
          </cell>
          <cell r="D258" t="str">
            <v>+1 (414) 703-7269</v>
          </cell>
          <cell r="E258" t="str">
            <v>32764 Buell Pass</v>
          </cell>
          <cell r="F258" t="str">
            <v>Milwaukee</v>
          </cell>
          <cell r="G258" t="str">
            <v>United States</v>
          </cell>
          <cell r="H258">
            <v>53205</v>
          </cell>
          <cell r="I258" t="str">
            <v>Yes</v>
          </cell>
        </row>
        <row r="259">
          <cell r="A259" t="str">
            <v>59081-87231-VP</v>
          </cell>
          <cell r="B259" t="str">
            <v>Denyse O'Calleran</v>
          </cell>
          <cell r="C259" t="str">
            <v>docalleran75@ucla.edu</v>
          </cell>
          <cell r="D259" t="str">
            <v>+1 (954) 368-3867</v>
          </cell>
          <cell r="E259" t="str">
            <v>6384 Darwin Avenue</v>
          </cell>
          <cell r="F259" t="str">
            <v>Pompano Beach</v>
          </cell>
          <cell r="G259" t="str">
            <v>United States</v>
          </cell>
          <cell r="H259">
            <v>33064</v>
          </cell>
          <cell r="I259" t="str">
            <v>Yes</v>
          </cell>
        </row>
        <row r="260">
          <cell r="A260" t="str">
            <v>07878-45872-CC</v>
          </cell>
          <cell r="B260" t="str">
            <v>Cobby Cromwell</v>
          </cell>
          <cell r="C260" t="str">
            <v>ccromwell76@desdev.cn</v>
          </cell>
          <cell r="D260" t="str">
            <v>+1 (562) 516-6052</v>
          </cell>
          <cell r="E260" t="str">
            <v>45604 Bunker Hill Court</v>
          </cell>
          <cell r="F260" t="str">
            <v>Whittier</v>
          </cell>
          <cell r="G260" t="str">
            <v>United States</v>
          </cell>
          <cell r="H260">
            <v>90610</v>
          </cell>
          <cell r="I260" t="str">
            <v>No</v>
          </cell>
        </row>
        <row r="261">
          <cell r="A261" t="str">
            <v>12444-05174-OO</v>
          </cell>
          <cell r="B261" t="str">
            <v>Irv Hay</v>
          </cell>
          <cell r="C261" t="str">
            <v>ihay77@lulu.com</v>
          </cell>
          <cell r="D261" t="str">
            <v>+44 (878) 199-6257</v>
          </cell>
          <cell r="E261" t="str">
            <v>667 Florence Drive</v>
          </cell>
          <cell r="F261" t="str">
            <v>Sheffield</v>
          </cell>
          <cell r="G261" t="str">
            <v>United Kingdom</v>
          </cell>
          <cell r="H261" t="str">
            <v>S33</v>
          </cell>
          <cell r="I261" t="str">
            <v>No</v>
          </cell>
        </row>
        <row r="262">
          <cell r="A262" t="str">
            <v>34665-62561-AU</v>
          </cell>
          <cell r="B262" t="str">
            <v>Tani Taffarello</v>
          </cell>
          <cell r="C262" t="str">
            <v>ttaffarello78@sciencedaily.com</v>
          </cell>
          <cell r="E262" t="str">
            <v>26 Linden Center</v>
          </cell>
          <cell r="F262" t="str">
            <v>Saint Louis</v>
          </cell>
          <cell r="G262" t="str">
            <v>United States</v>
          </cell>
          <cell r="H262">
            <v>63180</v>
          </cell>
          <cell r="I262" t="str">
            <v>Yes</v>
          </cell>
        </row>
        <row r="263">
          <cell r="A263" t="str">
            <v>77877-11993-QH</v>
          </cell>
          <cell r="B263" t="str">
            <v>Monique Canty</v>
          </cell>
          <cell r="C263" t="str">
            <v>mcanty79@jigsy.com</v>
          </cell>
          <cell r="D263" t="str">
            <v>+1 (814) 215-3753</v>
          </cell>
          <cell r="E263" t="str">
            <v>21342 Schiller Parkway</v>
          </cell>
          <cell r="F263" t="str">
            <v>Erie</v>
          </cell>
          <cell r="G263" t="str">
            <v>United States</v>
          </cell>
          <cell r="H263">
            <v>16522</v>
          </cell>
          <cell r="I263" t="str">
            <v>Yes</v>
          </cell>
        </row>
        <row r="264">
          <cell r="A264" t="str">
            <v>32291-18308-YZ</v>
          </cell>
          <cell r="B264" t="str">
            <v>Javier Kopke</v>
          </cell>
          <cell r="C264" t="str">
            <v>jkopke7a@auda.org.au</v>
          </cell>
          <cell r="D264" t="str">
            <v>+1 (253) 638-4435</v>
          </cell>
          <cell r="E264" t="str">
            <v>04 Hanson Junction</v>
          </cell>
          <cell r="F264" t="str">
            <v>Tacoma</v>
          </cell>
          <cell r="G264" t="str">
            <v>United States</v>
          </cell>
          <cell r="H264">
            <v>98464</v>
          </cell>
          <cell r="I264" t="str">
            <v>No</v>
          </cell>
        </row>
        <row r="265">
          <cell r="A265" t="str">
            <v>25754-33191-ZI</v>
          </cell>
          <cell r="B265" t="str">
            <v>Mar McIver</v>
          </cell>
          <cell r="D265" t="str">
            <v>+1 (571) 479-3812</v>
          </cell>
          <cell r="E265" t="str">
            <v>6 Carberry Pass</v>
          </cell>
          <cell r="F265" t="str">
            <v>Richmond</v>
          </cell>
          <cell r="G265" t="str">
            <v>United States</v>
          </cell>
          <cell r="H265">
            <v>23277</v>
          </cell>
          <cell r="I265" t="str">
            <v>No</v>
          </cell>
        </row>
        <row r="266">
          <cell r="A266" t="str">
            <v>53120-45532-KL</v>
          </cell>
          <cell r="B266" t="str">
            <v>Arabella Fransewich</v>
          </cell>
          <cell r="D266" t="str">
            <v>+353 (336) 656-6944</v>
          </cell>
          <cell r="E266" t="str">
            <v>675 Ruskin Road</v>
          </cell>
          <cell r="F266" t="str">
            <v>Kinsealy-Drinan</v>
          </cell>
          <cell r="G266" t="str">
            <v>Ireland</v>
          </cell>
          <cell r="H266" t="str">
            <v>D17</v>
          </cell>
          <cell r="I266" t="str">
            <v>Yes</v>
          </cell>
        </row>
        <row r="267">
          <cell r="A267" t="str">
            <v>36605-83052-WB</v>
          </cell>
          <cell r="B267" t="str">
            <v>Violette Hellmore</v>
          </cell>
          <cell r="C267" t="str">
            <v>vhellmore7d@bbc.co.uk</v>
          </cell>
          <cell r="D267" t="str">
            <v>+1 (501) 899-4038</v>
          </cell>
          <cell r="E267" t="str">
            <v>87597 Butternut Alley</v>
          </cell>
          <cell r="F267" t="str">
            <v>Little Rock</v>
          </cell>
          <cell r="G267" t="str">
            <v>United States</v>
          </cell>
          <cell r="H267">
            <v>72204</v>
          </cell>
          <cell r="I267" t="str">
            <v>Yes</v>
          </cell>
        </row>
        <row r="268">
          <cell r="A268" t="str">
            <v>53683-35977-KI</v>
          </cell>
          <cell r="B268" t="str">
            <v>Myles Seawright</v>
          </cell>
          <cell r="C268" t="str">
            <v>mseawright7e@nbcnews.com</v>
          </cell>
          <cell r="D268" t="str">
            <v>+44 (638) 528-2467</v>
          </cell>
          <cell r="E268" t="str">
            <v>5021 Summit Drive</v>
          </cell>
          <cell r="F268" t="str">
            <v>Newton</v>
          </cell>
          <cell r="G268" t="str">
            <v>United Kingdom</v>
          </cell>
          <cell r="H268" t="str">
            <v>NG34</v>
          </cell>
          <cell r="I268" t="str">
            <v>No</v>
          </cell>
        </row>
        <row r="269">
          <cell r="A269" t="str">
            <v>07972-83134-NM</v>
          </cell>
          <cell r="B269" t="str">
            <v>Silvana Northeast</v>
          </cell>
          <cell r="C269" t="str">
            <v>snortheast7f@mashable.com</v>
          </cell>
          <cell r="D269" t="str">
            <v>+1 (775) 344-1930</v>
          </cell>
          <cell r="E269" t="str">
            <v>4306 Northfield Place</v>
          </cell>
          <cell r="F269" t="str">
            <v>Sparks</v>
          </cell>
          <cell r="G269" t="str">
            <v>United States</v>
          </cell>
          <cell r="H269">
            <v>89436</v>
          </cell>
          <cell r="I269" t="str">
            <v>Yes</v>
          </cell>
        </row>
        <row r="270">
          <cell r="A270" t="str">
            <v>23229-79220-TE</v>
          </cell>
          <cell r="B270" t="str">
            <v>Annecorinne Leehane</v>
          </cell>
          <cell r="D270" t="str">
            <v>+1 (979) 206-8419</v>
          </cell>
          <cell r="E270" t="str">
            <v>722 Marcy Plaza</v>
          </cell>
          <cell r="F270" t="str">
            <v>Bryan</v>
          </cell>
          <cell r="G270" t="str">
            <v>United States</v>
          </cell>
          <cell r="H270">
            <v>77806</v>
          </cell>
          <cell r="I270" t="str">
            <v>Yes</v>
          </cell>
        </row>
        <row r="271">
          <cell r="A271" t="str">
            <v>25514-23938-IQ</v>
          </cell>
          <cell r="B271" t="str">
            <v>Monica Fearon</v>
          </cell>
          <cell r="C271" t="str">
            <v>mfearon7h@reverbnation.com</v>
          </cell>
          <cell r="D271" t="str">
            <v>+1 (972) 686-6332</v>
          </cell>
          <cell r="E271" t="str">
            <v>41524 Mandrake Center</v>
          </cell>
          <cell r="F271" t="str">
            <v>Denton</v>
          </cell>
          <cell r="G271" t="str">
            <v>United States</v>
          </cell>
          <cell r="H271">
            <v>76210</v>
          </cell>
          <cell r="I271" t="str">
            <v>No</v>
          </cell>
        </row>
        <row r="272">
          <cell r="A272" t="str">
            <v>49084-44492-OJ</v>
          </cell>
          <cell r="B272" t="str">
            <v>Barney Chisnell</v>
          </cell>
          <cell r="E272" t="str">
            <v>5915 Hallows Court</v>
          </cell>
          <cell r="F272" t="str">
            <v>Tullamore</v>
          </cell>
          <cell r="G272" t="str">
            <v>Ireland</v>
          </cell>
          <cell r="H272" t="str">
            <v>R35</v>
          </cell>
          <cell r="I272" t="str">
            <v>Yes</v>
          </cell>
        </row>
        <row r="273">
          <cell r="A273" t="str">
            <v>76624-72205-CK</v>
          </cell>
          <cell r="B273" t="str">
            <v>Jasper Sisneros</v>
          </cell>
          <cell r="C273" t="str">
            <v>jsisneros7j@a8.net</v>
          </cell>
          <cell r="D273" t="str">
            <v>+1 (919) 448-8909</v>
          </cell>
          <cell r="E273" t="str">
            <v>38 Dryden Plaza</v>
          </cell>
          <cell r="F273" t="str">
            <v>Raleigh</v>
          </cell>
          <cell r="G273" t="str">
            <v>United States</v>
          </cell>
          <cell r="H273">
            <v>27635</v>
          </cell>
          <cell r="I273" t="str">
            <v>Yes</v>
          </cell>
        </row>
        <row r="274">
          <cell r="A274" t="str">
            <v>12729-50170-JE</v>
          </cell>
          <cell r="B274" t="str">
            <v>Zachariah Carlson</v>
          </cell>
          <cell r="C274" t="str">
            <v>zcarlson7k@bigcartel.com</v>
          </cell>
          <cell r="D274" t="str">
            <v>+353 (259) 651-4128</v>
          </cell>
          <cell r="E274" t="str">
            <v>4825 Bowman Crossing</v>
          </cell>
          <cell r="F274" t="str">
            <v>Shankill</v>
          </cell>
          <cell r="G274" t="str">
            <v>Ireland</v>
          </cell>
          <cell r="H274" t="str">
            <v>A98</v>
          </cell>
          <cell r="I274" t="str">
            <v>Yes</v>
          </cell>
        </row>
        <row r="275">
          <cell r="A275" t="str">
            <v>43974-44760-QI</v>
          </cell>
          <cell r="B275" t="str">
            <v>Warner Maddox</v>
          </cell>
          <cell r="C275" t="str">
            <v>wmaddox7l@timesonline.co.uk</v>
          </cell>
          <cell r="D275" t="str">
            <v>+1 (917) 310-4684</v>
          </cell>
          <cell r="E275" t="str">
            <v>6223 North Hill</v>
          </cell>
          <cell r="F275" t="str">
            <v>New York City</v>
          </cell>
          <cell r="G275" t="str">
            <v>United States</v>
          </cell>
          <cell r="H275">
            <v>10105</v>
          </cell>
          <cell r="I275" t="str">
            <v>No</v>
          </cell>
        </row>
        <row r="276">
          <cell r="A276" t="str">
            <v>30585-48726-BK</v>
          </cell>
          <cell r="B276" t="str">
            <v>Donnie Hedlestone</v>
          </cell>
          <cell r="C276" t="str">
            <v>dhedlestone7m@craigslist.org</v>
          </cell>
          <cell r="D276" t="str">
            <v>+1 (203) 768-3169</v>
          </cell>
          <cell r="E276" t="str">
            <v>02670 Superior Way</v>
          </cell>
          <cell r="F276" t="str">
            <v>Stamford</v>
          </cell>
          <cell r="G276" t="str">
            <v>United States</v>
          </cell>
          <cell r="H276">
            <v>6905</v>
          </cell>
          <cell r="I276" t="str">
            <v>No</v>
          </cell>
        </row>
        <row r="277">
          <cell r="A277" t="str">
            <v>16123-07017-TY</v>
          </cell>
          <cell r="B277" t="str">
            <v>Teddi Crowthe</v>
          </cell>
          <cell r="C277" t="str">
            <v>tcrowthe7n@europa.eu</v>
          </cell>
          <cell r="D277" t="str">
            <v>+1 (419) 561-6809</v>
          </cell>
          <cell r="E277" t="str">
            <v>7 Eastlawn Alley</v>
          </cell>
          <cell r="F277" t="str">
            <v>Toledo</v>
          </cell>
          <cell r="G277" t="str">
            <v>United States</v>
          </cell>
          <cell r="H277">
            <v>43666</v>
          </cell>
          <cell r="I277" t="str">
            <v>No</v>
          </cell>
        </row>
        <row r="278">
          <cell r="A278" t="str">
            <v>27723-45097-MH</v>
          </cell>
          <cell r="B278" t="str">
            <v>Dorelia Bury</v>
          </cell>
          <cell r="C278" t="str">
            <v>dbury7o@tinyurl.com</v>
          </cell>
          <cell r="D278" t="str">
            <v>+353 (262) 842-7103</v>
          </cell>
          <cell r="E278" t="str">
            <v>305 Holy Cross Way</v>
          </cell>
          <cell r="F278" t="str">
            <v>Castleblayney</v>
          </cell>
          <cell r="G278" t="str">
            <v>Ireland</v>
          </cell>
          <cell r="H278" t="str">
            <v>A75</v>
          </cell>
          <cell r="I278" t="str">
            <v>Yes</v>
          </cell>
        </row>
        <row r="279">
          <cell r="A279" t="str">
            <v>37078-56703-AF</v>
          </cell>
          <cell r="B279" t="str">
            <v>Gussy Broadbear</v>
          </cell>
          <cell r="C279" t="str">
            <v>gbroadbear7p@omniture.com</v>
          </cell>
          <cell r="D279" t="str">
            <v>+1 (573) 758-1104</v>
          </cell>
          <cell r="E279" t="str">
            <v>0 Manitowish Hill</v>
          </cell>
          <cell r="F279" t="str">
            <v>Columbia</v>
          </cell>
          <cell r="G279" t="str">
            <v>United States</v>
          </cell>
          <cell r="H279">
            <v>65211</v>
          </cell>
          <cell r="I279" t="str">
            <v>No</v>
          </cell>
        </row>
        <row r="280">
          <cell r="A280" t="str">
            <v>79420-11075-MY</v>
          </cell>
          <cell r="B280" t="str">
            <v>Emlynne Palfrey</v>
          </cell>
          <cell r="C280" t="str">
            <v>epalfrey7q@devhub.com</v>
          </cell>
          <cell r="D280" t="str">
            <v>+1 (260) 500-7893</v>
          </cell>
          <cell r="E280" t="str">
            <v>2793 Vera Point</v>
          </cell>
          <cell r="F280" t="str">
            <v>Fort Wayne</v>
          </cell>
          <cell r="G280" t="str">
            <v>United States</v>
          </cell>
          <cell r="H280">
            <v>46852</v>
          </cell>
          <cell r="I280" t="str">
            <v>Yes</v>
          </cell>
        </row>
        <row r="281">
          <cell r="A281" t="str">
            <v>57504-13456-UO</v>
          </cell>
          <cell r="B281" t="str">
            <v>Parsifal Metrick</v>
          </cell>
          <cell r="C281" t="str">
            <v>pmetrick7r@rakuten.co.jp</v>
          </cell>
          <cell r="D281" t="str">
            <v>+1 (314) 572-2164</v>
          </cell>
          <cell r="E281" t="str">
            <v>091 Old Gate Road</v>
          </cell>
          <cell r="F281" t="str">
            <v>Saint Louis</v>
          </cell>
          <cell r="G281" t="str">
            <v>United States</v>
          </cell>
          <cell r="H281">
            <v>63143</v>
          </cell>
          <cell r="I281" t="str">
            <v>Yes</v>
          </cell>
        </row>
        <row r="282">
          <cell r="A282" t="str">
            <v>53751-57560-CN</v>
          </cell>
          <cell r="B282" t="str">
            <v>Christopher Grieveson</v>
          </cell>
          <cell r="D282" t="str">
            <v>+1 (208) 826-3825</v>
          </cell>
          <cell r="E282" t="str">
            <v>91 Old Gate Road</v>
          </cell>
          <cell r="F282" t="str">
            <v>Portland</v>
          </cell>
          <cell r="G282" t="str">
            <v>United States</v>
          </cell>
          <cell r="H282">
            <v>97211</v>
          </cell>
          <cell r="I282" t="str">
            <v>Yes</v>
          </cell>
        </row>
        <row r="283">
          <cell r="A283" t="str">
            <v>96112-42558-EA</v>
          </cell>
          <cell r="B283" t="str">
            <v>Karlan Karby</v>
          </cell>
          <cell r="C283" t="str">
            <v>kkarby7t@sbwire.com</v>
          </cell>
          <cell r="D283" t="str">
            <v>+1 (303) 516-4935</v>
          </cell>
          <cell r="E283" t="str">
            <v>4 Linden Park</v>
          </cell>
          <cell r="F283" t="str">
            <v>Boulder</v>
          </cell>
          <cell r="G283" t="str">
            <v>United States</v>
          </cell>
          <cell r="H283">
            <v>80305</v>
          </cell>
          <cell r="I283" t="str">
            <v>Yes</v>
          </cell>
        </row>
        <row r="284">
          <cell r="A284" t="str">
            <v>03157-23165-UB</v>
          </cell>
          <cell r="B284" t="str">
            <v>Flory Crumpe</v>
          </cell>
          <cell r="C284" t="str">
            <v>fcrumpe7u@ftc.gov</v>
          </cell>
          <cell r="D284" t="str">
            <v>+44 (564) 507-1056</v>
          </cell>
          <cell r="E284" t="str">
            <v>1 Hanover Terrace</v>
          </cell>
          <cell r="F284" t="str">
            <v>Norton</v>
          </cell>
          <cell r="G284" t="str">
            <v>United Kingdom</v>
          </cell>
          <cell r="H284" t="str">
            <v>NN11</v>
          </cell>
          <cell r="I284" t="str">
            <v>No</v>
          </cell>
        </row>
        <row r="285">
          <cell r="A285" t="str">
            <v>51466-52850-AG</v>
          </cell>
          <cell r="B285" t="str">
            <v>Amity Chatto</v>
          </cell>
          <cell r="C285" t="str">
            <v>achatto7v@sakura.ne.jp</v>
          </cell>
          <cell r="D285" t="str">
            <v>+44 (522) 740-3583</v>
          </cell>
          <cell r="E285" t="str">
            <v>2 Morrow Hill</v>
          </cell>
          <cell r="F285" t="str">
            <v>Sheffield</v>
          </cell>
          <cell r="G285" t="str">
            <v>United Kingdom</v>
          </cell>
          <cell r="H285" t="str">
            <v>S33</v>
          </cell>
          <cell r="I285" t="str">
            <v>Yes</v>
          </cell>
        </row>
        <row r="286">
          <cell r="A286" t="str">
            <v>57145-31023-FK</v>
          </cell>
          <cell r="B286" t="str">
            <v>Nanine McCarthy</v>
          </cell>
          <cell r="D286" t="str">
            <v>+1 (502) 913-2943</v>
          </cell>
          <cell r="E286" t="str">
            <v>27 Pine View Crossing</v>
          </cell>
          <cell r="F286" t="str">
            <v>Louisville</v>
          </cell>
          <cell r="G286" t="str">
            <v>United States</v>
          </cell>
          <cell r="H286">
            <v>40298</v>
          </cell>
          <cell r="I286" t="str">
            <v>No</v>
          </cell>
        </row>
        <row r="287">
          <cell r="A287" t="str">
            <v>66408-53777-VE</v>
          </cell>
          <cell r="B287" t="str">
            <v>Lyndsey Megany</v>
          </cell>
          <cell r="D287" t="str">
            <v>+1 (716) 790-4379</v>
          </cell>
          <cell r="E287" t="str">
            <v>7536 Homewood Place</v>
          </cell>
          <cell r="F287" t="str">
            <v>Buffalo</v>
          </cell>
          <cell r="G287" t="str">
            <v>United States</v>
          </cell>
          <cell r="H287">
            <v>14276</v>
          </cell>
          <cell r="I287" t="str">
            <v>No</v>
          </cell>
        </row>
        <row r="288">
          <cell r="A288" t="str">
            <v>53035-99701-WG</v>
          </cell>
          <cell r="B288" t="str">
            <v>Byram Mergue</v>
          </cell>
          <cell r="C288" t="str">
            <v>bmergue7y@umn.edu</v>
          </cell>
          <cell r="E288" t="str">
            <v>801 Sloan Plaza</v>
          </cell>
          <cell r="F288" t="str">
            <v>Canton</v>
          </cell>
          <cell r="G288" t="str">
            <v>United States</v>
          </cell>
          <cell r="H288">
            <v>44710</v>
          </cell>
          <cell r="I288" t="str">
            <v>Yes</v>
          </cell>
        </row>
        <row r="289">
          <cell r="A289" t="str">
            <v>45899-92796-EI</v>
          </cell>
          <cell r="B289" t="str">
            <v>Kerr Patise</v>
          </cell>
          <cell r="C289" t="str">
            <v>kpatise7z@jigsy.com</v>
          </cell>
          <cell r="D289" t="str">
            <v>+1 (617) 552-8968</v>
          </cell>
          <cell r="E289" t="str">
            <v>2469 Hayes Lane</v>
          </cell>
          <cell r="F289" t="str">
            <v>Boston</v>
          </cell>
          <cell r="G289" t="str">
            <v>United States</v>
          </cell>
          <cell r="H289">
            <v>2114</v>
          </cell>
          <cell r="I289" t="str">
            <v>No</v>
          </cell>
        </row>
        <row r="290">
          <cell r="A290" t="str">
            <v>17649-28133-PY</v>
          </cell>
          <cell r="B290" t="str">
            <v>Mathew Goulter</v>
          </cell>
          <cell r="D290" t="str">
            <v>+353 (968) 887-1849</v>
          </cell>
          <cell r="E290" t="str">
            <v>3 Sunfield Terrace</v>
          </cell>
          <cell r="F290" t="str">
            <v>Kinlough</v>
          </cell>
          <cell r="G290" t="str">
            <v>Ireland</v>
          </cell>
          <cell r="H290" t="str">
            <v>F94</v>
          </cell>
          <cell r="I290" t="str">
            <v>Yes</v>
          </cell>
        </row>
        <row r="291">
          <cell r="A291" t="str">
            <v>49612-33852-CN</v>
          </cell>
          <cell r="B291" t="str">
            <v>Marris Grcic</v>
          </cell>
          <cell r="E291" t="str">
            <v>758 Acker Point</v>
          </cell>
          <cell r="F291" t="str">
            <v>Lynchburg</v>
          </cell>
          <cell r="G291" t="str">
            <v>United States</v>
          </cell>
          <cell r="H291">
            <v>24515</v>
          </cell>
          <cell r="I291" t="str">
            <v>Yes</v>
          </cell>
        </row>
        <row r="292">
          <cell r="A292" t="str">
            <v>66976-43829-YG</v>
          </cell>
          <cell r="B292" t="str">
            <v>Domeniga Duke</v>
          </cell>
          <cell r="C292" t="str">
            <v>dduke82@vkontakte.ru</v>
          </cell>
          <cell r="D292" t="str">
            <v>+1 (626) 268-7265</v>
          </cell>
          <cell r="E292" t="str">
            <v>472 Mosinee Crossing</v>
          </cell>
          <cell r="F292" t="str">
            <v>Los Angeles</v>
          </cell>
          <cell r="G292" t="str">
            <v>United States</v>
          </cell>
          <cell r="H292">
            <v>90071</v>
          </cell>
          <cell r="I292" t="str">
            <v>No</v>
          </cell>
        </row>
        <row r="293">
          <cell r="A293" t="str">
            <v>64852-04619-XZ</v>
          </cell>
          <cell r="B293" t="str">
            <v>Violante Skouling</v>
          </cell>
          <cell r="E293" t="str">
            <v>9366 Bunting Center</v>
          </cell>
          <cell r="F293" t="str">
            <v>Drumcondra</v>
          </cell>
          <cell r="G293" t="str">
            <v>Ireland</v>
          </cell>
          <cell r="H293" t="str">
            <v>D11</v>
          </cell>
          <cell r="I293" t="str">
            <v>No</v>
          </cell>
        </row>
        <row r="294">
          <cell r="A294" t="str">
            <v>58690-31815-VY</v>
          </cell>
          <cell r="B294" t="str">
            <v>Isidore Hussey</v>
          </cell>
          <cell r="C294" t="str">
            <v>ihussey84@mapy.cz</v>
          </cell>
          <cell r="E294" t="str">
            <v>641 Birchwood Place</v>
          </cell>
          <cell r="F294" t="str">
            <v>Birmingham</v>
          </cell>
          <cell r="G294" t="str">
            <v>United States</v>
          </cell>
          <cell r="H294">
            <v>35236</v>
          </cell>
          <cell r="I294" t="str">
            <v>No</v>
          </cell>
        </row>
        <row r="295">
          <cell r="A295" t="str">
            <v>62863-81239-DT</v>
          </cell>
          <cell r="B295" t="str">
            <v>Cassie Pinkerton</v>
          </cell>
          <cell r="C295" t="str">
            <v>cpinkerton85@upenn.edu</v>
          </cell>
          <cell r="D295" t="str">
            <v>+1 (202) 727-7464</v>
          </cell>
          <cell r="E295" t="str">
            <v>5205 Graceland Point</v>
          </cell>
          <cell r="F295" t="str">
            <v>Alexandria</v>
          </cell>
          <cell r="G295" t="str">
            <v>United States</v>
          </cell>
          <cell r="H295">
            <v>22309</v>
          </cell>
          <cell r="I295" t="str">
            <v>No</v>
          </cell>
        </row>
        <row r="296">
          <cell r="A296" t="str">
            <v>21177-40725-CF</v>
          </cell>
          <cell r="B296" t="str">
            <v>Micki Fero</v>
          </cell>
          <cell r="D296" t="str">
            <v>+1 (203) 722-1559</v>
          </cell>
          <cell r="E296" t="str">
            <v>9 Burrows Way</v>
          </cell>
          <cell r="F296" t="str">
            <v>Danbury</v>
          </cell>
          <cell r="G296" t="str">
            <v>United States</v>
          </cell>
          <cell r="H296">
            <v>6816</v>
          </cell>
          <cell r="I296" t="str">
            <v>No</v>
          </cell>
        </row>
        <row r="297">
          <cell r="A297" t="str">
            <v>99421-80253-UI</v>
          </cell>
          <cell r="B297" t="str">
            <v>Cybill Graddell</v>
          </cell>
          <cell r="E297" t="str">
            <v>8 Reindahl Alley</v>
          </cell>
          <cell r="F297" t="str">
            <v>Albany</v>
          </cell>
          <cell r="G297" t="str">
            <v>United States</v>
          </cell>
          <cell r="H297">
            <v>12205</v>
          </cell>
          <cell r="I297" t="str">
            <v>No</v>
          </cell>
        </row>
        <row r="298">
          <cell r="A298" t="str">
            <v>45315-50206-DK</v>
          </cell>
          <cell r="B298" t="str">
            <v>Dorian Vizor</v>
          </cell>
          <cell r="C298" t="str">
            <v>dvizor88@furl.net</v>
          </cell>
          <cell r="D298" t="str">
            <v>+1 (941) 130-0581</v>
          </cell>
          <cell r="E298" t="str">
            <v>6023 Novick Parkway</v>
          </cell>
          <cell r="F298" t="str">
            <v>Naples</v>
          </cell>
          <cell r="G298" t="str">
            <v>United States</v>
          </cell>
          <cell r="H298">
            <v>34108</v>
          </cell>
          <cell r="I298" t="str">
            <v>Yes</v>
          </cell>
        </row>
        <row r="299">
          <cell r="A299" t="str">
            <v>09595-95726-OV</v>
          </cell>
          <cell r="B299" t="str">
            <v>Eddi Sedgebeer</v>
          </cell>
          <cell r="C299" t="str">
            <v>esedgebeer89@oaic.gov.au</v>
          </cell>
          <cell r="D299" t="str">
            <v>+1 (305) 898-4252</v>
          </cell>
          <cell r="E299" t="str">
            <v>9715 Shopko Hill</v>
          </cell>
          <cell r="F299" t="str">
            <v>Miami Beach</v>
          </cell>
          <cell r="G299" t="str">
            <v>United States</v>
          </cell>
          <cell r="H299">
            <v>33141</v>
          </cell>
          <cell r="I299" t="str">
            <v>Yes</v>
          </cell>
        </row>
        <row r="300">
          <cell r="A300" t="str">
            <v>60221-67036-TD</v>
          </cell>
          <cell r="B300" t="str">
            <v>Ken Lestrange</v>
          </cell>
          <cell r="C300" t="str">
            <v>klestrange8a@lulu.com</v>
          </cell>
          <cell r="D300" t="str">
            <v>+1 (404) 479-6402</v>
          </cell>
          <cell r="E300" t="str">
            <v>1961 Sage Way</v>
          </cell>
          <cell r="F300" t="str">
            <v>Atlanta</v>
          </cell>
          <cell r="G300" t="str">
            <v>United States</v>
          </cell>
          <cell r="H300">
            <v>30358</v>
          </cell>
          <cell r="I300" t="str">
            <v>Yes</v>
          </cell>
        </row>
        <row r="301">
          <cell r="A301" t="str">
            <v>62923-29397-KX</v>
          </cell>
          <cell r="B301" t="str">
            <v>Lacee Tanti</v>
          </cell>
          <cell r="C301" t="str">
            <v>ltanti8b@techcrunch.com</v>
          </cell>
          <cell r="D301" t="str">
            <v>+1 (361) 383-8015</v>
          </cell>
          <cell r="E301" t="str">
            <v>29668 Bashford Trail</v>
          </cell>
          <cell r="F301" t="str">
            <v>Corpus Christi</v>
          </cell>
          <cell r="G301" t="str">
            <v>United States</v>
          </cell>
          <cell r="H301">
            <v>78405</v>
          </cell>
          <cell r="I301" t="str">
            <v>Yes</v>
          </cell>
        </row>
        <row r="302">
          <cell r="A302" t="str">
            <v>33011-52383-BA</v>
          </cell>
          <cell r="B302" t="str">
            <v>Arel De Lasci</v>
          </cell>
          <cell r="C302" t="str">
            <v>ade8c@1und1.de</v>
          </cell>
          <cell r="D302" t="str">
            <v>+1 (808) 868-6669</v>
          </cell>
          <cell r="E302" t="str">
            <v>80254 Cherokee Alley</v>
          </cell>
          <cell r="F302" t="str">
            <v>Honolulu</v>
          </cell>
          <cell r="G302" t="str">
            <v>United States</v>
          </cell>
          <cell r="H302">
            <v>96835</v>
          </cell>
          <cell r="I302" t="str">
            <v>Yes</v>
          </cell>
        </row>
        <row r="303">
          <cell r="A303" t="str">
            <v>86768-91598-FA</v>
          </cell>
          <cell r="B303" t="str">
            <v>Trescha Jedrachowicz</v>
          </cell>
          <cell r="C303" t="str">
            <v>tjedrachowicz8d@acquirethisname.com</v>
          </cell>
          <cell r="D303" t="str">
            <v>+1 (512) 635-4547</v>
          </cell>
          <cell r="E303" t="str">
            <v>4019 Hagan Plaza</v>
          </cell>
          <cell r="F303" t="str">
            <v>Austin</v>
          </cell>
          <cell r="G303" t="str">
            <v>United States</v>
          </cell>
          <cell r="H303">
            <v>78737</v>
          </cell>
          <cell r="I303" t="str">
            <v>Yes</v>
          </cell>
        </row>
        <row r="304">
          <cell r="A304" t="str">
            <v>37191-12203-MX</v>
          </cell>
          <cell r="B304" t="str">
            <v>Perkin Stonner</v>
          </cell>
          <cell r="C304" t="str">
            <v>pstonner8e@moonfruit.com</v>
          </cell>
          <cell r="D304" t="str">
            <v>+1 (410) 158-5285</v>
          </cell>
          <cell r="E304" t="str">
            <v>09771 Rigney Center</v>
          </cell>
          <cell r="F304" t="str">
            <v>Baltimore</v>
          </cell>
          <cell r="G304" t="str">
            <v>United States</v>
          </cell>
          <cell r="H304">
            <v>21290</v>
          </cell>
          <cell r="I304" t="str">
            <v>No</v>
          </cell>
        </row>
        <row r="305">
          <cell r="A305" t="str">
            <v>16545-76328-JY</v>
          </cell>
          <cell r="B305" t="str">
            <v>Darrin Tingly</v>
          </cell>
          <cell r="C305" t="str">
            <v>dtingly8f@goo.ne.jp</v>
          </cell>
          <cell r="E305" t="str">
            <v>6094 Dawn Junction</v>
          </cell>
          <cell r="F305" t="str">
            <v>Lexington</v>
          </cell>
          <cell r="G305" t="str">
            <v>United States</v>
          </cell>
          <cell r="H305">
            <v>40596</v>
          </cell>
          <cell r="I305" t="str">
            <v>Yes</v>
          </cell>
        </row>
        <row r="306">
          <cell r="A306" t="str">
            <v>32177-42200-TP</v>
          </cell>
          <cell r="B306" t="str">
            <v>Rhodie Whife</v>
          </cell>
          <cell r="C306" t="str">
            <v>rwhife8g@360.cn</v>
          </cell>
          <cell r="E306" t="str">
            <v>2241 Kim Trail</v>
          </cell>
          <cell r="F306" t="str">
            <v>Joliet</v>
          </cell>
          <cell r="G306" t="str">
            <v>United States</v>
          </cell>
          <cell r="H306">
            <v>60435</v>
          </cell>
          <cell r="I306" t="str">
            <v>Yes</v>
          </cell>
        </row>
        <row r="307">
          <cell r="A307" t="str">
            <v>22349-47389-GY</v>
          </cell>
          <cell r="B307" t="str">
            <v>Benn Checci</v>
          </cell>
          <cell r="C307" t="str">
            <v>bchecci8h@usa.gov</v>
          </cell>
          <cell r="D307" t="str">
            <v>+44 (237) 377-1917</v>
          </cell>
          <cell r="E307" t="str">
            <v>88 West Avenue</v>
          </cell>
          <cell r="F307" t="str">
            <v>Eaton</v>
          </cell>
          <cell r="G307" t="str">
            <v>United Kingdom</v>
          </cell>
          <cell r="H307" t="str">
            <v>DN22</v>
          </cell>
          <cell r="I307" t="str">
            <v>No</v>
          </cell>
        </row>
        <row r="308">
          <cell r="A308" t="str">
            <v>70290-38099-GB</v>
          </cell>
          <cell r="B308" t="str">
            <v>Janifer Bagot</v>
          </cell>
          <cell r="C308" t="str">
            <v>jbagot8i@mac.com</v>
          </cell>
          <cell r="D308" t="str">
            <v>+1 (402) 659-3815</v>
          </cell>
          <cell r="E308" t="str">
            <v>8580 Autumn Leaf Trail</v>
          </cell>
          <cell r="F308" t="str">
            <v>Lincoln</v>
          </cell>
          <cell r="G308" t="str">
            <v>United States</v>
          </cell>
          <cell r="H308">
            <v>68505</v>
          </cell>
          <cell r="I308" t="str">
            <v>No</v>
          </cell>
        </row>
        <row r="309">
          <cell r="A309" t="str">
            <v>18741-72071-PP</v>
          </cell>
          <cell r="B309" t="str">
            <v>Ermin Beeble</v>
          </cell>
          <cell r="C309" t="str">
            <v>ebeeble8j@soundcloud.com</v>
          </cell>
          <cell r="D309" t="str">
            <v>+1 (513) 141-9892</v>
          </cell>
          <cell r="E309" t="str">
            <v>14777 Leroy Avenue</v>
          </cell>
          <cell r="F309" t="str">
            <v>Cincinnati</v>
          </cell>
          <cell r="G309" t="str">
            <v>United States</v>
          </cell>
          <cell r="H309">
            <v>45254</v>
          </cell>
          <cell r="I309" t="str">
            <v>Yes</v>
          </cell>
        </row>
        <row r="310">
          <cell r="A310" t="str">
            <v>62588-82624-II</v>
          </cell>
          <cell r="B310" t="str">
            <v>Cos Fluin</v>
          </cell>
          <cell r="C310" t="str">
            <v>cfluin8k@flickr.com</v>
          </cell>
          <cell r="E310" t="str">
            <v>88 Jenna Point</v>
          </cell>
          <cell r="F310" t="str">
            <v>Sheffield</v>
          </cell>
          <cell r="G310" t="str">
            <v>United Kingdom</v>
          </cell>
          <cell r="H310" t="str">
            <v>S33</v>
          </cell>
          <cell r="I310" t="str">
            <v>No</v>
          </cell>
        </row>
        <row r="311">
          <cell r="A311" t="str">
            <v>37430-29579-HD</v>
          </cell>
          <cell r="B311" t="str">
            <v>Eveleen Bletsor</v>
          </cell>
          <cell r="C311" t="str">
            <v>ebletsor8l@vinaora.com</v>
          </cell>
          <cell r="D311" t="str">
            <v>+1 (860) 182-4246</v>
          </cell>
          <cell r="E311" t="str">
            <v>9076 Manley Center</v>
          </cell>
          <cell r="F311" t="str">
            <v>West Hartford</v>
          </cell>
          <cell r="G311" t="str">
            <v>United States</v>
          </cell>
          <cell r="H311">
            <v>6127</v>
          </cell>
          <cell r="I311" t="str">
            <v>Yes</v>
          </cell>
        </row>
        <row r="312">
          <cell r="A312" t="str">
            <v>84132-22322-QT</v>
          </cell>
          <cell r="B312" t="str">
            <v>Paola Brydell</v>
          </cell>
          <cell r="C312" t="str">
            <v>pbrydell8m@bloglovin.com</v>
          </cell>
          <cell r="D312" t="str">
            <v>+353 (522) 527-0155</v>
          </cell>
          <cell r="E312" t="str">
            <v>826 Judy Alley</v>
          </cell>
          <cell r="F312" t="str">
            <v>Listowel</v>
          </cell>
          <cell r="G312" t="str">
            <v>Ireland</v>
          </cell>
          <cell r="H312" t="str">
            <v>V31</v>
          </cell>
          <cell r="I312" t="str">
            <v>No</v>
          </cell>
        </row>
        <row r="313">
          <cell r="A313" t="str">
            <v>74330-29286-RO</v>
          </cell>
          <cell r="B313" t="str">
            <v>Claudetta Rushe</v>
          </cell>
          <cell r="C313" t="str">
            <v>crushe8n@about.me</v>
          </cell>
          <cell r="D313" t="str">
            <v>+1 (704) 883-8274</v>
          </cell>
          <cell r="E313" t="str">
            <v>7 Corben Plaza</v>
          </cell>
          <cell r="F313" t="str">
            <v>Charlotte</v>
          </cell>
          <cell r="G313" t="str">
            <v>United States</v>
          </cell>
          <cell r="H313">
            <v>28299</v>
          </cell>
          <cell r="I313" t="str">
            <v>Yes</v>
          </cell>
        </row>
        <row r="314">
          <cell r="A314" t="str">
            <v>37445-17791-NQ</v>
          </cell>
          <cell r="B314" t="str">
            <v>Natka Leethem</v>
          </cell>
          <cell r="C314" t="str">
            <v>nleethem8o@mac.com</v>
          </cell>
          <cell r="D314" t="str">
            <v>+1 (318) 839-1492</v>
          </cell>
          <cell r="E314" t="str">
            <v>12 Stone Corner Avenue</v>
          </cell>
          <cell r="F314" t="str">
            <v>Alexandria</v>
          </cell>
          <cell r="G314" t="str">
            <v>United States</v>
          </cell>
          <cell r="H314">
            <v>71307</v>
          </cell>
          <cell r="I314" t="str">
            <v>Yes</v>
          </cell>
        </row>
        <row r="315">
          <cell r="A315" t="str">
            <v>58511-10548-ZU</v>
          </cell>
          <cell r="B315" t="str">
            <v>Ailene Nesfield</v>
          </cell>
          <cell r="C315" t="str">
            <v>anesfield8p@people.com.cn</v>
          </cell>
          <cell r="D315" t="str">
            <v>+44 (418) 372-8139</v>
          </cell>
          <cell r="E315" t="str">
            <v>59 Rieder Lane</v>
          </cell>
          <cell r="F315" t="str">
            <v>Belfast</v>
          </cell>
          <cell r="G315" t="str">
            <v>United Kingdom</v>
          </cell>
          <cell r="H315" t="str">
            <v>BT2</v>
          </cell>
          <cell r="I315" t="str">
            <v>Yes</v>
          </cell>
        </row>
        <row r="316">
          <cell r="A316" t="str">
            <v>47725-34771-FJ</v>
          </cell>
          <cell r="B316" t="str">
            <v>Stacy Pickworth</v>
          </cell>
          <cell r="D316" t="str">
            <v>+1 (702) 723-3139</v>
          </cell>
          <cell r="E316" t="str">
            <v>81014 Delladonna Terrace</v>
          </cell>
          <cell r="F316" t="str">
            <v>Las Vegas</v>
          </cell>
          <cell r="G316" t="str">
            <v>United States</v>
          </cell>
          <cell r="H316">
            <v>89115</v>
          </cell>
          <cell r="I316" t="str">
            <v>No</v>
          </cell>
        </row>
        <row r="317">
          <cell r="A317" t="str">
            <v>53086-67334-KT</v>
          </cell>
          <cell r="B317" t="str">
            <v>Melli Brockway</v>
          </cell>
          <cell r="C317" t="str">
            <v>mbrockway8r@ibm.com</v>
          </cell>
          <cell r="D317" t="str">
            <v>+1 (515) 216-0617</v>
          </cell>
          <cell r="E317" t="str">
            <v>0528 Thackeray Pass</v>
          </cell>
          <cell r="F317" t="str">
            <v>Des Moines</v>
          </cell>
          <cell r="G317" t="str">
            <v>United States</v>
          </cell>
          <cell r="H317">
            <v>50369</v>
          </cell>
          <cell r="I317" t="str">
            <v>Yes</v>
          </cell>
        </row>
        <row r="318">
          <cell r="A318" t="str">
            <v>83308-82257-UN</v>
          </cell>
          <cell r="B318" t="str">
            <v>Nanny Lush</v>
          </cell>
          <cell r="C318" t="str">
            <v>nlush8s@dedecms.com</v>
          </cell>
          <cell r="D318" t="str">
            <v>+353 (360) 805-4030</v>
          </cell>
          <cell r="E318" t="str">
            <v>1 Annamark Drive</v>
          </cell>
          <cell r="F318" t="str">
            <v>Ballivor</v>
          </cell>
          <cell r="G318" t="str">
            <v>Ireland</v>
          </cell>
          <cell r="H318" t="str">
            <v>D17</v>
          </cell>
          <cell r="I318" t="str">
            <v>No</v>
          </cell>
        </row>
        <row r="319">
          <cell r="A319" t="str">
            <v>37274-08534-FM</v>
          </cell>
          <cell r="B319" t="str">
            <v>Selma McMillian</v>
          </cell>
          <cell r="C319" t="str">
            <v>smcmillian8t@csmonitor.com</v>
          </cell>
          <cell r="D319" t="str">
            <v>+1 (330) 407-0631</v>
          </cell>
          <cell r="E319" t="str">
            <v>6404 Heffernan Junction</v>
          </cell>
          <cell r="F319" t="str">
            <v>Akron</v>
          </cell>
          <cell r="G319" t="str">
            <v>United States</v>
          </cell>
          <cell r="H319">
            <v>44315</v>
          </cell>
          <cell r="I319" t="str">
            <v>No</v>
          </cell>
        </row>
        <row r="320">
          <cell r="A320" t="str">
            <v>54004-04664-AA</v>
          </cell>
          <cell r="B320" t="str">
            <v>Tess Bennison</v>
          </cell>
          <cell r="C320" t="str">
            <v>tbennison8u@google.cn</v>
          </cell>
          <cell r="D320" t="str">
            <v>+1 (561) 413-7904</v>
          </cell>
          <cell r="E320" t="str">
            <v>00225 Fieldstone Center</v>
          </cell>
          <cell r="F320" t="str">
            <v>West Palm Beach</v>
          </cell>
          <cell r="G320" t="str">
            <v>United States</v>
          </cell>
          <cell r="H320">
            <v>33405</v>
          </cell>
          <cell r="I320" t="str">
            <v>Yes</v>
          </cell>
        </row>
        <row r="321">
          <cell r="A321" t="str">
            <v>26822-19510-SD</v>
          </cell>
          <cell r="B321" t="str">
            <v>Gabie Tweed</v>
          </cell>
          <cell r="C321" t="str">
            <v>gtweed8v@yolasite.com</v>
          </cell>
          <cell r="E321" t="str">
            <v>0 Fairview Lane</v>
          </cell>
          <cell r="F321" t="str">
            <v>Fresno</v>
          </cell>
          <cell r="G321" t="str">
            <v>United States</v>
          </cell>
          <cell r="H321">
            <v>93715</v>
          </cell>
          <cell r="I321" t="str">
            <v>Yes</v>
          </cell>
        </row>
        <row r="322">
          <cell r="A322" t="str">
            <v>37916-57149-GE</v>
          </cell>
          <cell r="B322" t="str">
            <v>Freddie Cusick</v>
          </cell>
          <cell r="C322" t="str">
            <v>fcusick8w@hatena.ne.jp</v>
          </cell>
          <cell r="D322" t="str">
            <v>+1 (319) 601-1652</v>
          </cell>
          <cell r="E322" t="str">
            <v>1 Steensland Drive</v>
          </cell>
          <cell r="F322" t="str">
            <v>Iowa City</v>
          </cell>
          <cell r="G322" t="str">
            <v>United States</v>
          </cell>
          <cell r="H322">
            <v>52245</v>
          </cell>
          <cell r="I322" t="str">
            <v>Yes</v>
          </cell>
        </row>
        <row r="323">
          <cell r="A323" t="str">
            <v>06432-73165-ML</v>
          </cell>
          <cell r="B323" t="str">
            <v>Gaile Goggin</v>
          </cell>
          <cell r="C323" t="str">
            <v>ggoggin8x@wix.com</v>
          </cell>
          <cell r="D323" t="str">
            <v>+353 (484) 159-9549</v>
          </cell>
          <cell r="E323" t="str">
            <v>654 Mandrake Plaza</v>
          </cell>
          <cell r="F323" t="str">
            <v>Sandyford</v>
          </cell>
          <cell r="G323" t="str">
            <v>Ireland</v>
          </cell>
          <cell r="H323" t="str">
            <v>D04</v>
          </cell>
          <cell r="I323" t="str">
            <v>Yes</v>
          </cell>
        </row>
        <row r="324">
          <cell r="A324" t="str">
            <v>96503-31833-CW</v>
          </cell>
          <cell r="B324" t="str">
            <v>Skylar Jeyness</v>
          </cell>
          <cell r="C324" t="str">
            <v>sjeyness8y@biglobe.ne.jp</v>
          </cell>
          <cell r="D324" t="str">
            <v>+353 (460) 272-4069</v>
          </cell>
          <cell r="E324" t="str">
            <v>43 Fremont Point</v>
          </cell>
          <cell r="F324" t="str">
            <v>Dublin</v>
          </cell>
          <cell r="G324" t="str">
            <v>Ireland</v>
          </cell>
          <cell r="H324" t="str">
            <v>D04</v>
          </cell>
          <cell r="I324" t="str">
            <v>No</v>
          </cell>
        </row>
        <row r="325">
          <cell r="A325" t="str">
            <v>63985-64148-MG</v>
          </cell>
          <cell r="B325" t="str">
            <v>Donica Bonhome</v>
          </cell>
          <cell r="C325" t="str">
            <v>dbonhome8z@shinystat.com</v>
          </cell>
          <cell r="D325" t="str">
            <v>+1 (865) 238-4985</v>
          </cell>
          <cell r="E325" t="str">
            <v>73509 Victoria Junction</v>
          </cell>
          <cell r="F325" t="str">
            <v>Knoxville</v>
          </cell>
          <cell r="G325" t="str">
            <v>United States</v>
          </cell>
          <cell r="H325">
            <v>37924</v>
          </cell>
          <cell r="I325" t="str">
            <v>Yes</v>
          </cell>
        </row>
        <row r="326">
          <cell r="A326" t="str">
            <v>19597-91185-CM</v>
          </cell>
          <cell r="B326" t="str">
            <v>Diena Peetermann</v>
          </cell>
          <cell r="D326" t="str">
            <v>+1 (913) 671-7118</v>
          </cell>
          <cell r="E326" t="str">
            <v>05926 Northfield Parkway</v>
          </cell>
          <cell r="F326" t="str">
            <v>Shawnee Mission</v>
          </cell>
          <cell r="G326" t="str">
            <v>United States</v>
          </cell>
          <cell r="H326">
            <v>66276</v>
          </cell>
          <cell r="I326" t="str">
            <v>No</v>
          </cell>
        </row>
        <row r="327">
          <cell r="A327" t="str">
            <v>79814-23626-JR</v>
          </cell>
          <cell r="B327" t="str">
            <v>Trina Le Sarr</v>
          </cell>
          <cell r="C327" t="str">
            <v>tle91@epa.gov</v>
          </cell>
          <cell r="D327" t="str">
            <v>+1 (415) 176-8216</v>
          </cell>
          <cell r="E327" t="str">
            <v>96 Rigney Trail</v>
          </cell>
          <cell r="F327" t="str">
            <v>San Francisco</v>
          </cell>
          <cell r="G327" t="str">
            <v>United States</v>
          </cell>
          <cell r="H327">
            <v>94132</v>
          </cell>
          <cell r="I327" t="str">
            <v>Yes</v>
          </cell>
        </row>
        <row r="328">
          <cell r="A328" t="str">
            <v>43439-94003-DW</v>
          </cell>
          <cell r="B328" t="str">
            <v>Flynn Antony</v>
          </cell>
          <cell r="D328" t="str">
            <v>+1 (205) 680-5859</v>
          </cell>
          <cell r="E328" t="str">
            <v>5678 Doe Crossing Junction</v>
          </cell>
          <cell r="F328" t="str">
            <v>Birmingham</v>
          </cell>
          <cell r="G328" t="str">
            <v>United States</v>
          </cell>
          <cell r="H328">
            <v>35244</v>
          </cell>
          <cell r="I328" t="str">
            <v>No</v>
          </cell>
        </row>
        <row r="329">
          <cell r="A329" t="str">
            <v>97655-45555-LI</v>
          </cell>
          <cell r="B329" t="str">
            <v>Baudoin Alldridge</v>
          </cell>
          <cell r="C329" t="str">
            <v>balldridge93@yandex.ru</v>
          </cell>
          <cell r="D329" t="str">
            <v>+1 (646) 561-0082</v>
          </cell>
          <cell r="E329" t="str">
            <v>14 Oriole Hill</v>
          </cell>
          <cell r="F329" t="str">
            <v>Brooklyn</v>
          </cell>
          <cell r="G329" t="str">
            <v>United States</v>
          </cell>
          <cell r="H329">
            <v>11215</v>
          </cell>
          <cell r="I329" t="str">
            <v>Yes</v>
          </cell>
        </row>
        <row r="330">
          <cell r="A330" t="str">
            <v>64418-01720-VW</v>
          </cell>
          <cell r="B330" t="str">
            <v>Homer Dulany</v>
          </cell>
          <cell r="D330" t="str">
            <v>+1 (915) 761-6081</v>
          </cell>
          <cell r="E330" t="str">
            <v>1988 Autumn Leaf Crossing</v>
          </cell>
          <cell r="F330" t="str">
            <v>El Paso</v>
          </cell>
          <cell r="G330" t="str">
            <v>United States</v>
          </cell>
          <cell r="H330">
            <v>79934</v>
          </cell>
          <cell r="I330" t="str">
            <v>Yes</v>
          </cell>
        </row>
        <row r="331">
          <cell r="A331" t="str">
            <v>96836-09258-RI</v>
          </cell>
          <cell r="B331" t="str">
            <v>Lisa Goodger</v>
          </cell>
          <cell r="C331" t="str">
            <v>lgoodger95@guardian.co.uk</v>
          </cell>
          <cell r="E331" t="str">
            <v>86634 Nova Plaza</v>
          </cell>
          <cell r="F331" t="str">
            <v>Sacramento</v>
          </cell>
          <cell r="G331" t="str">
            <v>United States</v>
          </cell>
          <cell r="H331">
            <v>94250</v>
          </cell>
          <cell r="I331" t="str">
            <v>Yes</v>
          </cell>
        </row>
        <row r="332">
          <cell r="A332" t="str">
            <v>33622-01348-PF</v>
          </cell>
          <cell r="B332" t="str">
            <v>Fiorenze Drogan</v>
          </cell>
          <cell r="C332" t="str">
            <v>fdrogan96@gnu.org</v>
          </cell>
          <cell r="D332" t="str">
            <v>+1 (202) 698-9605</v>
          </cell>
          <cell r="E332" t="str">
            <v>70193 Sunfield Circle</v>
          </cell>
          <cell r="F332" t="str">
            <v>Washington</v>
          </cell>
          <cell r="G332" t="str">
            <v>United States</v>
          </cell>
          <cell r="H332">
            <v>20220</v>
          </cell>
          <cell r="I332" t="str">
            <v>No</v>
          </cell>
        </row>
        <row r="333">
          <cell r="A333" t="str">
            <v>69529-07533-CV</v>
          </cell>
          <cell r="B333" t="str">
            <v>Corine Drewett</v>
          </cell>
          <cell r="C333" t="str">
            <v>cdrewett97@wikipedia.org</v>
          </cell>
          <cell r="D333" t="str">
            <v>+1 (561) 651-3098</v>
          </cell>
          <cell r="E333" t="str">
            <v>1881 Elgar Parkway</v>
          </cell>
          <cell r="F333" t="str">
            <v>Boynton Beach</v>
          </cell>
          <cell r="G333" t="str">
            <v>United States</v>
          </cell>
          <cell r="H333">
            <v>33436</v>
          </cell>
          <cell r="I333" t="str">
            <v>Yes</v>
          </cell>
        </row>
        <row r="334">
          <cell r="A334" t="str">
            <v>94840-49457-UD</v>
          </cell>
          <cell r="B334" t="str">
            <v>Quinn Parsons</v>
          </cell>
          <cell r="C334" t="str">
            <v>qparsons98@blogtalkradio.com</v>
          </cell>
          <cell r="D334" t="str">
            <v>+1 (323) 848-5169</v>
          </cell>
          <cell r="E334" t="str">
            <v>47 Farwell Park</v>
          </cell>
          <cell r="F334" t="str">
            <v>Los Angeles</v>
          </cell>
          <cell r="G334" t="str">
            <v>United States</v>
          </cell>
          <cell r="H334">
            <v>90094</v>
          </cell>
          <cell r="I334" t="str">
            <v>Yes</v>
          </cell>
        </row>
        <row r="335">
          <cell r="A335" t="str">
            <v>81414-81273-DK</v>
          </cell>
          <cell r="B335" t="str">
            <v>Vivyan Ceely</v>
          </cell>
          <cell r="C335" t="str">
            <v>vceely99@auda.org.au</v>
          </cell>
          <cell r="D335" t="str">
            <v>+1 (410) 876-8486</v>
          </cell>
          <cell r="E335" t="str">
            <v>080 Stoughton Hill</v>
          </cell>
          <cell r="F335" t="str">
            <v>Baltimore</v>
          </cell>
          <cell r="G335" t="str">
            <v>United States</v>
          </cell>
          <cell r="H335">
            <v>21275</v>
          </cell>
          <cell r="I335" t="str">
            <v>Yes</v>
          </cell>
        </row>
        <row r="336">
          <cell r="A336" t="str">
            <v>76930-61689-CH</v>
          </cell>
          <cell r="B336" t="str">
            <v>Elonore Goodings</v>
          </cell>
          <cell r="E336" t="str">
            <v>7 Grim Point</v>
          </cell>
          <cell r="F336" t="str">
            <v>Salt Lake City</v>
          </cell>
          <cell r="G336" t="str">
            <v>United States</v>
          </cell>
          <cell r="H336">
            <v>84125</v>
          </cell>
          <cell r="I336" t="str">
            <v>No</v>
          </cell>
        </row>
        <row r="337">
          <cell r="A337" t="str">
            <v>12839-56537-TQ</v>
          </cell>
          <cell r="B337" t="str">
            <v>Clement Vasiliev</v>
          </cell>
          <cell r="C337" t="str">
            <v>cvasiliev9b@discuz.net</v>
          </cell>
          <cell r="D337" t="str">
            <v>+1 (214) 507-8264</v>
          </cell>
          <cell r="E337" t="str">
            <v>49 Eliot Alley</v>
          </cell>
          <cell r="F337" t="str">
            <v>Garland</v>
          </cell>
          <cell r="G337" t="str">
            <v>United States</v>
          </cell>
          <cell r="H337">
            <v>75049</v>
          </cell>
          <cell r="I337" t="str">
            <v>Yes</v>
          </cell>
        </row>
        <row r="338">
          <cell r="A338" t="str">
            <v>62741-01322-HU</v>
          </cell>
          <cell r="B338" t="str">
            <v>Terencio O'Moylan</v>
          </cell>
          <cell r="C338" t="str">
            <v>tomoylan9c@liveinternet.ru</v>
          </cell>
          <cell r="D338" t="str">
            <v>+44 (911) 807-7254</v>
          </cell>
          <cell r="E338" t="str">
            <v>19 Kings Pass</v>
          </cell>
          <cell r="F338" t="str">
            <v>Church End</v>
          </cell>
          <cell r="G338" t="str">
            <v>United Kingdom</v>
          </cell>
          <cell r="H338" t="str">
            <v>CB4</v>
          </cell>
          <cell r="I338" t="str">
            <v>No</v>
          </cell>
        </row>
        <row r="339">
          <cell r="A339" t="str">
            <v>34104-15243-UX</v>
          </cell>
          <cell r="B339" t="str">
            <v>Jeddy Vanyarkin</v>
          </cell>
          <cell r="D339" t="str">
            <v>+1 (614) 733-3977</v>
          </cell>
          <cell r="E339" t="str">
            <v>90 Fieldstone Way</v>
          </cell>
          <cell r="F339" t="str">
            <v>Columbus</v>
          </cell>
          <cell r="G339" t="str">
            <v>United States</v>
          </cell>
          <cell r="H339">
            <v>43240</v>
          </cell>
          <cell r="I339" t="str">
            <v>No</v>
          </cell>
        </row>
        <row r="340">
          <cell r="A340" t="str">
            <v>44932-34838-RM</v>
          </cell>
          <cell r="B340" t="str">
            <v>Wyatan Fetherston</v>
          </cell>
          <cell r="C340" t="str">
            <v>wfetherston9e@constantcontact.com</v>
          </cell>
          <cell r="D340" t="str">
            <v>+1 (212) 724-3420</v>
          </cell>
          <cell r="E340" t="str">
            <v>74 Morning Avenue</v>
          </cell>
          <cell r="F340" t="str">
            <v>New York City</v>
          </cell>
          <cell r="G340" t="str">
            <v>United States</v>
          </cell>
          <cell r="H340">
            <v>10184</v>
          </cell>
          <cell r="I340" t="str">
            <v>No</v>
          </cell>
        </row>
        <row r="341">
          <cell r="A341" t="str">
            <v>91181-19412-RQ</v>
          </cell>
          <cell r="B341" t="str">
            <v>Emmaline Rasmus</v>
          </cell>
          <cell r="C341" t="str">
            <v>erasmus9f@techcrunch.com</v>
          </cell>
          <cell r="D341" t="str">
            <v>+1 (617) 830-9474</v>
          </cell>
          <cell r="E341" t="str">
            <v>045 Jackson Junction</v>
          </cell>
          <cell r="F341" t="str">
            <v>Boston</v>
          </cell>
          <cell r="G341" t="str">
            <v>United States</v>
          </cell>
          <cell r="H341">
            <v>2216</v>
          </cell>
          <cell r="I341" t="str">
            <v>Yes</v>
          </cell>
        </row>
        <row r="342">
          <cell r="A342" t="str">
            <v>37182-54930-XC</v>
          </cell>
          <cell r="B342" t="str">
            <v>Wesley Giorgioni</v>
          </cell>
          <cell r="C342" t="str">
            <v>wgiorgioni9g@wikipedia.org</v>
          </cell>
          <cell r="D342" t="str">
            <v>+1 (415) 960-7198</v>
          </cell>
          <cell r="E342" t="str">
            <v>45 Trailsway Avenue</v>
          </cell>
          <cell r="F342" t="str">
            <v>San Francisco</v>
          </cell>
          <cell r="G342" t="str">
            <v>United States</v>
          </cell>
          <cell r="H342">
            <v>94132</v>
          </cell>
          <cell r="I342" t="str">
            <v>Yes</v>
          </cell>
        </row>
        <row r="343">
          <cell r="A343" t="str">
            <v>08613-17327-XT</v>
          </cell>
          <cell r="B343" t="str">
            <v>Lucienne Scargle</v>
          </cell>
          <cell r="C343" t="str">
            <v>lscargle9h@myspace.com</v>
          </cell>
          <cell r="D343" t="str">
            <v>+1 (317) 136-7045</v>
          </cell>
          <cell r="E343" t="str">
            <v>62 Pepper Wood Plaza</v>
          </cell>
          <cell r="F343" t="str">
            <v>Indianapolis</v>
          </cell>
          <cell r="G343" t="str">
            <v>United States</v>
          </cell>
          <cell r="H343">
            <v>46295</v>
          </cell>
          <cell r="I343" t="str">
            <v>No</v>
          </cell>
        </row>
        <row r="344">
          <cell r="A344" t="str">
            <v>40507-83899-MR</v>
          </cell>
          <cell r="B344" t="str">
            <v>Christy Franseco</v>
          </cell>
          <cell r="C344" t="str">
            <v>cfranseco9i@phoca.cz</v>
          </cell>
          <cell r="E344" t="str">
            <v>59947 Nobel Park</v>
          </cell>
          <cell r="F344" t="str">
            <v>Jacksonville</v>
          </cell>
          <cell r="G344" t="str">
            <v>United States</v>
          </cell>
          <cell r="H344">
            <v>32209</v>
          </cell>
          <cell r="I344" t="str">
            <v>No</v>
          </cell>
        </row>
        <row r="345">
          <cell r="A345" t="str">
            <v>70451-38048-AH</v>
          </cell>
          <cell r="B345" t="str">
            <v>Noam Climance</v>
          </cell>
          <cell r="C345" t="str">
            <v>nclimance9j@europa.eu</v>
          </cell>
          <cell r="E345" t="str">
            <v>34 Orin Crossing</v>
          </cell>
          <cell r="F345" t="str">
            <v>Seattle</v>
          </cell>
          <cell r="G345" t="str">
            <v>United States</v>
          </cell>
          <cell r="H345">
            <v>98148</v>
          </cell>
          <cell r="I345" t="str">
            <v>No</v>
          </cell>
        </row>
        <row r="346">
          <cell r="A346" t="str">
            <v>35442-75769-PL</v>
          </cell>
          <cell r="B346" t="str">
            <v>Catarina Donn</v>
          </cell>
          <cell r="D346" t="str">
            <v>+353 (950) 306-4776</v>
          </cell>
          <cell r="E346" t="str">
            <v>74 Logan Avenue</v>
          </cell>
          <cell r="F346" t="str">
            <v>Dunmanway</v>
          </cell>
          <cell r="G346" t="str">
            <v>Ireland</v>
          </cell>
          <cell r="H346" t="str">
            <v>P47</v>
          </cell>
          <cell r="I346" t="str">
            <v>Yes</v>
          </cell>
        </row>
        <row r="347">
          <cell r="A347" t="str">
            <v>83737-56117-JE</v>
          </cell>
          <cell r="B347" t="str">
            <v>Ameline Snazle</v>
          </cell>
          <cell r="C347" t="str">
            <v>asnazle9l@oracle.com</v>
          </cell>
          <cell r="D347" t="str">
            <v>+1 (334) 193-6359</v>
          </cell>
          <cell r="E347" t="str">
            <v>246 Katie Terrace</v>
          </cell>
          <cell r="F347" t="str">
            <v>Montgomery</v>
          </cell>
          <cell r="G347" t="str">
            <v>United States</v>
          </cell>
          <cell r="H347">
            <v>36109</v>
          </cell>
          <cell r="I347" t="str">
            <v>No</v>
          </cell>
        </row>
        <row r="348">
          <cell r="A348" t="str">
            <v>07095-81281-NJ</v>
          </cell>
          <cell r="B348" t="str">
            <v>Rebeka Worg</v>
          </cell>
          <cell r="C348" t="str">
            <v>rworg9m@arstechnica.com</v>
          </cell>
          <cell r="D348" t="str">
            <v>+1 (214) 985-2470</v>
          </cell>
          <cell r="E348" t="str">
            <v>8753 Texas Court</v>
          </cell>
          <cell r="F348" t="str">
            <v>Dallas</v>
          </cell>
          <cell r="G348" t="str">
            <v>United States</v>
          </cell>
          <cell r="H348">
            <v>75372</v>
          </cell>
          <cell r="I348" t="str">
            <v>Yes</v>
          </cell>
        </row>
        <row r="349">
          <cell r="A349" t="str">
            <v>77043-48851-HG</v>
          </cell>
          <cell r="B349" t="str">
            <v>Lewes Danes</v>
          </cell>
          <cell r="C349" t="str">
            <v>ldanes9n@umn.edu</v>
          </cell>
          <cell r="D349" t="str">
            <v>+1 (785) 398-5129</v>
          </cell>
          <cell r="E349" t="str">
            <v>37 Graedel Court</v>
          </cell>
          <cell r="F349" t="str">
            <v>Topeka</v>
          </cell>
          <cell r="G349" t="str">
            <v>United States</v>
          </cell>
          <cell r="H349">
            <v>66622</v>
          </cell>
          <cell r="I349" t="str">
            <v>No</v>
          </cell>
        </row>
        <row r="350">
          <cell r="A350" t="str">
            <v>78224-60622-KH</v>
          </cell>
          <cell r="B350" t="str">
            <v>Shelli Keynd</v>
          </cell>
          <cell r="C350" t="str">
            <v>skeynd9o@narod.ru</v>
          </cell>
          <cell r="D350" t="str">
            <v>+1 (903) 299-3053</v>
          </cell>
          <cell r="E350" t="str">
            <v>9 Iowa Court</v>
          </cell>
          <cell r="F350" t="str">
            <v>Tyler</v>
          </cell>
          <cell r="G350" t="str">
            <v>United States</v>
          </cell>
          <cell r="H350">
            <v>75799</v>
          </cell>
          <cell r="I350" t="str">
            <v>No</v>
          </cell>
        </row>
        <row r="351">
          <cell r="A351" t="str">
            <v>83105-86631-IU</v>
          </cell>
          <cell r="B351" t="str">
            <v>Dell Daveridge</v>
          </cell>
          <cell r="C351" t="str">
            <v>ddaveridge9p@arstechnica.com</v>
          </cell>
          <cell r="D351" t="str">
            <v>+1 (213) 474-2139</v>
          </cell>
          <cell r="E351" t="str">
            <v>09652 Crowley Lane</v>
          </cell>
          <cell r="F351" t="str">
            <v>Los Angeles</v>
          </cell>
          <cell r="G351" t="str">
            <v>United States</v>
          </cell>
          <cell r="H351">
            <v>90065</v>
          </cell>
          <cell r="I351" t="str">
            <v>No</v>
          </cell>
        </row>
        <row r="352">
          <cell r="A352" t="str">
            <v>99358-65399-TC</v>
          </cell>
          <cell r="B352" t="str">
            <v>Joshuah Awdry</v>
          </cell>
          <cell r="C352" t="str">
            <v>jawdry9q@utexas.edu</v>
          </cell>
          <cell r="D352" t="str">
            <v>+1 (318) 747-7610</v>
          </cell>
          <cell r="E352" t="str">
            <v>7961 Blackbird Road</v>
          </cell>
          <cell r="F352" t="str">
            <v>Shreveport</v>
          </cell>
          <cell r="G352" t="str">
            <v>United States</v>
          </cell>
          <cell r="H352">
            <v>71137</v>
          </cell>
          <cell r="I352" t="str">
            <v>No</v>
          </cell>
        </row>
        <row r="353">
          <cell r="A353" t="str">
            <v>94525-76037-JP</v>
          </cell>
          <cell r="B353" t="str">
            <v>Ethel Ryles</v>
          </cell>
          <cell r="C353" t="str">
            <v>eryles9r@fastcompany.com</v>
          </cell>
          <cell r="D353" t="str">
            <v>+1 (208) 760-1705</v>
          </cell>
          <cell r="E353" t="str">
            <v>8 Schurz Place</v>
          </cell>
          <cell r="F353" t="str">
            <v>Boise</v>
          </cell>
          <cell r="G353" t="str">
            <v>United States</v>
          </cell>
          <cell r="H353">
            <v>83722</v>
          </cell>
          <cell r="I353" t="str">
            <v>No</v>
          </cell>
        </row>
        <row r="354">
          <cell r="A354" t="str">
            <v>91336-36621-RB</v>
          </cell>
          <cell r="B354" t="str">
            <v>Selie Baulcombe</v>
          </cell>
          <cell r="C354" t="str">
            <v>sbaulcombe9s@dropbox.com</v>
          </cell>
          <cell r="D354" t="str">
            <v>+1 (760) 131-9436</v>
          </cell>
          <cell r="E354" t="str">
            <v>21543 Bluejay Court</v>
          </cell>
          <cell r="F354" t="str">
            <v>San Bernardino</v>
          </cell>
          <cell r="G354" t="str">
            <v>United States</v>
          </cell>
          <cell r="H354">
            <v>92415</v>
          </cell>
          <cell r="I354" t="str">
            <v>No</v>
          </cell>
        </row>
        <row r="355">
          <cell r="A355" t="str">
            <v>82718-93677-XO</v>
          </cell>
          <cell r="B355" t="str">
            <v>Maitilde Boxill</v>
          </cell>
          <cell r="D355" t="str">
            <v>+1 (334) 191-0127</v>
          </cell>
          <cell r="E355" t="str">
            <v>65 Cardinal Plaza</v>
          </cell>
          <cell r="F355" t="str">
            <v>Montgomery</v>
          </cell>
          <cell r="G355" t="str">
            <v>United States</v>
          </cell>
          <cell r="H355">
            <v>36177</v>
          </cell>
          <cell r="I355" t="str">
            <v>Yes</v>
          </cell>
        </row>
        <row r="356">
          <cell r="A356" t="str">
            <v>44708-78241-DF</v>
          </cell>
          <cell r="B356" t="str">
            <v>Jodee Caldicott</v>
          </cell>
          <cell r="C356" t="str">
            <v>jcaldicott9u@usda.gov</v>
          </cell>
          <cell r="E356" t="str">
            <v>2690 Oak Way</v>
          </cell>
          <cell r="F356" t="str">
            <v>Fort Pierce</v>
          </cell>
          <cell r="G356" t="str">
            <v>United States</v>
          </cell>
          <cell r="H356">
            <v>34981</v>
          </cell>
          <cell r="I356" t="str">
            <v>No</v>
          </cell>
        </row>
        <row r="357">
          <cell r="A357" t="str">
            <v>23039-93032-FN</v>
          </cell>
          <cell r="B357" t="str">
            <v>Marianna Vedmore</v>
          </cell>
          <cell r="C357" t="str">
            <v>mvedmore9v@a8.net</v>
          </cell>
          <cell r="D357" t="str">
            <v>+1 (336) 366-8873</v>
          </cell>
          <cell r="E357" t="str">
            <v>368 Waubesa Way</v>
          </cell>
          <cell r="F357" t="str">
            <v>Greensboro</v>
          </cell>
          <cell r="G357" t="str">
            <v>United States</v>
          </cell>
          <cell r="H357">
            <v>27415</v>
          </cell>
          <cell r="I357" t="str">
            <v>Yes</v>
          </cell>
        </row>
        <row r="358">
          <cell r="A358" t="str">
            <v>35256-12529-FT</v>
          </cell>
          <cell r="B358" t="str">
            <v>Willey Romao</v>
          </cell>
          <cell r="C358" t="str">
            <v>wromao9w@chronoengine.com</v>
          </cell>
          <cell r="D358" t="str">
            <v>+1 (916) 623-2394</v>
          </cell>
          <cell r="E358" t="str">
            <v>013 Vernon Way</v>
          </cell>
          <cell r="F358" t="str">
            <v>Sacramento</v>
          </cell>
          <cell r="G358" t="str">
            <v>United States</v>
          </cell>
          <cell r="H358">
            <v>94237</v>
          </cell>
          <cell r="I358" t="str">
            <v>Yes</v>
          </cell>
        </row>
        <row r="359">
          <cell r="A359" t="str">
            <v>86100-33488-WP</v>
          </cell>
          <cell r="B359" t="str">
            <v>Enriqueta Ixor</v>
          </cell>
          <cell r="D359" t="str">
            <v>+1 (512) 200-9234</v>
          </cell>
          <cell r="E359" t="str">
            <v>068 Meadow Ridge Lane</v>
          </cell>
          <cell r="F359" t="str">
            <v>Round Rock</v>
          </cell>
          <cell r="G359" t="str">
            <v>United States</v>
          </cell>
          <cell r="H359">
            <v>78682</v>
          </cell>
          <cell r="I359" t="str">
            <v>No</v>
          </cell>
        </row>
        <row r="360">
          <cell r="A360" t="str">
            <v>64435-53100-WM</v>
          </cell>
          <cell r="B360" t="str">
            <v>Tomasina Cotmore</v>
          </cell>
          <cell r="C360" t="str">
            <v>tcotmore9y@amazonaws.com</v>
          </cell>
          <cell r="D360" t="str">
            <v>+1 (571) 250-3012</v>
          </cell>
          <cell r="E360" t="str">
            <v>2146 Helena Court</v>
          </cell>
          <cell r="F360" t="str">
            <v>Reston</v>
          </cell>
          <cell r="G360" t="str">
            <v>United States</v>
          </cell>
          <cell r="H360">
            <v>22096</v>
          </cell>
          <cell r="I360" t="str">
            <v>No</v>
          </cell>
        </row>
        <row r="361">
          <cell r="A361" t="str">
            <v>44699-43836-UH</v>
          </cell>
          <cell r="B361" t="str">
            <v>Yuma Skipsey</v>
          </cell>
          <cell r="C361" t="str">
            <v>yskipsey9z@spotify.com</v>
          </cell>
          <cell r="D361" t="str">
            <v>+44 (257) 759-9950</v>
          </cell>
          <cell r="E361" t="str">
            <v>321 Killdeer Center</v>
          </cell>
          <cell r="F361" t="str">
            <v>Charlton</v>
          </cell>
          <cell r="G361" t="str">
            <v>United Kingdom</v>
          </cell>
          <cell r="H361" t="str">
            <v>OX12</v>
          </cell>
          <cell r="I361" t="str">
            <v>No</v>
          </cell>
        </row>
        <row r="362">
          <cell r="A362" t="str">
            <v>29588-35679-RG</v>
          </cell>
          <cell r="B362" t="str">
            <v>Nicko Corps</v>
          </cell>
          <cell r="C362" t="str">
            <v>ncorpsa0@gmpg.org</v>
          </cell>
          <cell r="D362" t="str">
            <v>+1 (803) 730-8217</v>
          </cell>
          <cell r="E362" t="str">
            <v>119 Iowa Plaza</v>
          </cell>
          <cell r="F362" t="str">
            <v>Columbia</v>
          </cell>
          <cell r="G362" t="str">
            <v>United States</v>
          </cell>
          <cell r="H362">
            <v>29220</v>
          </cell>
          <cell r="I362" t="str">
            <v>No</v>
          </cell>
        </row>
        <row r="363">
          <cell r="A363" t="str">
            <v>09003-89770-JO</v>
          </cell>
          <cell r="B363" t="str">
            <v>Christabel Rubury</v>
          </cell>
          <cell r="C363" t="str">
            <v>cruburya1@geocities.jp</v>
          </cell>
          <cell r="D363" t="str">
            <v>+1 (615) 747-8432</v>
          </cell>
          <cell r="E363" t="str">
            <v>8895 Spaight Circle</v>
          </cell>
          <cell r="F363" t="str">
            <v>Nashville</v>
          </cell>
          <cell r="G363" t="str">
            <v>United States</v>
          </cell>
          <cell r="H363">
            <v>37215</v>
          </cell>
          <cell r="I363" t="str">
            <v>Yes</v>
          </cell>
        </row>
        <row r="364">
          <cell r="A364" t="str">
            <v>64815-54078-HH</v>
          </cell>
          <cell r="B364" t="str">
            <v>Feliks Babber</v>
          </cell>
          <cell r="C364" t="str">
            <v>fbabbera2@stanford.edu</v>
          </cell>
          <cell r="D364" t="str">
            <v>+1 (623) 550-6050</v>
          </cell>
          <cell r="E364" t="str">
            <v>18 Helena Trail</v>
          </cell>
          <cell r="F364" t="str">
            <v>Phoenix</v>
          </cell>
          <cell r="G364" t="str">
            <v>United States</v>
          </cell>
          <cell r="H364">
            <v>85025</v>
          </cell>
          <cell r="I364" t="str">
            <v>Yes</v>
          </cell>
        </row>
        <row r="365">
          <cell r="A365" t="str">
            <v>59572-41990-XY</v>
          </cell>
          <cell r="B365" t="str">
            <v>Kaja Loxton</v>
          </cell>
          <cell r="C365" t="str">
            <v>kloxtona3@opensource.org</v>
          </cell>
          <cell r="E365" t="str">
            <v>8477 East Trail</v>
          </cell>
          <cell r="F365" t="str">
            <v>Miami</v>
          </cell>
          <cell r="G365" t="str">
            <v>United States</v>
          </cell>
          <cell r="H365">
            <v>33233</v>
          </cell>
          <cell r="I365" t="str">
            <v>No</v>
          </cell>
        </row>
        <row r="366">
          <cell r="A366" t="str">
            <v>32481-61533-ZJ</v>
          </cell>
          <cell r="B366" t="str">
            <v>Parker Tofful</v>
          </cell>
          <cell r="C366" t="str">
            <v>ptoffula4@posterous.com</v>
          </cell>
          <cell r="D366" t="str">
            <v>+1 (310) 210-6841</v>
          </cell>
          <cell r="E366" t="str">
            <v>97465 Almo Alley</v>
          </cell>
          <cell r="F366" t="str">
            <v>Fresno</v>
          </cell>
          <cell r="G366" t="str">
            <v>United States</v>
          </cell>
          <cell r="H366">
            <v>93762</v>
          </cell>
          <cell r="I366" t="str">
            <v>Yes</v>
          </cell>
        </row>
        <row r="367">
          <cell r="A367" t="str">
            <v>31587-92570-HL</v>
          </cell>
          <cell r="B367" t="str">
            <v>Casi Gwinnett</v>
          </cell>
          <cell r="C367" t="str">
            <v>cgwinnetta5@behance.net</v>
          </cell>
          <cell r="E367" t="str">
            <v>0 Elgar Parkway</v>
          </cell>
          <cell r="F367" t="str">
            <v>Anaheim</v>
          </cell>
          <cell r="G367" t="str">
            <v>United States</v>
          </cell>
          <cell r="H367">
            <v>92825</v>
          </cell>
          <cell r="I367" t="str">
            <v>No</v>
          </cell>
        </row>
        <row r="368">
          <cell r="A368" t="str">
            <v>93832-04799-ID</v>
          </cell>
          <cell r="B368" t="str">
            <v>Saree Ellesworth</v>
          </cell>
          <cell r="D368" t="str">
            <v>+1 (757) 211-0153</v>
          </cell>
          <cell r="E368" t="str">
            <v>715 Oxford Lane</v>
          </cell>
          <cell r="F368" t="str">
            <v>Newport News</v>
          </cell>
          <cell r="G368" t="str">
            <v>United States</v>
          </cell>
          <cell r="H368">
            <v>23605</v>
          </cell>
          <cell r="I368" t="str">
            <v>No</v>
          </cell>
        </row>
        <row r="369">
          <cell r="A369" t="str">
            <v>59367-30821-ZQ</v>
          </cell>
          <cell r="B369" t="str">
            <v>Silvio Iorizzi</v>
          </cell>
          <cell r="E369" t="str">
            <v>5 Dwight Plaza</v>
          </cell>
          <cell r="F369" t="str">
            <v>Spartanburg</v>
          </cell>
          <cell r="G369" t="str">
            <v>United States</v>
          </cell>
          <cell r="H369">
            <v>29305</v>
          </cell>
          <cell r="I369" t="str">
            <v>Yes</v>
          </cell>
        </row>
        <row r="370">
          <cell r="A370" t="str">
            <v>83947-45528-ET</v>
          </cell>
          <cell r="B370" t="str">
            <v>Leesa Flaonier</v>
          </cell>
          <cell r="C370" t="str">
            <v>lflaoniera8@wordpress.org</v>
          </cell>
          <cell r="D370" t="str">
            <v>+1 (718) 586-2839</v>
          </cell>
          <cell r="E370" t="str">
            <v>25 Saint Paul Drive</v>
          </cell>
          <cell r="F370" t="str">
            <v>Staten Island</v>
          </cell>
          <cell r="G370" t="str">
            <v>United States</v>
          </cell>
          <cell r="H370">
            <v>10305</v>
          </cell>
          <cell r="I370" t="str">
            <v>No</v>
          </cell>
        </row>
        <row r="371">
          <cell r="A371" t="str">
            <v>60799-92593-CX</v>
          </cell>
          <cell r="B371" t="str">
            <v>Abba Pummell</v>
          </cell>
          <cell r="E371" t="str">
            <v>3 Service Pass</v>
          </cell>
          <cell r="F371" t="str">
            <v>Las Vegas</v>
          </cell>
          <cell r="G371" t="str">
            <v>United States</v>
          </cell>
          <cell r="H371">
            <v>89115</v>
          </cell>
          <cell r="I371" t="str">
            <v>Yes</v>
          </cell>
        </row>
        <row r="372">
          <cell r="A372" t="str">
            <v>61600-55136-UM</v>
          </cell>
          <cell r="B372" t="str">
            <v>Corinna Catcheside</v>
          </cell>
          <cell r="C372" t="str">
            <v>ccatchesideaa@macromedia.com</v>
          </cell>
          <cell r="D372" t="str">
            <v>+1 (801) 121-6042</v>
          </cell>
          <cell r="E372" t="str">
            <v>8 Kim Street</v>
          </cell>
          <cell r="F372" t="str">
            <v>Salt Lake City</v>
          </cell>
          <cell r="G372" t="str">
            <v>United States</v>
          </cell>
          <cell r="H372">
            <v>84105</v>
          </cell>
          <cell r="I372" t="str">
            <v>Yes</v>
          </cell>
        </row>
        <row r="373">
          <cell r="A373" t="str">
            <v>59771-90302-OF</v>
          </cell>
          <cell r="B373" t="str">
            <v>Cortney Gibbonson</v>
          </cell>
          <cell r="C373" t="str">
            <v>cgibbonsonab@accuweather.com</v>
          </cell>
          <cell r="D373" t="str">
            <v>+1 (206) 848-3585</v>
          </cell>
          <cell r="E373" t="str">
            <v>861 David Crossing</v>
          </cell>
          <cell r="F373" t="str">
            <v>Seattle</v>
          </cell>
          <cell r="G373" t="str">
            <v>United States</v>
          </cell>
          <cell r="H373">
            <v>98109</v>
          </cell>
          <cell r="I373" t="str">
            <v>Yes</v>
          </cell>
        </row>
        <row r="374">
          <cell r="A374" t="str">
            <v>16880-78077-FB</v>
          </cell>
          <cell r="B374" t="str">
            <v>Terri Farra</v>
          </cell>
          <cell r="C374" t="str">
            <v>tfarraac@behance.net</v>
          </cell>
          <cell r="D374" t="str">
            <v>+1 (432) 648-9589</v>
          </cell>
          <cell r="E374" t="str">
            <v>06448 Burrows Terrace</v>
          </cell>
          <cell r="F374" t="str">
            <v>Odessa</v>
          </cell>
          <cell r="G374" t="str">
            <v>United States</v>
          </cell>
          <cell r="H374">
            <v>79764</v>
          </cell>
          <cell r="I374" t="str">
            <v>No</v>
          </cell>
        </row>
        <row r="375">
          <cell r="A375" t="str">
            <v>74415-50873-FC</v>
          </cell>
          <cell r="B375" t="str">
            <v>Corney Curme</v>
          </cell>
          <cell r="D375" t="str">
            <v>+353 (772) 127-7148</v>
          </cell>
          <cell r="E375" t="str">
            <v>0535 Michigan Plaza</v>
          </cell>
          <cell r="F375" t="str">
            <v>Castleknock</v>
          </cell>
          <cell r="G375" t="str">
            <v>Ireland</v>
          </cell>
          <cell r="H375" t="str">
            <v>K78</v>
          </cell>
          <cell r="I375" t="str">
            <v>Yes</v>
          </cell>
        </row>
        <row r="376">
          <cell r="A376" t="str">
            <v>31798-95707-NR</v>
          </cell>
          <cell r="B376" t="str">
            <v>Gothart Bamfield</v>
          </cell>
          <cell r="C376" t="str">
            <v>gbamfieldae@yellowpages.com</v>
          </cell>
          <cell r="D376" t="str">
            <v>+1 (214) 200-7886</v>
          </cell>
          <cell r="E376" t="str">
            <v>41203 Vernon Street</v>
          </cell>
          <cell r="F376" t="str">
            <v>Irving</v>
          </cell>
          <cell r="G376" t="str">
            <v>United States</v>
          </cell>
          <cell r="H376">
            <v>75037</v>
          </cell>
          <cell r="I376" t="str">
            <v>Yes</v>
          </cell>
        </row>
        <row r="377">
          <cell r="A377" t="str">
            <v>59122-08794-WT</v>
          </cell>
          <cell r="B377" t="str">
            <v>Waylin Hollingdale</v>
          </cell>
          <cell r="C377" t="str">
            <v>whollingdaleaf@about.me</v>
          </cell>
          <cell r="D377" t="str">
            <v>+1 (937) 354-2653</v>
          </cell>
          <cell r="E377" t="str">
            <v>3 Heath Trail</v>
          </cell>
          <cell r="F377" t="str">
            <v>Dayton</v>
          </cell>
          <cell r="G377" t="str">
            <v>United States</v>
          </cell>
          <cell r="H377">
            <v>45426</v>
          </cell>
          <cell r="I377" t="str">
            <v>Yes</v>
          </cell>
        </row>
        <row r="378">
          <cell r="A378" t="str">
            <v>37238-52421-JJ</v>
          </cell>
          <cell r="B378" t="str">
            <v>Judd De Leek</v>
          </cell>
          <cell r="C378" t="str">
            <v>jdeag@xrea.com</v>
          </cell>
          <cell r="D378" t="str">
            <v>+1 (616) 966-1581</v>
          </cell>
          <cell r="E378" t="str">
            <v>90 Saint Paul Plaza</v>
          </cell>
          <cell r="F378" t="str">
            <v>Grand Rapids</v>
          </cell>
          <cell r="G378" t="str">
            <v>United States</v>
          </cell>
          <cell r="H378">
            <v>49560</v>
          </cell>
          <cell r="I378" t="str">
            <v>Yes</v>
          </cell>
        </row>
        <row r="379">
          <cell r="A379" t="str">
            <v>48854-01899-FN</v>
          </cell>
          <cell r="B379" t="str">
            <v>Vanya Skullet</v>
          </cell>
          <cell r="C379" t="str">
            <v>vskulletah@tinyurl.com</v>
          </cell>
          <cell r="D379" t="str">
            <v>+353 (215) 420-1467</v>
          </cell>
          <cell r="E379" t="str">
            <v>4 Grim Road</v>
          </cell>
          <cell r="F379" t="str">
            <v>Balally</v>
          </cell>
          <cell r="G379" t="str">
            <v>Ireland</v>
          </cell>
          <cell r="H379" t="str">
            <v>D04</v>
          </cell>
          <cell r="I379" t="str">
            <v>No</v>
          </cell>
        </row>
        <row r="380">
          <cell r="A380" t="str">
            <v>80896-38819-DW</v>
          </cell>
          <cell r="B380" t="str">
            <v>Jany Rudeforth</v>
          </cell>
          <cell r="C380" t="str">
            <v>jrudeforthai@wunderground.com</v>
          </cell>
          <cell r="D380" t="str">
            <v>+353 (232) 377-5407</v>
          </cell>
          <cell r="E380" t="str">
            <v>614 Commercial Center</v>
          </cell>
          <cell r="F380" t="str">
            <v>Tullyallen</v>
          </cell>
          <cell r="G380" t="str">
            <v>Ireland</v>
          </cell>
          <cell r="H380" t="str">
            <v>E25</v>
          </cell>
          <cell r="I380" t="str">
            <v>Yes</v>
          </cell>
        </row>
        <row r="381">
          <cell r="A381" t="str">
            <v>29814-01459-RC</v>
          </cell>
          <cell r="B381" t="str">
            <v>Ashbey Tomaszewski</v>
          </cell>
          <cell r="C381" t="str">
            <v>atomaszewskiaj@answers.com</v>
          </cell>
          <cell r="E381" t="str">
            <v>7685 Oxford Crossing</v>
          </cell>
          <cell r="F381" t="str">
            <v>Sutton</v>
          </cell>
          <cell r="G381" t="str">
            <v>United Kingdom</v>
          </cell>
          <cell r="H381" t="str">
            <v>CT15</v>
          </cell>
          <cell r="I381" t="str">
            <v>Yes</v>
          </cell>
        </row>
        <row r="382">
          <cell r="A382" t="str">
            <v>21815-71230-UT</v>
          </cell>
          <cell r="B382" t="str">
            <v>Fanni Marti</v>
          </cell>
          <cell r="C382" t="str">
            <v>fmartiak@stumbleupon.com</v>
          </cell>
          <cell r="D382" t="str">
            <v>+1 (217) 599-8947</v>
          </cell>
          <cell r="E382" t="str">
            <v>160 Ruskin Park</v>
          </cell>
          <cell r="F382" t="str">
            <v>Springfield</v>
          </cell>
          <cell r="G382" t="str">
            <v>United States</v>
          </cell>
          <cell r="H382">
            <v>62756</v>
          </cell>
          <cell r="I382" t="str">
            <v>No</v>
          </cell>
        </row>
        <row r="383">
          <cell r="A383" t="str">
            <v>48497-29281-FE</v>
          </cell>
          <cell r="B383" t="str">
            <v>Pren Bess</v>
          </cell>
          <cell r="C383" t="str">
            <v>pbessal@qq.com</v>
          </cell>
          <cell r="D383" t="str">
            <v>+1 (949) 121-4600</v>
          </cell>
          <cell r="E383" t="str">
            <v>36559 Sommers Parkway</v>
          </cell>
          <cell r="F383" t="str">
            <v>Los Angeles</v>
          </cell>
          <cell r="G383" t="str">
            <v>United States</v>
          </cell>
          <cell r="H383">
            <v>90010</v>
          </cell>
          <cell r="I383" t="str">
            <v>Yes</v>
          </cell>
        </row>
        <row r="384">
          <cell r="A384" t="str">
            <v>43605-12616-YH</v>
          </cell>
          <cell r="B384" t="str">
            <v>Elka Windress</v>
          </cell>
          <cell r="C384" t="str">
            <v>ewindressam@marketwatch.com</v>
          </cell>
          <cell r="D384" t="str">
            <v>+1 (443) 619-7953</v>
          </cell>
          <cell r="E384" t="str">
            <v>78 Anderson Alley</v>
          </cell>
          <cell r="F384" t="str">
            <v>Baltimore</v>
          </cell>
          <cell r="G384" t="str">
            <v>United States</v>
          </cell>
          <cell r="H384">
            <v>21239</v>
          </cell>
          <cell r="I384" t="str">
            <v>No</v>
          </cell>
        </row>
        <row r="385">
          <cell r="A385" t="str">
            <v>21907-75962-VB</v>
          </cell>
          <cell r="B385" t="str">
            <v>Marty Kidstoun</v>
          </cell>
          <cell r="D385" t="str">
            <v>+1 (717) 990-3931</v>
          </cell>
          <cell r="E385" t="str">
            <v>4 Sundown Circle</v>
          </cell>
          <cell r="F385" t="str">
            <v>Harrisburg</v>
          </cell>
          <cell r="G385" t="str">
            <v>United States</v>
          </cell>
          <cell r="H385">
            <v>17126</v>
          </cell>
          <cell r="I385" t="str">
            <v>Yes</v>
          </cell>
        </row>
        <row r="386">
          <cell r="A386" t="str">
            <v>69503-12127-YD</v>
          </cell>
          <cell r="B386" t="str">
            <v>Nickey Dimbleby</v>
          </cell>
          <cell r="D386" t="str">
            <v>+1 (469) 579-2051</v>
          </cell>
          <cell r="E386" t="str">
            <v>525 Warner Hill</v>
          </cell>
          <cell r="F386" t="str">
            <v>Dallas</v>
          </cell>
          <cell r="G386" t="str">
            <v>United States</v>
          </cell>
          <cell r="H386">
            <v>75216</v>
          </cell>
          <cell r="I386" t="str">
            <v>No</v>
          </cell>
        </row>
        <row r="387">
          <cell r="A387" t="str">
            <v>68810-07329-EU</v>
          </cell>
          <cell r="B387" t="str">
            <v>Virgil Baumadier</v>
          </cell>
          <cell r="C387" t="str">
            <v>vbaumadierap@google.cn</v>
          </cell>
          <cell r="D387" t="str">
            <v>+1 (816) 987-4857</v>
          </cell>
          <cell r="E387" t="str">
            <v>89508 Atwood Way</v>
          </cell>
          <cell r="F387" t="str">
            <v>Kansas City</v>
          </cell>
          <cell r="G387" t="str">
            <v>United States</v>
          </cell>
          <cell r="H387">
            <v>64125</v>
          </cell>
          <cell r="I387" t="str">
            <v>Yes</v>
          </cell>
        </row>
        <row r="388">
          <cell r="A388" t="str">
            <v>08478-75251-OG</v>
          </cell>
          <cell r="B388" t="str">
            <v>Lenore Messenbird</v>
          </cell>
          <cell r="D388" t="str">
            <v>+1 (217) 713-5108</v>
          </cell>
          <cell r="E388" t="str">
            <v>7881 Dahle Center</v>
          </cell>
          <cell r="F388" t="str">
            <v>Springfield</v>
          </cell>
          <cell r="G388" t="str">
            <v>United States</v>
          </cell>
          <cell r="H388">
            <v>62723</v>
          </cell>
          <cell r="I388" t="str">
            <v>Yes</v>
          </cell>
        </row>
        <row r="389">
          <cell r="A389" t="str">
            <v>17005-82030-EA</v>
          </cell>
          <cell r="B389" t="str">
            <v>Shirleen Welds</v>
          </cell>
          <cell r="C389" t="str">
            <v>sweldsar@wired.com</v>
          </cell>
          <cell r="D389" t="str">
            <v>+1 (203) 568-7058</v>
          </cell>
          <cell r="E389" t="str">
            <v>002 Summer Ridge Terrace</v>
          </cell>
          <cell r="F389" t="str">
            <v>New Haven</v>
          </cell>
          <cell r="G389" t="str">
            <v>United States</v>
          </cell>
          <cell r="H389">
            <v>6510</v>
          </cell>
          <cell r="I389" t="str">
            <v>Yes</v>
          </cell>
        </row>
        <row r="390">
          <cell r="A390" t="str">
            <v>42179-95059-DO</v>
          </cell>
          <cell r="B390" t="str">
            <v>Maisie Sarvar</v>
          </cell>
          <cell r="C390" t="str">
            <v>msarvaras@artisteer.com</v>
          </cell>
          <cell r="D390" t="str">
            <v>+1 (404) 401-6865</v>
          </cell>
          <cell r="E390" t="str">
            <v>83 Saint Paul Drive</v>
          </cell>
          <cell r="F390" t="str">
            <v>Lawrenceville</v>
          </cell>
          <cell r="G390" t="str">
            <v>United States</v>
          </cell>
          <cell r="H390">
            <v>30045</v>
          </cell>
          <cell r="I390" t="str">
            <v>Yes</v>
          </cell>
        </row>
        <row r="391">
          <cell r="A391" t="str">
            <v>55989-39849-WO</v>
          </cell>
          <cell r="B391" t="str">
            <v>Andrej Havick</v>
          </cell>
          <cell r="C391" t="str">
            <v>ahavickat@nsw.gov.au</v>
          </cell>
          <cell r="D391" t="str">
            <v>+1 (828) 769-0743</v>
          </cell>
          <cell r="E391" t="str">
            <v>720 Pennsylvania Pass</v>
          </cell>
          <cell r="F391" t="str">
            <v>Asheville</v>
          </cell>
          <cell r="G391" t="str">
            <v>United States</v>
          </cell>
          <cell r="H391">
            <v>28805</v>
          </cell>
          <cell r="I391" t="str">
            <v>Yes</v>
          </cell>
        </row>
        <row r="392">
          <cell r="A392" t="str">
            <v>28932-49296-TM</v>
          </cell>
          <cell r="B392" t="str">
            <v>Sloan Diviny</v>
          </cell>
          <cell r="C392" t="str">
            <v>sdivinyau@ask.com</v>
          </cell>
          <cell r="E392" t="str">
            <v>3904 Birchwood Terrace</v>
          </cell>
          <cell r="F392" t="str">
            <v>Saint Paul</v>
          </cell>
          <cell r="G392" t="str">
            <v>United States</v>
          </cell>
          <cell r="H392">
            <v>55123</v>
          </cell>
          <cell r="I392" t="str">
            <v>Yes</v>
          </cell>
        </row>
        <row r="393">
          <cell r="A393" t="str">
            <v>86144-10144-CB</v>
          </cell>
          <cell r="B393" t="str">
            <v>Itch Norquoy</v>
          </cell>
          <cell r="C393" t="str">
            <v>inorquoyav@businessweek.com</v>
          </cell>
          <cell r="E393" t="str">
            <v>1 Welch Court</v>
          </cell>
          <cell r="F393" t="str">
            <v>Minneapolis</v>
          </cell>
          <cell r="G393" t="str">
            <v>United States</v>
          </cell>
          <cell r="H393">
            <v>55458</v>
          </cell>
          <cell r="I393" t="str">
            <v>No</v>
          </cell>
        </row>
        <row r="394">
          <cell r="A394" t="str">
            <v>60973-72562-DQ</v>
          </cell>
          <cell r="B394" t="str">
            <v>Anson Iddison</v>
          </cell>
          <cell r="C394" t="str">
            <v>aiddisonaw@usa.gov</v>
          </cell>
          <cell r="D394" t="str">
            <v>+1 (714) 658-0310</v>
          </cell>
          <cell r="E394" t="str">
            <v>8 Steensland Junction</v>
          </cell>
          <cell r="F394" t="str">
            <v>Santa Ana</v>
          </cell>
          <cell r="G394" t="str">
            <v>United States</v>
          </cell>
          <cell r="H394">
            <v>92725</v>
          </cell>
          <cell r="I394" t="str">
            <v>No</v>
          </cell>
        </row>
        <row r="395">
          <cell r="A395" t="str">
            <v>94341-60520-PF</v>
          </cell>
          <cell r="B395" t="str">
            <v>Dov Sprosson</v>
          </cell>
          <cell r="C395" t="str">
            <v>dsprossonax@wunderground.com</v>
          </cell>
          <cell r="D395" t="str">
            <v>+1 (240) 598-3988</v>
          </cell>
          <cell r="E395" t="str">
            <v>7 Anzinger Drive</v>
          </cell>
          <cell r="F395" t="str">
            <v>Hagerstown</v>
          </cell>
          <cell r="G395" t="str">
            <v>United States</v>
          </cell>
          <cell r="H395">
            <v>21747</v>
          </cell>
          <cell r="I395" t="str">
            <v>Yes</v>
          </cell>
        </row>
        <row r="396">
          <cell r="A396" t="str">
            <v>11263-86515-VU</v>
          </cell>
          <cell r="B396" t="str">
            <v>Randal Longfield</v>
          </cell>
          <cell r="C396" t="str">
            <v>rlongfielday@bluehost.com</v>
          </cell>
          <cell r="D396" t="str">
            <v>+1 (612) 210-6966</v>
          </cell>
          <cell r="E396" t="str">
            <v>513 Commercial Avenue</v>
          </cell>
          <cell r="F396" t="str">
            <v>Minneapolis</v>
          </cell>
          <cell r="G396" t="str">
            <v>United States</v>
          </cell>
          <cell r="H396">
            <v>55458</v>
          </cell>
          <cell r="I396" t="str">
            <v>No</v>
          </cell>
        </row>
        <row r="397">
          <cell r="A397" t="str">
            <v>60004-62976-NI</v>
          </cell>
          <cell r="B397" t="str">
            <v>Gregorius Kislingbury</v>
          </cell>
          <cell r="C397" t="str">
            <v>gkislingburyaz@samsung.com</v>
          </cell>
          <cell r="E397" t="str">
            <v>4 Jenifer Street</v>
          </cell>
          <cell r="F397" t="str">
            <v>Washington</v>
          </cell>
          <cell r="G397" t="str">
            <v>United States</v>
          </cell>
          <cell r="H397">
            <v>20420</v>
          </cell>
          <cell r="I397" t="str">
            <v>Yes</v>
          </cell>
        </row>
        <row r="398">
          <cell r="A398" t="str">
            <v>77876-28498-HI</v>
          </cell>
          <cell r="B398" t="str">
            <v>Xenos Gibbons</v>
          </cell>
          <cell r="C398" t="str">
            <v>xgibbonsb0@artisteer.com</v>
          </cell>
          <cell r="D398" t="str">
            <v>+1 (909) 614-0008</v>
          </cell>
          <cell r="E398" t="str">
            <v>002 7th Junction</v>
          </cell>
          <cell r="F398" t="str">
            <v>San Bernardino</v>
          </cell>
          <cell r="G398" t="str">
            <v>United States</v>
          </cell>
          <cell r="H398">
            <v>92415</v>
          </cell>
          <cell r="I398" t="str">
            <v>No</v>
          </cell>
        </row>
        <row r="399">
          <cell r="A399" t="str">
            <v>61302-06948-EH</v>
          </cell>
          <cell r="B399" t="str">
            <v>Fleur Parres</v>
          </cell>
          <cell r="C399" t="str">
            <v>fparresb1@imageshack.us</v>
          </cell>
          <cell r="D399" t="str">
            <v>+1 (585) 672-4256</v>
          </cell>
          <cell r="E399" t="str">
            <v>641 Steensland Pass</v>
          </cell>
          <cell r="F399" t="str">
            <v>Rochester</v>
          </cell>
          <cell r="G399" t="str">
            <v>United States</v>
          </cell>
          <cell r="H399">
            <v>14609</v>
          </cell>
          <cell r="I399" t="str">
            <v>Yes</v>
          </cell>
        </row>
        <row r="400">
          <cell r="A400" t="str">
            <v>06757-96251-UH</v>
          </cell>
          <cell r="B400" t="str">
            <v>Gran Sibray</v>
          </cell>
          <cell r="C400" t="str">
            <v>gsibrayb2@wsj.com</v>
          </cell>
          <cell r="D400" t="str">
            <v>+1 (360) 389-5295</v>
          </cell>
          <cell r="E400" t="str">
            <v>5018 Iowa Pass</v>
          </cell>
          <cell r="F400" t="str">
            <v>Vancouver</v>
          </cell>
          <cell r="G400" t="str">
            <v>United States</v>
          </cell>
          <cell r="H400">
            <v>98664</v>
          </cell>
          <cell r="I400" t="str">
            <v>Yes</v>
          </cell>
        </row>
        <row r="401">
          <cell r="A401" t="str">
            <v>44530-75983-OD</v>
          </cell>
          <cell r="B401" t="str">
            <v>Ingelbert Hotchkin</v>
          </cell>
          <cell r="C401" t="str">
            <v>ihotchkinb3@mit.edu</v>
          </cell>
          <cell r="D401" t="str">
            <v>+44 (387) 464-9544</v>
          </cell>
          <cell r="E401" t="str">
            <v>322 Basil Pass</v>
          </cell>
          <cell r="F401" t="str">
            <v>Preston</v>
          </cell>
          <cell r="G401" t="str">
            <v>United Kingdom</v>
          </cell>
          <cell r="H401" t="str">
            <v>PR1</v>
          </cell>
          <cell r="I401" t="str">
            <v>No</v>
          </cell>
        </row>
        <row r="402">
          <cell r="A402" t="str">
            <v>44865-58249-RY</v>
          </cell>
          <cell r="B402" t="str">
            <v>Neely Broadberrie</v>
          </cell>
          <cell r="C402" t="str">
            <v>nbroadberrieb4@gnu.org</v>
          </cell>
          <cell r="D402" t="str">
            <v>+1 (202) 327-2217</v>
          </cell>
          <cell r="E402" t="str">
            <v>8571 Buena Vista Junction</v>
          </cell>
          <cell r="F402" t="str">
            <v>Washington</v>
          </cell>
          <cell r="G402" t="str">
            <v>United States</v>
          </cell>
          <cell r="H402">
            <v>20057</v>
          </cell>
          <cell r="I402" t="str">
            <v>No</v>
          </cell>
        </row>
        <row r="403">
          <cell r="A403" t="str">
            <v>36021-61205-DF</v>
          </cell>
          <cell r="B403" t="str">
            <v>Rutger Pithcock</v>
          </cell>
          <cell r="C403" t="str">
            <v>rpithcockb5@yellowbook.com</v>
          </cell>
          <cell r="D403" t="str">
            <v>+1 (865) 655-9540</v>
          </cell>
          <cell r="E403" t="str">
            <v>2425 Corben Street</v>
          </cell>
          <cell r="F403" t="str">
            <v>Knoxville</v>
          </cell>
          <cell r="G403" t="str">
            <v>United States</v>
          </cell>
          <cell r="H403">
            <v>37924</v>
          </cell>
          <cell r="I403" t="str">
            <v>Yes</v>
          </cell>
        </row>
        <row r="404">
          <cell r="A404" t="str">
            <v>75716-12782-SS</v>
          </cell>
          <cell r="B404" t="str">
            <v>Gale Croysdale</v>
          </cell>
          <cell r="C404" t="str">
            <v>gcroysdaleb6@nih.gov</v>
          </cell>
          <cell r="D404" t="str">
            <v>+1 (304) 384-2939</v>
          </cell>
          <cell r="E404" t="str">
            <v>1657 Delladonna Hill</v>
          </cell>
          <cell r="F404" t="str">
            <v>Charleston</v>
          </cell>
          <cell r="G404" t="str">
            <v>United States</v>
          </cell>
          <cell r="H404">
            <v>25336</v>
          </cell>
          <cell r="I404" t="str">
            <v>Yes</v>
          </cell>
        </row>
        <row r="405">
          <cell r="A405" t="str">
            <v>11812-00461-KH</v>
          </cell>
          <cell r="B405" t="str">
            <v>Benedetto Gozzett</v>
          </cell>
          <cell r="C405" t="str">
            <v>bgozzettb7@github.com</v>
          </cell>
          <cell r="D405" t="str">
            <v>+1 (214) 700-0229</v>
          </cell>
          <cell r="E405" t="str">
            <v>0389 Hintze Pass</v>
          </cell>
          <cell r="F405" t="str">
            <v>Dallas</v>
          </cell>
          <cell r="G405" t="str">
            <v>United States</v>
          </cell>
          <cell r="H405">
            <v>75372</v>
          </cell>
          <cell r="I405" t="str">
            <v>No</v>
          </cell>
        </row>
        <row r="406">
          <cell r="A406" t="str">
            <v>46681-78850-ZW</v>
          </cell>
          <cell r="B406" t="str">
            <v>Tania Craggs</v>
          </cell>
          <cell r="C406" t="str">
            <v>tcraggsb8@house.gov</v>
          </cell>
          <cell r="D406" t="str">
            <v>+353 (239) 197-6142</v>
          </cell>
          <cell r="E406" t="str">
            <v>0 Eagan Parkway</v>
          </cell>
          <cell r="F406" t="str">
            <v>Whitegate</v>
          </cell>
          <cell r="G406" t="str">
            <v>Ireland</v>
          </cell>
          <cell r="H406" t="str">
            <v>D15</v>
          </cell>
          <cell r="I406" t="str">
            <v>No</v>
          </cell>
        </row>
        <row r="407">
          <cell r="A407" t="str">
            <v>01932-87052-KO</v>
          </cell>
          <cell r="B407" t="str">
            <v>Leonie Cullrford</v>
          </cell>
          <cell r="C407" t="str">
            <v>lcullrfordb9@xing.com</v>
          </cell>
          <cell r="D407" t="str">
            <v>+1 (530) 998-9789</v>
          </cell>
          <cell r="E407" t="str">
            <v>71 Sycamore Crossing</v>
          </cell>
          <cell r="F407" t="str">
            <v>Chico</v>
          </cell>
          <cell r="G407" t="str">
            <v>United States</v>
          </cell>
          <cell r="H407">
            <v>95973</v>
          </cell>
          <cell r="I407" t="str">
            <v>Yes</v>
          </cell>
        </row>
        <row r="408">
          <cell r="A408" t="str">
            <v>16046-34805-ZF</v>
          </cell>
          <cell r="B408" t="str">
            <v>Auguste Rizon</v>
          </cell>
          <cell r="C408" t="str">
            <v>arizonba@xing.com</v>
          </cell>
          <cell r="D408" t="str">
            <v>+1 (501) 732-3644</v>
          </cell>
          <cell r="E408" t="str">
            <v>19 Merrick Pass</v>
          </cell>
          <cell r="F408" t="str">
            <v>Little Rock</v>
          </cell>
          <cell r="G408" t="str">
            <v>United States</v>
          </cell>
          <cell r="H408">
            <v>72215</v>
          </cell>
          <cell r="I408" t="str">
            <v>Yes</v>
          </cell>
        </row>
        <row r="409">
          <cell r="A409" t="str">
            <v>34546-70516-LR</v>
          </cell>
          <cell r="B409" t="str">
            <v>Lorin Guerrazzi</v>
          </cell>
          <cell r="D409" t="str">
            <v>+353 (764) 294-5957</v>
          </cell>
          <cell r="E409" t="str">
            <v>8244 La Follette Street</v>
          </cell>
          <cell r="F409" t="str">
            <v>Balrothery</v>
          </cell>
          <cell r="G409" t="str">
            <v>Ireland</v>
          </cell>
          <cell r="H409" t="str">
            <v>K32</v>
          </cell>
          <cell r="I409" t="str">
            <v>No</v>
          </cell>
        </row>
        <row r="410">
          <cell r="A410" t="str">
            <v>73699-93557-FZ</v>
          </cell>
          <cell r="B410" t="str">
            <v>Felice Miell</v>
          </cell>
          <cell r="C410" t="str">
            <v>fmiellbc@spiegel.de</v>
          </cell>
          <cell r="D410" t="str">
            <v>+1 (732) 770-5368</v>
          </cell>
          <cell r="E410" t="str">
            <v>35 Hoepker Pass</v>
          </cell>
          <cell r="F410" t="str">
            <v>New Brunswick</v>
          </cell>
          <cell r="G410" t="str">
            <v>United States</v>
          </cell>
          <cell r="H410">
            <v>8922</v>
          </cell>
          <cell r="I410" t="str">
            <v>Yes</v>
          </cell>
        </row>
        <row r="411">
          <cell r="A411" t="str">
            <v>86686-37462-CK</v>
          </cell>
          <cell r="B411" t="str">
            <v>Hamish Skeech</v>
          </cell>
          <cell r="D411" t="str">
            <v>+353 (677) 415-3920</v>
          </cell>
          <cell r="E411" t="str">
            <v>5662 Messerschmidt Lane</v>
          </cell>
          <cell r="F411" t="str">
            <v>Valleymount</v>
          </cell>
          <cell r="G411" t="str">
            <v>Ireland</v>
          </cell>
          <cell r="H411" t="str">
            <v>A83</v>
          </cell>
          <cell r="I411" t="str">
            <v>Yes</v>
          </cell>
        </row>
        <row r="412">
          <cell r="A412" t="str">
            <v>14298-02150-KH</v>
          </cell>
          <cell r="B412" t="str">
            <v>Giordano Lorenzin</v>
          </cell>
          <cell r="D412" t="str">
            <v>+1 (415) 414-0382</v>
          </cell>
          <cell r="E412" t="str">
            <v>577 Roth Pass</v>
          </cell>
          <cell r="F412" t="str">
            <v>San Francisco</v>
          </cell>
          <cell r="G412" t="str">
            <v>United States</v>
          </cell>
          <cell r="H412">
            <v>94132</v>
          </cell>
          <cell r="I412" t="str">
            <v>No</v>
          </cell>
        </row>
        <row r="413">
          <cell r="A413" t="str">
            <v>48675-07824-HJ</v>
          </cell>
          <cell r="B413" t="str">
            <v>Harwilll Bishell</v>
          </cell>
          <cell r="D413" t="str">
            <v>+1 (337) 322-9762</v>
          </cell>
          <cell r="E413" t="str">
            <v>7960 Roth Center</v>
          </cell>
          <cell r="F413" t="str">
            <v>Lafayette</v>
          </cell>
          <cell r="G413" t="str">
            <v>United States</v>
          </cell>
          <cell r="H413">
            <v>70505</v>
          </cell>
          <cell r="I413" t="str">
            <v>Yes</v>
          </cell>
        </row>
        <row r="414">
          <cell r="A414" t="str">
            <v>18551-80943-YQ</v>
          </cell>
          <cell r="B414" t="str">
            <v>Freeland Missenden</v>
          </cell>
          <cell r="D414" t="str">
            <v>+1 (619) 481-1493</v>
          </cell>
          <cell r="E414" t="str">
            <v>1 Randy Place</v>
          </cell>
          <cell r="F414" t="str">
            <v>San Diego</v>
          </cell>
          <cell r="G414" t="str">
            <v>United States</v>
          </cell>
          <cell r="H414">
            <v>92191</v>
          </cell>
          <cell r="I414" t="str">
            <v>Yes</v>
          </cell>
        </row>
        <row r="415">
          <cell r="A415" t="str">
            <v>19196-09748-DB</v>
          </cell>
          <cell r="B415" t="str">
            <v>Waylan Springall</v>
          </cell>
          <cell r="C415" t="str">
            <v>wspringallbh@jugem.jp</v>
          </cell>
          <cell r="D415" t="str">
            <v>+1 (626) 495-9253</v>
          </cell>
          <cell r="E415" t="str">
            <v>99 Schurz Pass</v>
          </cell>
          <cell r="F415" t="str">
            <v>Alhambra</v>
          </cell>
          <cell r="G415" t="str">
            <v>United States</v>
          </cell>
          <cell r="H415">
            <v>91841</v>
          </cell>
          <cell r="I415" t="str">
            <v>Yes</v>
          </cell>
        </row>
        <row r="416">
          <cell r="A416" t="str">
            <v>72233-08665-IP</v>
          </cell>
          <cell r="B416" t="str">
            <v>Kiri Avramow</v>
          </cell>
          <cell r="D416" t="str">
            <v>+1 (903) 801-9492</v>
          </cell>
          <cell r="E416" t="str">
            <v>2443 Bluejay Alley</v>
          </cell>
          <cell r="F416" t="str">
            <v>Tyler</v>
          </cell>
          <cell r="G416" t="str">
            <v>United States</v>
          </cell>
          <cell r="H416">
            <v>75799</v>
          </cell>
          <cell r="I416" t="str">
            <v>Yes</v>
          </cell>
        </row>
        <row r="417">
          <cell r="A417" t="str">
            <v>53817-13148-RK</v>
          </cell>
          <cell r="B417" t="str">
            <v>Gregg Hawkyens</v>
          </cell>
          <cell r="C417" t="str">
            <v>ghawkyensbj@census.gov</v>
          </cell>
          <cell r="E417" t="str">
            <v>48 Vidon Street</v>
          </cell>
          <cell r="F417" t="str">
            <v>Lafayette</v>
          </cell>
          <cell r="G417" t="str">
            <v>United States</v>
          </cell>
          <cell r="H417">
            <v>70593</v>
          </cell>
          <cell r="I417" t="str">
            <v>No</v>
          </cell>
        </row>
        <row r="418">
          <cell r="A418" t="str">
            <v>92227-49331-QR</v>
          </cell>
          <cell r="B418" t="str">
            <v>Reggis Pracy</v>
          </cell>
          <cell r="D418" t="str">
            <v>+1 (937) 683-0925</v>
          </cell>
          <cell r="E418" t="str">
            <v>33211 Pleasure Circle</v>
          </cell>
          <cell r="F418" t="str">
            <v>Dayton</v>
          </cell>
          <cell r="G418" t="str">
            <v>United States</v>
          </cell>
          <cell r="H418">
            <v>45426</v>
          </cell>
          <cell r="I418" t="str">
            <v>Yes</v>
          </cell>
        </row>
        <row r="419">
          <cell r="A419" t="str">
            <v>12997-41076-FQ</v>
          </cell>
          <cell r="B419" t="str">
            <v>Paula Denis</v>
          </cell>
          <cell r="D419" t="str">
            <v>+1 (602) 598-9823</v>
          </cell>
          <cell r="E419" t="str">
            <v>74 Texas Road</v>
          </cell>
          <cell r="F419" t="str">
            <v>Phoenix</v>
          </cell>
          <cell r="G419" t="str">
            <v>United States</v>
          </cell>
          <cell r="H419">
            <v>85072</v>
          </cell>
          <cell r="I419" t="str">
            <v>Yes</v>
          </cell>
        </row>
        <row r="420">
          <cell r="A420" t="str">
            <v>44220-00348-MB</v>
          </cell>
          <cell r="B420" t="str">
            <v>Broderick McGilvra</v>
          </cell>
          <cell r="C420" t="str">
            <v>bmcgilvrabm@so-net.ne.jp</v>
          </cell>
          <cell r="E420" t="str">
            <v>880 Mockingbird Plaza</v>
          </cell>
          <cell r="F420" t="str">
            <v>Sacramento</v>
          </cell>
          <cell r="G420" t="str">
            <v>United States</v>
          </cell>
          <cell r="H420">
            <v>94263</v>
          </cell>
          <cell r="I420" t="str">
            <v>Yes</v>
          </cell>
        </row>
        <row r="421">
          <cell r="A421" t="str">
            <v>93047-98331-DD</v>
          </cell>
          <cell r="B421" t="str">
            <v>Annabella Danzey</v>
          </cell>
          <cell r="C421" t="str">
            <v>adanzeybn@github.com</v>
          </cell>
          <cell r="D421" t="str">
            <v>+1 (402) 633-9913</v>
          </cell>
          <cell r="E421" t="str">
            <v>5692 Eastwood Hill</v>
          </cell>
          <cell r="F421" t="str">
            <v>Lincoln</v>
          </cell>
          <cell r="G421" t="str">
            <v>United States</v>
          </cell>
          <cell r="H421">
            <v>68505</v>
          </cell>
          <cell r="I421" t="str">
            <v>Yes</v>
          </cell>
        </row>
        <row r="422">
          <cell r="A422" t="str">
            <v>83537-35563-UF</v>
          </cell>
          <cell r="B422" t="str">
            <v>Anthia McKeller</v>
          </cell>
          <cell r="C422" t="str">
            <v>amckellerbo@ning.com</v>
          </cell>
          <cell r="D422" t="str">
            <v>+1 (717) 414-0043</v>
          </cell>
          <cell r="E422" t="str">
            <v>0 Debra Crossing</v>
          </cell>
          <cell r="F422" t="str">
            <v>Harrisburg</v>
          </cell>
          <cell r="G422" t="str">
            <v>United States</v>
          </cell>
          <cell r="H422">
            <v>17126</v>
          </cell>
          <cell r="I422" t="str">
            <v>No</v>
          </cell>
        </row>
        <row r="423">
          <cell r="A423" t="str">
            <v>01881-40815-VO</v>
          </cell>
          <cell r="B423" t="str">
            <v>Faith Powley</v>
          </cell>
          <cell r="C423" t="str">
            <v>fpowleybp@dyndns.org</v>
          </cell>
          <cell r="D423" t="str">
            <v>+1 (504) 873-5980</v>
          </cell>
          <cell r="E423" t="str">
            <v>3 Talisman Hill</v>
          </cell>
          <cell r="F423" t="str">
            <v>New Orleans</v>
          </cell>
          <cell r="G423" t="str">
            <v>United States</v>
          </cell>
          <cell r="H423">
            <v>70174</v>
          </cell>
          <cell r="I423" t="str">
            <v>Yes</v>
          </cell>
        </row>
        <row r="424">
          <cell r="A424" t="str">
            <v>67285-75317-XI</v>
          </cell>
          <cell r="B424" t="str">
            <v>Nevins Glowacz</v>
          </cell>
          <cell r="D424" t="str">
            <v>+1 (608) 617-1365</v>
          </cell>
          <cell r="E424" t="str">
            <v>8103 Maywood Center</v>
          </cell>
          <cell r="F424" t="str">
            <v>Madison</v>
          </cell>
          <cell r="G424" t="str">
            <v>United States</v>
          </cell>
          <cell r="H424">
            <v>53726</v>
          </cell>
          <cell r="I424" t="str">
            <v>No</v>
          </cell>
        </row>
        <row r="425">
          <cell r="A425" t="str">
            <v>88167-57964-PH</v>
          </cell>
          <cell r="B425" t="str">
            <v>Adelice Isabell</v>
          </cell>
          <cell r="D425" t="str">
            <v>+1 (304) 604-2131</v>
          </cell>
          <cell r="E425" t="str">
            <v>93 Hintze Point</v>
          </cell>
          <cell r="F425" t="str">
            <v>Charleston</v>
          </cell>
          <cell r="G425" t="str">
            <v>United States</v>
          </cell>
          <cell r="H425">
            <v>25336</v>
          </cell>
          <cell r="I425" t="str">
            <v>No</v>
          </cell>
        </row>
        <row r="426">
          <cell r="A426" t="str">
            <v>16106-36039-QS</v>
          </cell>
          <cell r="B426" t="str">
            <v>Yulma Dombrell</v>
          </cell>
          <cell r="C426" t="str">
            <v>ydombrellbs@dedecms.com</v>
          </cell>
          <cell r="D426" t="str">
            <v>+1 (501) 136-0040</v>
          </cell>
          <cell r="E426" t="str">
            <v>83 Sunbrook Lane</v>
          </cell>
          <cell r="F426" t="str">
            <v>Little Rock</v>
          </cell>
          <cell r="G426" t="str">
            <v>United States</v>
          </cell>
          <cell r="H426">
            <v>72204</v>
          </cell>
          <cell r="I426" t="str">
            <v>Yes</v>
          </cell>
        </row>
        <row r="427">
          <cell r="A427" t="str">
            <v>98921-82417-GN</v>
          </cell>
          <cell r="B427" t="str">
            <v>Alric Darth</v>
          </cell>
          <cell r="C427" t="str">
            <v>adarthbt@t.co</v>
          </cell>
          <cell r="D427" t="str">
            <v>+1 (907) 557-6903</v>
          </cell>
          <cell r="E427" t="str">
            <v>86 Pawling Court</v>
          </cell>
          <cell r="F427" t="str">
            <v>Anchorage</v>
          </cell>
          <cell r="G427" t="str">
            <v>United States</v>
          </cell>
          <cell r="H427">
            <v>99507</v>
          </cell>
          <cell r="I427" t="str">
            <v>No</v>
          </cell>
        </row>
        <row r="428">
          <cell r="A428" t="str">
            <v>55265-75151-AK</v>
          </cell>
          <cell r="B428" t="str">
            <v>Manuel Darrigoe</v>
          </cell>
          <cell r="C428" t="str">
            <v>mdarrigoebu@hud.gov</v>
          </cell>
          <cell r="D428" t="str">
            <v>+353 (973) 320-9537</v>
          </cell>
          <cell r="E428" t="str">
            <v>744 Prairie Rose Court</v>
          </cell>
          <cell r="F428" t="str">
            <v>Longwood</v>
          </cell>
          <cell r="G428" t="str">
            <v>Ireland</v>
          </cell>
          <cell r="H428" t="str">
            <v>D02</v>
          </cell>
          <cell r="I428" t="str">
            <v>Yes</v>
          </cell>
        </row>
        <row r="429">
          <cell r="A429" t="str">
            <v>47386-50743-FG</v>
          </cell>
          <cell r="B429" t="str">
            <v>Kynthia Berick</v>
          </cell>
          <cell r="D429" t="str">
            <v>+1 (562) 331-4713</v>
          </cell>
          <cell r="E429" t="str">
            <v>1678 Armistice Alley</v>
          </cell>
          <cell r="F429" t="str">
            <v>San Francisco</v>
          </cell>
          <cell r="G429" t="str">
            <v>United States</v>
          </cell>
          <cell r="H429">
            <v>94110</v>
          </cell>
          <cell r="I429" t="str">
            <v>Yes</v>
          </cell>
        </row>
        <row r="430">
          <cell r="A430" t="str">
            <v>32622-54551-UC</v>
          </cell>
          <cell r="B430" t="str">
            <v>Minetta Ackrill</v>
          </cell>
          <cell r="C430" t="str">
            <v>mackrillbw@bandcamp.com</v>
          </cell>
          <cell r="D430" t="str">
            <v>+1 (330) 603-2373</v>
          </cell>
          <cell r="E430" t="str">
            <v>4 Arizona Road</v>
          </cell>
          <cell r="F430" t="str">
            <v>Warren</v>
          </cell>
          <cell r="G430" t="str">
            <v>United States</v>
          </cell>
          <cell r="H430">
            <v>44485</v>
          </cell>
          <cell r="I430" t="str">
            <v>No</v>
          </cell>
        </row>
        <row r="431">
          <cell r="A431" t="str">
            <v>61516-88984-DK</v>
          </cell>
          <cell r="B431" t="str">
            <v>Maximo Bricksey</v>
          </cell>
          <cell r="C431" t="str">
            <v>mbrickseybx@youku.com</v>
          </cell>
          <cell r="D431" t="str">
            <v>+1 (757) 614-2072</v>
          </cell>
          <cell r="E431" t="str">
            <v>0082 Hooker Drive</v>
          </cell>
          <cell r="F431" t="str">
            <v>Chesapeake</v>
          </cell>
          <cell r="G431" t="str">
            <v>United States</v>
          </cell>
          <cell r="H431">
            <v>23324</v>
          </cell>
          <cell r="I431" t="str">
            <v>No</v>
          </cell>
        </row>
        <row r="432">
          <cell r="A432" t="str">
            <v>48419-02347-XP</v>
          </cell>
          <cell r="B432" t="str">
            <v>Melosa Kippen</v>
          </cell>
          <cell r="C432" t="str">
            <v>mkippenby@dion.ne.jp</v>
          </cell>
          <cell r="D432" t="str">
            <v>+1 (601) 262-2557</v>
          </cell>
          <cell r="E432" t="str">
            <v>87 Brentwood Hill</v>
          </cell>
          <cell r="F432" t="str">
            <v>Jackson</v>
          </cell>
          <cell r="G432" t="str">
            <v>United States</v>
          </cell>
          <cell r="H432">
            <v>39236</v>
          </cell>
          <cell r="I432" t="str">
            <v>Yes</v>
          </cell>
        </row>
        <row r="433">
          <cell r="A433" t="str">
            <v>14121-20527-OJ</v>
          </cell>
          <cell r="B433" t="str">
            <v>Witty Ranson</v>
          </cell>
          <cell r="C433" t="str">
            <v>wransonbz@ted.com</v>
          </cell>
          <cell r="D433" t="str">
            <v>+353 (376) 165-2897</v>
          </cell>
          <cell r="E433" t="str">
            <v>012 Debra Center</v>
          </cell>
          <cell r="F433" t="str">
            <v>Kildare</v>
          </cell>
          <cell r="G433" t="str">
            <v>Ireland</v>
          </cell>
          <cell r="H433" t="str">
            <v>R51</v>
          </cell>
          <cell r="I433" t="str">
            <v>Yes</v>
          </cell>
        </row>
        <row r="434">
          <cell r="A434" t="str">
            <v>53486-73919-BQ</v>
          </cell>
          <cell r="B434" t="str">
            <v>Rod Gowdie</v>
          </cell>
          <cell r="D434" t="str">
            <v>+1 (360) 347-6756</v>
          </cell>
          <cell r="E434" t="str">
            <v>7 Hansons Trail</v>
          </cell>
          <cell r="F434" t="str">
            <v>Milwaukee</v>
          </cell>
          <cell r="G434" t="str">
            <v>United States</v>
          </cell>
          <cell r="H434">
            <v>53277</v>
          </cell>
          <cell r="I434" t="str">
            <v>No</v>
          </cell>
        </row>
        <row r="435">
          <cell r="A435" t="str">
            <v>21889-94615-WT</v>
          </cell>
          <cell r="B435" t="str">
            <v>Lemuel Rignold</v>
          </cell>
          <cell r="C435" t="str">
            <v>lrignoldc1@miibeian.gov.cn</v>
          </cell>
          <cell r="D435" t="str">
            <v>+1 (916) 472-7804</v>
          </cell>
          <cell r="E435" t="str">
            <v>15027 Mcbride Pass</v>
          </cell>
          <cell r="F435" t="str">
            <v>Sacramento</v>
          </cell>
          <cell r="G435" t="str">
            <v>United States</v>
          </cell>
          <cell r="H435">
            <v>94250</v>
          </cell>
          <cell r="I435" t="str">
            <v>Yes</v>
          </cell>
        </row>
        <row r="436">
          <cell r="A436" t="str">
            <v>87726-16941-QW</v>
          </cell>
          <cell r="B436" t="str">
            <v>Nevsa Fields</v>
          </cell>
          <cell r="D436" t="str">
            <v>+1 (617) 535-7583</v>
          </cell>
          <cell r="E436" t="str">
            <v>09 Lotheville Place</v>
          </cell>
          <cell r="F436" t="str">
            <v>Boston</v>
          </cell>
          <cell r="G436" t="str">
            <v>United States</v>
          </cell>
          <cell r="H436">
            <v>2298</v>
          </cell>
          <cell r="I436" t="str">
            <v>No</v>
          </cell>
        </row>
        <row r="437">
          <cell r="A437" t="str">
            <v>03677-09134-BC</v>
          </cell>
          <cell r="B437" t="str">
            <v>Chance Rowthorn</v>
          </cell>
          <cell r="C437" t="str">
            <v>crowthornc3@msn.com</v>
          </cell>
          <cell r="D437" t="str">
            <v>+1 (785) 380-3311</v>
          </cell>
          <cell r="E437" t="str">
            <v>320 Rockefeller Alley</v>
          </cell>
          <cell r="F437" t="str">
            <v>Topeka</v>
          </cell>
          <cell r="G437" t="str">
            <v>United States</v>
          </cell>
          <cell r="H437">
            <v>66622</v>
          </cell>
          <cell r="I437" t="str">
            <v>No</v>
          </cell>
        </row>
        <row r="438">
          <cell r="A438" t="str">
            <v>93224-71517-WV</v>
          </cell>
          <cell r="B438" t="str">
            <v>Orly Ryland</v>
          </cell>
          <cell r="C438" t="str">
            <v>orylandc4@deviantart.com</v>
          </cell>
          <cell r="D438" t="str">
            <v>+1 (701) 417-3513</v>
          </cell>
          <cell r="E438" t="str">
            <v>3513 Burning Wood Way</v>
          </cell>
          <cell r="F438" t="str">
            <v>Fargo</v>
          </cell>
          <cell r="G438" t="str">
            <v>United States</v>
          </cell>
          <cell r="H438">
            <v>58122</v>
          </cell>
          <cell r="I438" t="str">
            <v>Yes</v>
          </cell>
        </row>
        <row r="439">
          <cell r="A439" t="str">
            <v>76263-95145-GJ</v>
          </cell>
          <cell r="B439" t="str">
            <v>Willabella Abramski</v>
          </cell>
          <cell r="D439" t="str">
            <v>+1 (832) 263-0050</v>
          </cell>
          <cell r="E439" t="str">
            <v>40 Jenifer Alley</v>
          </cell>
          <cell r="F439" t="str">
            <v>Houston</v>
          </cell>
          <cell r="G439" t="str">
            <v>United States</v>
          </cell>
          <cell r="H439">
            <v>77095</v>
          </cell>
          <cell r="I439" t="str">
            <v>No</v>
          </cell>
        </row>
        <row r="440">
          <cell r="A440" t="str">
            <v>48314-32864-VI</v>
          </cell>
          <cell r="B440" t="str">
            <v>Brandy Lottrington</v>
          </cell>
          <cell r="C440" t="str">
            <v>blottringtonc6@redcross.org</v>
          </cell>
          <cell r="D440" t="str">
            <v>+1 (405) 720-9470</v>
          </cell>
          <cell r="E440" t="str">
            <v>6 Ilene Hill</v>
          </cell>
          <cell r="F440" t="str">
            <v>Oklahoma City</v>
          </cell>
          <cell r="G440" t="str">
            <v>United States</v>
          </cell>
          <cell r="H440">
            <v>73190</v>
          </cell>
          <cell r="I440" t="str">
            <v>No</v>
          </cell>
        </row>
        <row r="441">
          <cell r="A441" t="str">
            <v>70624-19112-AO</v>
          </cell>
          <cell r="B441" t="str">
            <v>Chickie Ragless</v>
          </cell>
          <cell r="C441" t="str">
            <v>craglessc7@webmd.com</v>
          </cell>
          <cell r="D441" t="str">
            <v>+353 (736) 602-8469</v>
          </cell>
          <cell r="E441" t="str">
            <v>98053 Elmside Drive</v>
          </cell>
          <cell r="F441" t="str">
            <v>Caherconlish</v>
          </cell>
          <cell r="G441" t="str">
            <v>Ireland</v>
          </cell>
          <cell r="H441" t="str">
            <v>F45</v>
          </cell>
          <cell r="I441" t="str">
            <v>No</v>
          </cell>
        </row>
        <row r="442">
          <cell r="A442" t="str">
            <v>58916-61837-QH</v>
          </cell>
          <cell r="B442" t="str">
            <v>Freda Hollows</v>
          </cell>
          <cell r="C442" t="str">
            <v>fhollowsc8@blogtalkradio.com</v>
          </cell>
          <cell r="D442" t="str">
            <v>+1 (716) 632-6865</v>
          </cell>
          <cell r="E442" t="str">
            <v>353 Portage Center</v>
          </cell>
          <cell r="F442" t="str">
            <v>Buffalo</v>
          </cell>
          <cell r="G442" t="str">
            <v>United States</v>
          </cell>
          <cell r="H442">
            <v>14205</v>
          </cell>
          <cell r="I442" t="str">
            <v>Yes</v>
          </cell>
        </row>
        <row r="443">
          <cell r="A443" t="str">
            <v>89292-52335-YZ</v>
          </cell>
          <cell r="B443" t="str">
            <v>Livy Lathleiff</v>
          </cell>
          <cell r="C443" t="str">
            <v>llathleiffc9@nationalgeographic.com</v>
          </cell>
          <cell r="D443" t="str">
            <v>+353 (895) 566-0110</v>
          </cell>
          <cell r="E443" t="str">
            <v>0671 Scoville Way</v>
          </cell>
          <cell r="F443" t="str">
            <v>Shankill</v>
          </cell>
          <cell r="G443" t="str">
            <v>Ireland</v>
          </cell>
          <cell r="H443" t="str">
            <v>A98</v>
          </cell>
          <cell r="I443" t="str">
            <v>Yes</v>
          </cell>
        </row>
        <row r="444">
          <cell r="A444" t="str">
            <v>77284-34297-YY</v>
          </cell>
          <cell r="B444" t="str">
            <v>Koralle Heads</v>
          </cell>
          <cell r="C444" t="str">
            <v>kheadsca@jalbum.net</v>
          </cell>
          <cell r="D444" t="str">
            <v>+1 (484) 131-2636</v>
          </cell>
          <cell r="E444" t="str">
            <v>2 Cherokee Hill</v>
          </cell>
          <cell r="F444" t="str">
            <v>Bethlehem</v>
          </cell>
          <cell r="G444" t="str">
            <v>United States</v>
          </cell>
          <cell r="H444">
            <v>18018</v>
          </cell>
          <cell r="I444" t="str">
            <v>No</v>
          </cell>
        </row>
        <row r="445">
          <cell r="A445" t="str">
            <v>50449-80974-BZ</v>
          </cell>
          <cell r="B445" t="str">
            <v>Theo Bowne</v>
          </cell>
          <cell r="C445" t="str">
            <v>tbownecb@unicef.org</v>
          </cell>
          <cell r="D445" t="str">
            <v>+353 (540) 432-8009</v>
          </cell>
          <cell r="E445" t="str">
            <v>79 Prairieview Point</v>
          </cell>
          <cell r="F445" t="str">
            <v>Watergrasshill</v>
          </cell>
          <cell r="G445" t="str">
            <v>Ireland</v>
          </cell>
          <cell r="H445" t="str">
            <v>T56</v>
          </cell>
          <cell r="I445" t="str">
            <v>Yes</v>
          </cell>
        </row>
        <row r="446">
          <cell r="A446" t="str">
            <v>08120-16183-AW</v>
          </cell>
          <cell r="B446" t="str">
            <v>Rasia Jacquemard</v>
          </cell>
          <cell r="C446" t="str">
            <v>rjacquemardcc@acquirethisname.com</v>
          </cell>
          <cell r="D446" t="str">
            <v>+353 (959) 389-1521</v>
          </cell>
          <cell r="E446" t="str">
            <v>415 Fremont Junction</v>
          </cell>
          <cell r="F446" t="str">
            <v>Monasterevin</v>
          </cell>
          <cell r="G446" t="str">
            <v>Ireland</v>
          </cell>
          <cell r="H446" t="str">
            <v>W34</v>
          </cell>
          <cell r="I446" t="str">
            <v>No</v>
          </cell>
        </row>
        <row r="447">
          <cell r="A447" t="str">
            <v>68044-89277-ML</v>
          </cell>
          <cell r="B447" t="str">
            <v>Kizzie Warman</v>
          </cell>
          <cell r="C447" t="str">
            <v>kwarmancd@printfriendly.com</v>
          </cell>
          <cell r="E447" t="str">
            <v>67365 Homewood Center</v>
          </cell>
          <cell r="F447" t="str">
            <v>Sandyford</v>
          </cell>
          <cell r="G447" t="str">
            <v>Ireland</v>
          </cell>
          <cell r="H447" t="str">
            <v>D04</v>
          </cell>
          <cell r="I447" t="str">
            <v>Yes</v>
          </cell>
        </row>
        <row r="448">
          <cell r="A448" t="str">
            <v>71364-35210-HS</v>
          </cell>
          <cell r="B448" t="str">
            <v>Wain Cholomin</v>
          </cell>
          <cell r="C448" t="str">
            <v>wcholomince@about.com</v>
          </cell>
          <cell r="D448" t="str">
            <v>+44 (512) 340-9049</v>
          </cell>
          <cell r="E448" t="str">
            <v>566 Arrowood Way</v>
          </cell>
          <cell r="F448" t="str">
            <v>Birmingham</v>
          </cell>
          <cell r="G448" t="str">
            <v>United Kingdom</v>
          </cell>
          <cell r="H448" t="str">
            <v>B12</v>
          </cell>
          <cell r="I448" t="str">
            <v>Yes</v>
          </cell>
        </row>
        <row r="449">
          <cell r="A449" t="str">
            <v>37177-68797-ON</v>
          </cell>
          <cell r="B449" t="str">
            <v>Arleen Braidman</v>
          </cell>
          <cell r="C449" t="str">
            <v>abraidmancf@census.gov</v>
          </cell>
          <cell r="E449" t="str">
            <v>4 Golf View Hill</v>
          </cell>
          <cell r="F449" t="str">
            <v>Phoenix</v>
          </cell>
          <cell r="G449" t="str">
            <v>United States</v>
          </cell>
          <cell r="H449">
            <v>85099</v>
          </cell>
          <cell r="I449" t="str">
            <v>No</v>
          </cell>
        </row>
        <row r="450">
          <cell r="A450" t="str">
            <v>60308-06944-GS</v>
          </cell>
          <cell r="B450" t="str">
            <v>Pru Durban</v>
          </cell>
          <cell r="C450" t="str">
            <v>pdurbancg@symantec.com</v>
          </cell>
          <cell r="D450" t="str">
            <v>+353 (709) 884-1892</v>
          </cell>
          <cell r="E450" t="str">
            <v>2 Forest Street</v>
          </cell>
          <cell r="F450" t="str">
            <v>Longford</v>
          </cell>
          <cell r="G450" t="str">
            <v>Ireland</v>
          </cell>
          <cell r="H450" t="str">
            <v>N39</v>
          </cell>
          <cell r="I450" t="str">
            <v>No</v>
          </cell>
        </row>
        <row r="451">
          <cell r="A451" t="str">
            <v>49888-39458-PF</v>
          </cell>
          <cell r="B451" t="str">
            <v>Antone Harrold</v>
          </cell>
          <cell r="C451" t="str">
            <v>aharroldch@miibeian.gov.cn</v>
          </cell>
          <cell r="D451" t="str">
            <v>+1 (419) 153-2104</v>
          </cell>
          <cell r="E451" t="str">
            <v>90 Kensington Road</v>
          </cell>
          <cell r="F451" t="str">
            <v>Toledo</v>
          </cell>
          <cell r="G451" t="str">
            <v>United States</v>
          </cell>
          <cell r="H451">
            <v>43610</v>
          </cell>
          <cell r="I451" t="str">
            <v>No</v>
          </cell>
        </row>
        <row r="452">
          <cell r="A452" t="str">
            <v>60748-46813-DZ</v>
          </cell>
          <cell r="B452" t="str">
            <v>Sim Pamphilon</v>
          </cell>
          <cell r="C452" t="str">
            <v>spamphilonci@mlb.com</v>
          </cell>
          <cell r="D452" t="str">
            <v>+353 (456) 630-8490</v>
          </cell>
          <cell r="E452" t="str">
            <v>36194 Susan Street</v>
          </cell>
          <cell r="F452" t="str">
            <v>Ballylinan</v>
          </cell>
          <cell r="G452" t="str">
            <v>Ireland</v>
          </cell>
          <cell r="H452" t="str">
            <v>P56</v>
          </cell>
          <cell r="I452" t="str">
            <v>No</v>
          </cell>
        </row>
        <row r="453">
          <cell r="A453" t="str">
            <v>16385-11286-NX</v>
          </cell>
          <cell r="B453" t="str">
            <v>Mohandis Spurden</v>
          </cell>
          <cell r="C453" t="str">
            <v>mspurdencj@exblog.jp</v>
          </cell>
          <cell r="D453" t="str">
            <v>+1 (704) 256-1371</v>
          </cell>
          <cell r="E453" t="str">
            <v>55290 Manufacturers Lane</v>
          </cell>
          <cell r="F453" t="str">
            <v>Charlotte</v>
          </cell>
          <cell r="G453" t="str">
            <v>United States</v>
          </cell>
          <cell r="H453">
            <v>28210</v>
          </cell>
          <cell r="I453" t="str">
            <v>Yes</v>
          </cell>
        </row>
        <row r="454">
          <cell r="A454" t="str">
            <v>68555-89840-GZ</v>
          </cell>
          <cell r="B454" t="str">
            <v>Morgen Seson</v>
          </cell>
          <cell r="C454" t="str">
            <v>msesonck@census.gov</v>
          </cell>
          <cell r="D454" t="str">
            <v>+1 (206) 642-0902</v>
          </cell>
          <cell r="E454" t="str">
            <v>92847 Schlimgen Road</v>
          </cell>
          <cell r="F454" t="str">
            <v>Seattle</v>
          </cell>
          <cell r="G454" t="str">
            <v>United States</v>
          </cell>
          <cell r="H454">
            <v>98109</v>
          </cell>
          <cell r="I454" t="str">
            <v>No</v>
          </cell>
        </row>
        <row r="455">
          <cell r="A455" t="str">
            <v>72164-90254-EJ</v>
          </cell>
          <cell r="B455" t="str">
            <v>Nalani Pirrone</v>
          </cell>
          <cell r="C455" t="str">
            <v>npirronecl@weibo.com</v>
          </cell>
          <cell r="D455" t="str">
            <v>+1 (570) 223-3194</v>
          </cell>
          <cell r="E455" t="str">
            <v>1585 Bashford Center</v>
          </cell>
          <cell r="F455" t="str">
            <v>Wilkes Barre</v>
          </cell>
          <cell r="G455" t="str">
            <v>United States</v>
          </cell>
          <cell r="H455">
            <v>18706</v>
          </cell>
          <cell r="I455" t="str">
            <v>No</v>
          </cell>
        </row>
        <row r="456">
          <cell r="A456" t="str">
            <v>67010-92988-CT</v>
          </cell>
          <cell r="B456" t="str">
            <v>Reube Cawley</v>
          </cell>
          <cell r="C456" t="str">
            <v>rcawleycm@yellowbook.com</v>
          </cell>
          <cell r="E456" t="str">
            <v>54210 Eagan Avenue</v>
          </cell>
          <cell r="F456" t="str">
            <v>Ballyboden</v>
          </cell>
          <cell r="G456" t="str">
            <v>Ireland</v>
          </cell>
          <cell r="H456" t="str">
            <v>D6W</v>
          </cell>
          <cell r="I456" t="str">
            <v>Yes</v>
          </cell>
        </row>
        <row r="457">
          <cell r="A457" t="str">
            <v>15776-91507-GT</v>
          </cell>
          <cell r="B457" t="str">
            <v>Stan Barribal</v>
          </cell>
          <cell r="C457" t="str">
            <v>sbarribalcn@microsoft.com</v>
          </cell>
          <cell r="D457" t="str">
            <v>+353 (310) 256-3698</v>
          </cell>
          <cell r="E457" t="str">
            <v>6743 Cascade Drive</v>
          </cell>
          <cell r="F457" t="str">
            <v>Bagenalstown</v>
          </cell>
          <cell r="G457" t="str">
            <v>Ireland</v>
          </cell>
          <cell r="H457" t="str">
            <v>R21</v>
          </cell>
          <cell r="I457" t="str">
            <v>Yes</v>
          </cell>
        </row>
        <row r="458">
          <cell r="A458" t="str">
            <v>23473-41001-CD</v>
          </cell>
          <cell r="B458" t="str">
            <v>Agnes Adamides</v>
          </cell>
          <cell r="C458" t="str">
            <v>aadamidesco@bizjournals.com</v>
          </cell>
          <cell r="D458" t="str">
            <v>+44 (131) 485-2183</v>
          </cell>
          <cell r="E458" t="str">
            <v>6338 Arkansas Drive</v>
          </cell>
          <cell r="F458" t="str">
            <v>Liverpool</v>
          </cell>
          <cell r="G458" t="str">
            <v>United Kingdom</v>
          </cell>
          <cell r="H458" t="str">
            <v>L74</v>
          </cell>
          <cell r="I458" t="str">
            <v>No</v>
          </cell>
        </row>
        <row r="459">
          <cell r="A459" t="str">
            <v>23446-47798-ID</v>
          </cell>
          <cell r="B459" t="str">
            <v>Carmelita Thowes</v>
          </cell>
          <cell r="C459" t="str">
            <v>cthowescp@craigslist.org</v>
          </cell>
          <cell r="D459" t="str">
            <v>+1 (585) 785-2424</v>
          </cell>
          <cell r="E459" t="str">
            <v>33398 Hallows Circle</v>
          </cell>
          <cell r="F459" t="str">
            <v>Rochester</v>
          </cell>
          <cell r="G459" t="str">
            <v>United States</v>
          </cell>
          <cell r="H459">
            <v>14652</v>
          </cell>
          <cell r="I459" t="str">
            <v>No</v>
          </cell>
        </row>
        <row r="460">
          <cell r="A460" t="str">
            <v>28327-84469-ND</v>
          </cell>
          <cell r="B460" t="str">
            <v>Rodolfo Willoway</v>
          </cell>
          <cell r="C460" t="str">
            <v>rwillowaycq@admin.ch</v>
          </cell>
          <cell r="D460" t="str">
            <v>+1 (520) 126-8439</v>
          </cell>
          <cell r="E460" t="str">
            <v>58 Schlimgen Parkway</v>
          </cell>
          <cell r="F460" t="str">
            <v>Tucson</v>
          </cell>
          <cell r="G460" t="str">
            <v>United States</v>
          </cell>
          <cell r="H460">
            <v>85754</v>
          </cell>
          <cell r="I460" t="str">
            <v>No</v>
          </cell>
        </row>
        <row r="461">
          <cell r="A461" t="str">
            <v>42466-87067-DT</v>
          </cell>
          <cell r="B461" t="str">
            <v>Alvis Elwin</v>
          </cell>
          <cell r="C461" t="str">
            <v>aelwincr@privacy.gov.au</v>
          </cell>
          <cell r="D461" t="str">
            <v>+1 (612) 244-0885</v>
          </cell>
          <cell r="E461" t="str">
            <v>26 Everett Hill</v>
          </cell>
          <cell r="F461" t="str">
            <v>Minneapolis</v>
          </cell>
          <cell r="G461" t="str">
            <v>United States</v>
          </cell>
          <cell r="H461">
            <v>55480</v>
          </cell>
          <cell r="I461" t="str">
            <v>No</v>
          </cell>
        </row>
        <row r="462">
          <cell r="A462" t="str">
            <v>62246-99443-HF</v>
          </cell>
          <cell r="B462" t="str">
            <v>Araldo Bilbrook</v>
          </cell>
          <cell r="C462" t="str">
            <v>abilbrookcs@booking.com</v>
          </cell>
          <cell r="D462" t="str">
            <v>+353 (138) 323-3320</v>
          </cell>
          <cell r="E462" t="str">
            <v>4 Raven Alley</v>
          </cell>
          <cell r="F462" t="str">
            <v>Ashbourne</v>
          </cell>
          <cell r="G462" t="str">
            <v>Ireland</v>
          </cell>
          <cell r="H462" t="str">
            <v>A84</v>
          </cell>
          <cell r="I462" t="str">
            <v>Yes</v>
          </cell>
        </row>
        <row r="463">
          <cell r="A463" t="str">
            <v>99869-55718-UU</v>
          </cell>
          <cell r="B463" t="str">
            <v>Ransell McKall</v>
          </cell>
          <cell r="C463" t="str">
            <v>rmckallct@sakura.ne.jp</v>
          </cell>
          <cell r="D463" t="str">
            <v>+44 (841) 988-2775</v>
          </cell>
          <cell r="E463" t="str">
            <v>451 Nevada Terrace</v>
          </cell>
          <cell r="F463" t="str">
            <v>Bristol</v>
          </cell>
          <cell r="G463" t="str">
            <v>United Kingdom</v>
          </cell>
          <cell r="H463" t="str">
            <v>BS41</v>
          </cell>
          <cell r="I463" t="str">
            <v>Yes</v>
          </cell>
        </row>
        <row r="464">
          <cell r="A464" t="str">
            <v>77421-46059-RY</v>
          </cell>
          <cell r="B464" t="str">
            <v>Borg Daile</v>
          </cell>
          <cell r="C464" t="str">
            <v>bdailecu@vistaprint.com</v>
          </cell>
          <cell r="D464" t="str">
            <v>+1 (770) 330-7785</v>
          </cell>
          <cell r="E464" t="str">
            <v>385 Corben Parkway</v>
          </cell>
          <cell r="F464" t="str">
            <v>Atlanta</v>
          </cell>
          <cell r="G464" t="str">
            <v>United States</v>
          </cell>
          <cell r="H464">
            <v>31119</v>
          </cell>
          <cell r="I464" t="str">
            <v>Yes</v>
          </cell>
        </row>
        <row r="465">
          <cell r="A465" t="str">
            <v>49894-06550-OQ</v>
          </cell>
          <cell r="B465" t="str">
            <v>Adolphe Treherne</v>
          </cell>
          <cell r="C465" t="str">
            <v>atrehernecv@state.tx.us</v>
          </cell>
          <cell r="D465" t="str">
            <v>+353 (860) 359-7907</v>
          </cell>
          <cell r="E465" t="str">
            <v>66 Sundown Place</v>
          </cell>
          <cell r="F465" t="str">
            <v>Farranacoush</v>
          </cell>
          <cell r="G465" t="str">
            <v>Ireland</v>
          </cell>
          <cell r="H465" t="str">
            <v>P81</v>
          </cell>
          <cell r="I465" t="str">
            <v>No</v>
          </cell>
        </row>
        <row r="466">
          <cell r="A466" t="str">
            <v>72028-63343-SU</v>
          </cell>
          <cell r="B466" t="str">
            <v>Annetta Brentnall</v>
          </cell>
          <cell r="C466" t="str">
            <v>abrentnallcw@biglobe.ne.jp</v>
          </cell>
          <cell r="D466" t="str">
            <v>+44 (373) 897-1797</v>
          </cell>
          <cell r="E466" t="str">
            <v>00 Ludington Pass</v>
          </cell>
          <cell r="F466" t="str">
            <v>East End</v>
          </cell>
          <cell r="G466" t="str">
            <v>United Kingdom</v>
          </cell>
          <cell r="H466" t="str">
            <v>BH21</v>
          </cell>
          <cell r="I466" t="str">
            <v>No</v>
          </cell>
        </row>
        <row r="467">
          <cell r="A467" t="str">
            <v>10074-20104-NN</v>
          </cell>
          <cell r="B467" t="str">
            <v>Dick Drinkall</v>
          </cell>
          <cell r="C467" t="str">
            <v>ddrinkallcx@psu.edu</v>
          </cell>
          <cell r="D467" t="str">
            <v>+1 (865) 407-3871</v>
          </cell>
          <cell r="E467" t="str">
            <v>82460 Grover Parkway</v>
          </cell>
          <cell r="F467" t="str">
            <v>Knoxville</v>
          </cell>
          <cell r="G467" t="str">
            <v>United States</v>
          </cell>
          <cell r="H467">
            <v>37939</v>
          </cell>
          <cell r="I467" t="str">
            <v>Yes</v>
          </cell>
        </row>
        <row r="468">
          <cell r="A468" t="str">
            <v>71769-10219-IM</v>
          </cell>
          <cell r="B468" t="str">
            <v>Dagny Kornel</v>
          </cell>
          <cell r="C468" t="str">
            <v>dkornelcy@cyberchimps.com</v>
          </cell>
          <cell r="D468" t="str">
            <v>+1 (989) 565-9120</v>
          </cell>
          <cell r="E468" t="str">
            <v>60360 Killdeer Alley</v>
          </cell>
          <cell r="F468" t="str">
            <v>Saginaw</v>
          </cell>
          <cell r="G468" t="str">
            <v>United States</v>
          </cell>
          <cell r="H468">
            <v>48604</v>
          </cell>
          <cell r="I468" t="str">
            <v>Yes</v>
          </cell>
        </row>
        <row r="469">
          <cell r="A469" t="str">
            <v>22221-71106-JD</v>
          </cell>
          <cell r="B469" t="str">
            <v>Rhona Lequeux</v>
          </cell>
          <cell r="C469" t="str">
            <v>rlequeuxcz@newyorker.com</v>
          </cell>
          <cell r="D469" t="str">
            <v>+1 (904) 161-6088</v>
          </cell>
          <cell r="E469" t="str">
            <v>093 Mayfield Place</v>
          </cell>
          <cell r="F469" t="str">
            <v>Saint Augustine</v>
          </cell>
          <cell r="G469" t="str">
            <v>United States</v>
          </cell>
          <cell r="H469">
            <v>32092</v>
          </cell>
          <cell r="I469" t="str">
            <v>No</v>
          </cell>
        </row>
        <row r="470">
          <cell r="A470" t="str">
            <v>99735-44927-OL</v>
          </cell>
          <cell r="B470" t="str">
            <v>Julius Mccaull</v>
          </cell>
          <cell r="C470" t="str">
            <v>jmccaulld0@parallels.com</v>
          </cell>
          <cell r="E470" t="str">
            <v>89 Gulseth Circle</v>
          </cell>
          <cell r="F470" t="str">
            <v>San Rafael</v>
          </cell>
          <cell r="G470" t="str">
            <v>United States</v>
          </cell>
          <cell r="H470">
            <v>94913</v>
          </cell>
          <cell r="I470" t="str">
            <v>Yes</v>
          </cell>
        </row>
        <row r="471">
          <cell r="A471" t="str">
            <v>27064-10803-SB</v>
          </cell>
          <cell r="B471" t="str">
            <v>Jolyn Dymoke</v>
          </cell>
          <cell r="C471" t="str">
            <v>jdymoked1@mapquest.com</v>
          </cell>
          <cell r="D471" t="str">
            <v>+1 (408) 775-2801</v>
          </cell>
          <cell r="E471" t="str">
            <v>2 Aberg Lane</v>
          </cell>
          <cell r="F471" t="str">
            <v>San Jose</v>
          </cell>
          <cell r="G471" t="str">
            <v>United States</v>
          </cell>
          <cell r="H471">
            <v>95113</v>
          </cell>
          <cell r="I471" t="str">
            <v>Yes</v>
          </cell>
        </row>
        <row r="472">
          <cell r="A472" t="str">
            <v>90440-62727-HI</v>
          </cell>
          <cell r="B472" t="str">
            <v>Alberto Hutchinson</v>
          </cell>
          <cell r="C472" t="str">
            <v>ahutchinsond2@imgur.com</v>
          </cell>
          <cell r="D472" t="str">
            <v>+1 (404) 775-3251</v>
          </cell>
          <cell r="E472" t="str">
            <v>327 Erie Way</v>
          </cell>
          <cell r="F472" t="str">
            <v>Lawrenceville</v>
          </cell>
          <cell r="G472" t="str">
            <v>United States</v>
          </cell>
          <cell r="H472">
            <v>30045</v>
          </cell>
          <cell r="I472" t="str">
            <v>Yes</v>
          </cell>
        </row>
        <row r="473">
          <cell r="A473" t="str">
            <v>36769-16558-SX</v>
          </cell>
          <cell r="B473" t="str">
            <v>Lamond Gheeraert</v>
          </cell>
          <cell r="D473" t="str">
            <v>+1 (785) 654-9564</v>
          </cell>
          <cell r="E473" t="str">
            <v>02354 Melvin Parkway</v>
          </cell>
          <cell r="F473" t="str">
            <v>Topeka</v>
          </cell>
          <cell r="G473" t="str">
            <v>United States</v>
          </cell>
          <cell r="H473">
            <v>66622</v>
          </cell>
          <cell r="I473" t="str">
            <v>Yes</v>
          </cell>
        </row>
        <row r="474">
          <cell r="A474" t="str">
            <v>10138-31681-SD</v>
          </cell>
          <cell r="B474" t="str">
            <v>Roxine Drivers</v>
          </cell>
          <cell r="C474" t="str">
            <v>rdriversd4@hexun.com</v>
          </cell>
          <cell r="D474" t="str">
            <v>+1 (913) 127-4257</v>
          </cell>
          <cell r="E474" t="str">
            <v>842 Cardinal Court</v>
          </cell>
          <cell r="F474" t="str">
            <v>Shawnee Mission</v>
          </cell>
          <cell r="G474" t="str">
            <v>United States</v>
          </cell>
          <cell r="H474">
            <v>66276</v>
          </cell>
          <cell r="I474" t="str">
            <v>No</v>
          </cell>
        </row>
        <row r="475">
          <cell r="A475" t="str">
            <v>24669-76297-SF</v>
          </cell>
          <cell r="B475" t="str">
            <v>Heloise Zeal</v>
          </cell>
          <cell r="C475" t="str">
            <v>hzeald5@google.de</v>
          </cell>
          <cell r="D475" t="str">
            <v>+1 (206) 775-4468</v>
          </cell>
          <cell r="E475" t="str">
            <v>0420 Schurz Parkway</v>
          </cell>
          <cell r="F475" t="str">
            <v>Seattle</v>
          </cell>
          <cell r="G475" t="str">
            <v>United States</v>
          </cell>
          <cell r="H475">
            <v>98148</v>
          </cell>
          <cell r="I475" t="str">
            <v>No</v>
          </cell>
        </row>
        <row r="476">
          <cell r="A476" t="str">
            <v>78050-20355-DI</v>
          </cell>
          <cell r="B476" t="str">
            <v>Granger Smallcombe</v>
          </cell>
          <cell r="C476" t="str">
            <v>gsmallcombed6@ucla.edu</v>
          </cell>
          <cell r="D476" t="str">
            <v>+353 (374) 810-4528</v>
          </cell>
          <cell r="E476" t="str">
            <v>8448 Oxford Trail</v>
          </cell>
          <cell r="F476" t="str">
            <v>Kilkenny</v>
          </cell>
          <cell r="G476" t="str">
            <v>Ireland</v>
          </cell>
          <cell r="H476" t="str">
            <v>R95</v>
          </cell>
          <cell r="I476" t="str">
            <v>Yes</v>
          </cell>
        </row>
        <row r="477">
          <cell r="A477" t="str">
            <v>79825-17822-UH</v>
          </cell>
          <cell r="B477" t="str">
            <v>Daryn Dibley</v>
          </cell>
          <cell r="C477" t="str">
            <v>ddibleyd7@feedburner.com</v>
          </cell>
          <cell r="E477" t="str">
            <v>5676 Southridge Street</v>
          </cell>
          <cell r="F477" t="str">
            <v>Kissimmee</v>
          </cell>
          <cell r="G477" t="str">
            <v>United States</v>
          </cell>
          <cell r="H477">
            <v>34745</v>
          </cell>
          <cell r="I477" t="str">
            <v>No</v>
          </cell>
        </row>
        <row r="478">
          <cell r="A478" t="str">
            <v>03990-21586-MQ</v>
          </cell>
          <cell r="B478" t="str">
            <v>Gardy Dimitriou</v>
          </cell>
          <cell r="C478" t="str">
            <v>gdimitrioud8@chronoengine.com</v>
          </cell>
          <cell r="D478" t="str">
            <v>+1 (585) 303-7337</v>
          </cell>
          <cell r="E478" t="str">
            <v>0 Gale Pass</v>
          </cell>
          <cell r="F478" t="str">
            <v>Rochester</v>
          </cell>
          <cell r="G478" t="str">
            <v>United States</v>
          </cell>
          <cell r="H478">
            <v>14683</v>
          </cell>
          <cell r="I478" t="str">
            <v>Yes</v>
          </cell>
        </row>
        <row r="479">
          <cell r="A479" t="str">
            <v>27493-46921-TZ</v>
          </cell>
          <cell r="B479" t="str">
            <v>Fanny Flanagan</v>
          </cell>
          <cell r="C479" t="str">
            <v>fflanagand9@woothemes.com</v>
          </cell>
          <cell r="D479" t="str">
            <v>+1 (903) 455-7155</v>
          </cell>
          <cell r="E479" t="str">
            <v>268 Northport Drive</v>
          </cell>
          <cell r="F479" t="str">
            <v>Tyler</v>
          </cell>
          <cell r="G479" t="str">
            <v>United States</v>
          </cell>
          <cell r="H479">
            <v>75799</v>
          </cell>
          <cell r="I479" t="str">
            <v>No</v>
          </cell>
        </row>
        <row r="480">
          <cell r="A480" t="str">
            <v>27132-68907-RC</v>
          </cell>
          <cell r="B480" t="str">
            <v>Ailey Brash</v>
          </cell>
          <cell r="C480" t="str">
            <v>abrashda@plala.or.jp</v>
          </cell>
          <cell r="D480" t="str">
            <v>+1 (917) 544-7136</v>
          </cell>
          <cell r="E480" t="str">
            <v>64700 Eagan Crossing</v>
          </cell>
          <cell r="F480" t="str">
            <v>Flushing</v>
          </cell>
          <cell r="G480" t="str">
            <v>United States</v>
          </cell>
          <cell r="H480">
            <v>11388</v>
          </cell>
          <cell r="I480" t="str">
            <v>Yes</v>
          </cell>
        </row>
        <row r="481">
          <cell r="A481" t="str">
            <v>21565-13068-SH</v>
          </cell>
          <cell r="B481" t="str">
            <v>Tatiana Thorn</v>
          </cell>
          <cell r="D481" t="str">
            <v>+1 (571) 867-8277</v>
          </cell>
          <cell r="E481" t="str">
            <v>30943 High Crossing Point</v>
          </cell>
          <cell r="F481" t="str">
            <v>Sterling</v>
          </cell>
          <cell r="G481" t="str">
            <v>United States</v>
          </cell>
          <cell r="H481">
            <v>20167</v>
          </cell>
          <cell r="I481" t="str">
            <v>Yes</v>
          </cell>
        </row>
        <row r="482">
          <cell r="A482" t="str">
            <v>04776-34127-MX</v>
          </cell>
          <cell r="B482" t="str">
            <v>Wendeline McInerney</v>
          </cell>
          <cell r="C482" t="str">
            <v>wmcinerneydc@wordpress.com</v>
          </cell>
          <cell r="D482" t="str">
            <v>+1 (804) 658-7521</v>
          </cell>
          <cell r="E482" t="str">
            <v>92 Swallow Street</v>
          </cell>
          <cell r="F482" t="str">
            <v>Richmond</v>
          </cell>
          <cell r="G482" t="str">
            <v>United States</v>
          </cell>
          <cell r="H482">
            <v>23203</v>
          </cell>
          <cell r="I482" t="str">
            <v>No</v>
          </cell>
        </row>
        <row r="483">
          <cell r="A483" t="str">
            <v>58816-74064-TF</v>
          </cell>
          <cell r="B483" t="str">
            <v>Nanny Izhakov</v>
          </cell>
          <cell r="C483" t="str">
            <v>nizhakovdd@aol.com</v>
          </cell>
          <cell r="D483" t="str">
            <v>+44 (570) 683-9517</v>
          </cell>
          <cell r="E483" t="str">
            <v>013 Tennyson Terrace</v>
          </cell>
          <cell r="F483" t="str">
            <v>Seaton</v>
          </cell>
          <cell r="G483" t="str">
            <v>United Kingdom</v>
          </cell>
          <cell r="H483" t="str">
            <v>LE15</v>
          </cell>
          <cell r="I483" t="str">
            <v>No</v>
          </cell>
        </row>
        <row r="484">
          <cell r="A484" t="str">
            <v>09818-59895-EH</v>
          </cell>
          <cell r="B484" t="str">
            <v>Stanly Keets</v>
          </cell>
          <cell r="C484" t="str">
            <v>skeetsde@answers.com</v>
          </cell>
          <cell r="D484" t="str">
            <v>+1 (703) 230-2979</v>
          </cell>
          <cell r="E484" t="str">
            <v>2500 Crest Line Plaza</v>
          </cell>
          <cell r="F484" t="str">
            <v>Alexandria</v>
          </cell>
          <cell r="G484" t="str">
            <v>United States</v>
          </cell>
          <cell r="H484">
            <v>22309</v>
          </cell>
          <cell r="I484" t="str">
            <v>Yes</v>
          </cell>
        </row>
        <row r="485">
          <cell r="A485" t="str">
            <v>06488-46303-IZ</v>
          </cell>
          <cell r="B485" t="str">
            <v>Orion Dyott</v>
          </cell>
          <cell r="D485" t="str">
            <v>+1 (801) 322-2923</v>
          </cell>
          <cell r="E485" t="str">
            <v>26 Londonderry Court</v>
          </cell>
          <cell r="F485" t="str">
            <v>Salt Lake City</v>
          </cell>
          <cell r="G485" t="str">
            <v>United States</v>
          </cell>
          <cell r="H485">
            <v>84115</v>
          </cell>
          <cell r="I485" t="str">
            <v>Yes</v>
          </cell>
        </row>
        <row r="486">
          <cell r="A486" t="str">
            <v>93046-67561-AY</v>
          </cell>
          <cell r="B486" t="str">
            <v>Keefer Cake</v>
          </cell>
          <cell r="C486" t="str">
            <v>kcakedg@huffingtonpost.com</v>
          </cell>
          <cell r="E486" t="str">
            <v>1 Crowley Crossing</v>
          </cell>
          <cell r="F486" t="str">
            <v>San Jose</v>
          </cell>
          <cell r="G486" t="str">
            <v>United States</v>
          </cell>
          <cell r="H486">
            <v>95108</v>
          </cell>
          <cell r="I486" t="str">
            <v>No</v>
          </cell>
        </row>
        <row r="487">
          <cell r="A487" t="str">
            <v>68946-40750-LK</v>
          </cell>
          <cell r="B487" t="str">
            <v>Morna Hansed</v>
          </cell>
          <cell r="C487" t="str">
            <v>mhanseddh@instagram.com</v>
          </cell>
          <cell r="D487" t="str">
            <v>+353 (997) 520-7802</v>
          </cell>
          <cell r="E487" t="str">
            <v>1 Dwight Point</v>
          </cell>
          <cell r="F487" t="str">
            <v>Tr谩 Mh贸r</v>
          </cell>
          <cell r="G487" t="str">
            <v>Ireland</v>
          </cell>
          <cell r="H487" t="str">
            <v>R93</v>
          </cell>
          <cell r="I487" t="str">
            <v>Yes</v>
          </cell>
        </row>
        <row r="488">
          <cell r="A488" t="str">
            <v>38387-64959-WW</v>
          </cell>
          <cell r="B488" t="str">
            <v>Franny Kienlein</v>
          </cell>
          <cell r="C488" t="str">
            <v>fkienleindi@trellian.com</v>
          </cell>
          <cell r="D488" t="str">
            <v>+353 (972) 241-3434</v>
          </cell>
          <cell r="E488" t="str">
            <v>1 Manitowish Pass</v>
          </cell>
          <cell r="F488" t="str">
            <v>Coolock</v>
          </cell>
          <cell r="G488" t="str">
            <v>Ireland</v>
          </cell>
          <cell r="H488" t="str">
            <v>D17</v>
          </cell>
          <cell r="I488" t="str">
            <v>Yes</v>
          </cell>
        </row>
        <row r="489">
          <cell r="A489" t="str">
            <v>48418-60841-CC</v>
          </cell>
          <cell r="B489" t="str">
            <v>Klarika Egglestone</v>
          </cell>
          <cell r="C489" t="str">
            <v>kegglestonedj@sphinn.com</v>
          </cell>
          <cell r="D489" t="str">
            <v>+353 (452) 975-6438</v>
          </cell>
          <cell r="E489" t="str">
            <v>2765 Sunfield Terrace</v>
          </cell>
          <cell r="F489" t="str">
            <v>Coolock</v>
          </cell>
          <cell r="G489" t="str">
            <v>Ireland</v>
          </cell>
          <cell r="H489" t="str">
            <v>D17</v>
          </cell>
          <cell r="I489" t="str">
            <v>No</v>
          </cell>
        </row>
        <row r="490">
          <cell r="A490" t="str">
            <v>13736-92418-JS</v>
          </cell>
          <cell r="B490" t="str">
            <v>Becky Semkins</v>
          </cell>
          <cell r="C490" t="str">
            <v>bsemkinsdk@unc.edu</v>
          </cell>
          <cell r="D490" t="str">
            <v>+353 (209) 764-2690</v>
          </cell>
          <cell r="E490" t="str">
            <v>7219 Clemons Place</v>
          </cell>
          <cell r="F490" t="str">
            <v>Kinnegad</v>
          </cell>
          <cell r="G490" t="str">
            <v>Ireland</v>
          </cell>
          <cell r="H490" t="str">
            <v>R32</v>
          </cell>
          <cell r="I490" t="str">
            <v>Yes</v>
          </cell>
        </row>
        <row r="491">
          <cell r="A491" t="str">
            <v>33000-22405-LO</v>
          </cell>
          <cell r="B491" t="str">
            <v>Sean Lorenzetti</v>
          </cell>
          <cell r="C491" t="str">
            <v>slorenzettidl@is.gd</v>
          </cell>
          <cell r="D491" t="str">
            <v>+1 (915) 581-0694</v>
          </cell>
          <cell r="E491" t="str">
            <v>1104 Paget Lane</v>
          </cell>
          <cell r="F491" t="str">
            <v>El Paso</v>
          </cell>
          <cell r="G491" t="str">
            <v>United States</v>
          </cell>
          <cell r="H491">
            <v>79945</v>
          </cell>
          <cell r="I491" t="str">
            <v>No</v>
          </cell>
        </row>
        <row r="492">
          <cell r="A492" t="str">
            <v>46959-60474-LT</v>
          </cell>
          <cell r="B492" t="str">
            <v>Bob Giannazzi</v>
          </cell>
          <cell r="C492" t="str">
            <v>bgiannazzidm@apple.com</v>
          </cell>
          <cell r="D492" t="str">
            <v>+1 (754) 827-8970</v>
          </cell>
          <cell r="E492" t="str">
            <v>57 Division Plaza</v>
          </cell>
          <cell r="F492" t="str">
            <v>Fort Lauderdale</v>
          </cell>
          <cell r="G492" t="str">
            <v>United States</v>
          </cell>
          <cell r="H492">
            <v>33355</v>
          </cell>
          <cell r="I492" t="str">
            <v>No</v>
          </cell>
        </row>
        <row r="493">
          <cell r="A493" t="str">
            <v>73431-39823-UP</v>
          </cell>
          <cell r="B493" t="str">
            <v>Kendra Backshell</v>
          </cell>
          <cell r="D493" t="str">
            <v>+1 (317) 595-9406</v>
          </cell>
          <cell r="E493" t="str">
            <v>47101 Northfield Lane</v>
          </cell>
          <cell r="F493" t="str">
            <v>Indianapolis</v>
          </cell>
          <cell r="G493" t="str">
            <v>United States</v>
          </cell>
          <cell r="H493">
            <v>46295</v>
          </cell>
          <cell r="I493" t="str">
            <v>No</v>
          </cell>
        </row>
        <row r="494">
          <cell r="A494" t="str">
            <v>90993-98984-JK</v>
          </cell>
          <cell r="B494" t="str">
            <v>Uriah Lethbrig</v>
          </cell>
          <cell r="C494" t="str">
            <v>ulethbrigdo@hc360.com</v>
          </cell>
          <cell r="D494" t="str">
            <v>+1 (414) 580-9714</v>
          </cell>
          <cell r="E494" t="str">
            <v>38 Carioca Center</v>
          </cell>
          <cell r="F494" t="str">
            <v>Milwaukee</v>
          </cell>
          <cell r="G494" t="str">
            <v>United States</v>
          </cell>
          <cell r="H494">
            <v>53234</v>
          </cell>
          <cell r="I494" t="str">
            <v>Yes</v>
          </cell>
        </row>
        <row r="495">
          <cell r="A495" t="str">
            <v>06552-04430-AG</v>
          </cell>
          <cell r="B495" t="str">
            <v>Sky Farnish</v>
          </cell>
          <cell r="C495" t="str">
            <v>sfarnishdp@dmoz.org</v>
          </cell>
          <cell r="D495" t="str">
            <v>+44 (847) 377-8172</v>
          </cell>
          <cell r="E495" t="str">
            <v>170 Prentice Center</v>
          </cell>
          <cell r="F495" t="str">
            <v>Eaton</v>
          </cell>
          <cell r="G495" t="str">
            <v>United Kingdom</v>
          </cell>
          <cell r="H495" t="str">
            <v>DN22</v>
          </cell>
          <cell r="I495" t="str">
            <v>No</v>
          </cell>
        </row>
        <row r="496">
          <cell r="A496" t="str">
            <v>54597-57004-QM</v>
          </cell>
          <cell r="B496" t="str">
            <v>Felicia Jecock</v>
          </cell>
          <cell r="C496" t="str">
            <v>fjecockdq@unicef.org</v>
          </cell>
          <cell r="D496" t="str">
            <v>+1 (225) 116-2959</v>
          </cell>
          <cell r="E496" t="str">
            <v>403 Vahlen Junction</v>
          </cell>
          <cell r="F496" t="str">
            <v>Baton Rouge</v>
          </cell>
          <cell r="G496" t="str">
            <v>United States</v>
          </cell>
          <cell r="H496">
            <v>70836</v>
          </cell>
          <cell r="I496" t="str">
            <v>No</v>
          </cell>
        </row>
        <row r="497">
          <cell r="A497" t="str">
            <v>50238-24377-ZS</v>
          </cell>
          <cell r="B497" t="str">
            <v>Currey MacAllister</v>
          </cell>
          <cell r="D497" t="str">
            <v>+1 (203) 490-3839</v>
          </cell>
          <cell r="E497" t="str">
            <v>07300 Walton Point</v>
          </cell>
          <cell r="F497" t="str">
            <v>Danbury</v>
          </cell>
          <cell r="G497" t="str">
            <v>United States</v>
          </cell>
          <cell r="H497">
            <v>6816</v>
          </cell>
          <cell r="I497" t="str">
            <v>Yes</v>
          </cell>
        </row>
        <row r="498">
          <cell r="A498" t="str">
            <v>60370-41934-IF</v>
          </cell>
          <cell r="B498" t="str">
            <v>Hamlen Pallister</v>
          </cell>
          <cell r="C498" t="str">
            <v>hpallisterds@ning.com</v>
          </cell>
          <cell r="D498" t="str">
            <v>+1 (850) 517-1353</v>
          </cell>
          <cell r="E498" t="str">
            <v>19513 Golf Course Junction</v>
          </cell>
          <cell r="F498" t="str">
            <v>Pensacola</v>
          </cell>
          <cell r="G498" t="str">
            <v>United States</v>
          </cell>
          <cell r="H498">
            <v>32590</v>
          </cell>
          <cell r="I498" t="str">
            <v>No</v>
          </cell>
        </row>
        <row r="499">
          <cell r="A499" t="str">
            <v>06899-54551-EH</v>
          </cell>
          <cell r="B499" t="str">
            <v>Chantal Mersh</v>
          </cell>
          <cell r="C499" t="str">
            <v>cmershdt@drupal.org</v>
          </cell>
          <cell r="D499" t="str">
            <v>+353 (343) 889-4565</v>
          </cell>
          <cell r="E499" t="str">
            <v>52843 Longview Street</v>
          </cell>
          <cell r="F499" t="str">
            <v>Milltown</v>
          </cell>
          <cell r="G499" t="str">
            <v>Ireland</v>
          </cell>
          <cell r="H499" t="str">
            <v>D04</v>
          </cell>
          <cell r="I499" t="str">
            <v>No</v>
          </cell>
        </row>
        <row r="500">
          <cell r="A500" t="str">
            <v>71631-11462-TH</v>
          </cell>
          <cell r="B500" t="str">
            <v>Brendin Bredee</v>
          </cell>
          <cell r="C500" t="str">
            <v>bbredeedu@flickr.com</v>
          </cell>
          <cell r="D500" t="str">
            <v>+44 (494) 148-6095</v>
          </cell>
          <cell r="E500" t="str">
            <v>2 Nancy Lane</v>
          </cell>
          <cell r="F500" t="str">
            <v>Norton</v>
          </cell>
          <cell r="G500" t="str">
            <v>United Kingdom</v>
          </cell>
          <cell r="H500" t="str">
            <v>NN11</v>
          </cell>
          <cell r="I500" t="str">
            <v>Yes</v>
          </cell>
        </row>
        <row r="501">
          <cell r="A501" t="str">
            <v>80463-43913-WZ</v>
          </cell>
          <cell r="B501" t="str">
            <v>Malynda Purbrick</v>
          </cell>
          <cell r="D501" t="str">
            <v>+353 (160) 183-4278</v>
          </cell>
          <cell r="E501" t="str">
            <v>9233 3rd Avenue</v>
          </cell>
          <cell r="F501" t="str">
            <v>Balally</v>
          </cell>
          <cell r="G501" t="str">
            <v>Ireland</v>
          </cell>
          <cell r="H501" t="str">
            <v>D04</v>
          </cell>
          <cell r="I501" t="str">
            <v>Yes</v>
          </cell>
        </row>
        <row r="502">
          <cell r="A502" t="str">
            <v>67204-04870-LG</v>
          </cell>
          <cell r="B502" t="str">
            <v>Alf Housaman</v>
          </cell>
          <cell r="D502" t="str">
            <v>+1 (616) 511-3898</v>
          </cell>
          <cell r="E502" t="str">
            <v>8581 Mcguire Road</v>
          </cell>
          <cell r="F502" t="str">
            <v>Grand Rapids</v>
          </cell>
          <cell r="G502" t="str">
            <v>United States</v>
          </cell>
          <cell r="H502">
            <v>49518</v>
          </cell>
          <cell r="I502" t="str">
            <v>No</v>
          </cell>
        </row>
        <row r="503">
          <cell r="A503" t="str">
            <v>22721-63196-UJ</v>
          </cell>
          <cell r="B503" t="str">
            <v>Gladi Ducker</v>
          </cell>
          <cell r="C503" t="str">
            <v>gduckerdx@patch.com</v>
          </cell>
          <cell r="D503" t="str">
            <v>+44 (749) 987-9016</v>
          </cell>
          <cell r="E503" t="str">
            <v>5069 Boyd Parkway</v>
          </cell>
          <cell r="F503" t="str">
            <v>Belfast</v>
          </cell>
          <cell r="G503" t="str">
            <v>United Kingdom</v>
          </cell>
          <cell r="H503" t="str">
            <v>BT2</v>
          </cell>
          <cell r="I503" t="str">
            <v>No</v>
          </cell>
        </row>
        <row r="504">
          <cell r="A504" t="str">
            <v>88973-59503-DR</v>
          </cell>
          <cell r="B504" t="str">
            <v>Emelita Shearsby</v>
          </cell>
          <cell r="C504" t="str">
            <v>eshearsbydy@g.co</v>
          </cell>
          <cell r="D504" t="str">
            <v>+1 (913) 598-3795</v>
          </cell>
          <cell r="E504" t="str">
            <v>56612 Dahle Circle</v>
          </cell>
          <cell r="F504" t="str">
            <v>Kansas City</v>
          </cell>
          <cell r="G504" t="str">
            <v>United States</v>
          </cell>
          <cell r="H504">
            <v>66160</v>
          </cell>
          <cell r="I504" t="str">
            <v>No</v>
          </cell>
        </row>
        <row r="505">
          <cell r="A505" t="str">
            <v>29738-86305-ZU</v>
          </cell>
          <cell r="B505" t="str">
            <v>Berte Gaddes</v>
          </cell>
          <cell r="D505" t="str">
            <v>+1 (607) 684-3969</v>
          </cell>
          <cell r="E505" t="str">
            <v>904 Killdeer Place</v>
          </cell>
          <cell r="F505" t="str">
            <v>Elmira</v>
          </cell>
          <cell r="G505" t="str">
            <v>United States</v>
          </cell>
          <cell r="H505">
            <v>14905</v>
          </cell>
          <cell r="I505" t="str">
            <v>No</v>
          </cell>
        </row>
        <row r="506">
          <cell r="A506" t="str">
            <v>68493-99734-LP</v>
          </cell>
          <cell r="B506" t="str">
            <v>Nadia Erswell</v>
          </cell>
          <cell r="C506" t="str">
            <v>nerswelle0@mlb.com</v>
          </cell>
          <cell r="D506" t="str">
            <v>+1 (920) 518-4152</v>
          </cell>
          <cell r="E506" t="str">
            <v>2973 Sachtjen Road</v>
          </cell>
          <cell r="F506" t="str">
            <v>Milwaukee</v>
          </cell>
          <cell r="G506" t="str">
            <v>United States</v>
          </cell>
          <cell r="H506">
            <v>53205</v>
          </cell>
          <cell r="I506" t="str">
            <v>Yes</v>
          </cell>
        </row>
        <row r="507">
          <cell r="A507" t="str">
            <v>55515-37571-RS</v>
          </cell>
          <cell r="B507" t="str">
            <v>Wain Stearley</v>
          </cell>
          <cell r="C507" t="str">
            <v>wstearleye1@census.gov</v>
          </cell>
          <cell r="D507" t="str">
            <v>+1 (336) 213-3687</v>
          </cell>
          <cell r="E507" t="str">
            <v>7 La Follette Road</v>
          </cell>
          <cell r="F507" t="str">
            <v>High Point</v>
          </cell>
          <cell r="G507" t="str">
            <v>United States</v>
          </cell>
          <cell r="H507">
            <v>27264</v>
          </cell>
          <cell r="I507" t="str">
            <v>No</v>
          </cell>
        </row>
        <row r="508">
          <cell r="A508" t="str">
            <v>25598-77476-CB</v>
          </cell>
          <cell r="B508" t="str">
            <v>Diane-marie Wincer</v>
          </cell>
          <cell r="C508" t="str">
            <v>dwincere2@marriott.com</v>
          </cell>
          <cell r="D508" t="str">
            <v>+1 (915) 676-6367</v>
          </cell>
          <cell r="E508" t="str">
            <v>04 Stuart Way</v>
          </cell>
          <cell r="F508" t="str">
            <v>El Paso</v>
          </cell>
          <cell r="G508" t="str">
            <v>United States</v>
          </cell>
          <cell r="H508">
            <v>88546</v>
          </cell>
          <cell r="I508" t="str">
            <v>Yes</v>
          </cell>
        </row>
        <row r="509">
          <cell r="A509" t="str">
            <v>14888-85625-TM</v>
          </cell>
          <cell r="B509" t="str">
            <v>Perry Lyfield</v>
          </cell>
          <cell r="C509" t="str">
            <v>plyfielde3@baidu.com</v>
          </cell>
          <cell r="D509" t="str">
            <v>+1 (216) 614-9325</v>
          </cell>
          <cell r="E509" t="str">
            <v>1263 Thackeray Parkway</v>
          </cell>
          <cell r="F509" t="str">
            <v>Cleveland</v>
          </cell>
          <cell r="G509" t="str">
            <v>United States</v>
          </cell>
          <cell r="H509">
            <v>44185</v>
          </cell>
          <cell r="I509" t="str">
            <v>Yes</v>
          </cell>
        </row>
        <row r="510">
          <cell r="A510" t="str">
            <v>92793-68332-NR</v>
          </cell>
          <cell r="B510" t="str">
            <v>Heall Perris</v>
          </cell>
          <cell r="C510" t="str">
            <v>hperrise4@studiopress.com</v>
          </cell>
          <cell r="D510" t="str">
            <v>+353 (954) 293-8675</v>
          </cell>
          <cell r="E510" t="str">
            <v>043 Bashford Point</v>
          </cell>
          <cell r="F510" t="str">
            <v>Ballymahon</v>
          </cell>
          <cell r="G510" t="str">
            <v>Ireland</v>
          </cell>
          <cell r="H510" t="str">
            <v>F52</v>
          </cell>
          <cell r="I510" t="str">
            <v>No</v>
          </cell>
        </row>
        <row r="511">
          <cell r="A511" t="str">
            <v>66458-91190-YC</v>
          </cell>
          <cell r="B511" t="str">
            <v>Marja Urion</v>
          </cell>
          <cell r="C511" t="str">
            <v>murione5@alexa.com</v>
          </cell>
          <cell r="D511" t="str">
            <v>+353 (715) 989-0283</v>
          </cell>
          <cell r="E511" t="str">
            <v>2 Sycamore Avenue</v>
          </cell>
          <cell r="F511" t="str">
            <v>Virginia</v>
          </cell>
          <cell r="G511" t="str">
            <v>Ireland</v>
          </cell>
          <cell r="H511" t="str">
            <v>D18</v>
          </cell>
          <cell r="I511" t="str">
            <v>Yes</v>
          </cell>
        </row>
        <row r="512">
          <cell r="A512" t="str">
            <v>64439-27325-LG</v>
          </cell>
          <cell r="B512" t="str">
            <v>Camellia Kid</v>
          </cell>
          <cell r="C512" t="str">
            <v>ckide6@narod.ru</v>
          </cell>
          <cell r="D512" t="str">
            <v>+353 (866) 707-2603</v>
          </cell>
          <cell r="E512" t="str">
            <v>37515 Wayridge Lane</v>
          </cell>
          <cell r="F512" t="str">
            <v>Whitegate</v>
          </cell>
          <cell r="G512" t="str">
            <v>Ireland</v>
          </cell>
          <cell r="H512" t="str">
            <v>D15</v>
          </cell>
          <cell r="I512" t="str">
            <v>Yes</v>
          </cell>
        </row>
        <row r="513">
          <cell r="A513" t="str">
            <v>78570-76770-LB</v>
          </cell>
          <cell r="B513" t="str">
            <v>Carolann Beine</v>
          </cell>
          <cell r="C513" t="str">
            <v>cbeinee7@xinhuanet.com</v>
          </cell>
          <cell r="D513" t="str">
            <v>+1 (205) 468-0236</v>
          </cell>
          <cell r="E513" t="str">
            <v>81 West Plaza</v>
          </cell>
          <cell r="F513" t="str">
            <v>Birmingham</v>
          </cell>
          <cell r="G513" t="str">
            <v>United States</v>
          </cell>
          <cell r="H513">
            <v>35244</v>
          </cell>
          <cell r="I513" t="str">
            <v>Yes</v>
          </cell>
        </row>
        <row r="514">
          <cell r="A514" t="str">
            <v>98661-69719-VI</v>
          </cell>
          <cell r="B514" t="str">
            <v>Celia Bakeup</v>
          </cell>
          <cell r="C514" t="str">
            <v>cbakeupe8@globo.com</v>
          </cell>
          <cell r="D514" t="str">
            <v>+1 (320) 375-8504</v>
          </cell>
          <cell r="E514" t="str">
            <v>73 Bellgrove Circle</v>
          </cell>
          <cell r="F514" t="str">
            <v>Saint Cloud</v>
          </cell>
          <cell r="G514" t="str">
            <v>United States</v>
          </cell>
          <cell r="H514">
            <v>56372</v>
          </cell>
          <cell r="I514" t="str">
            <v>No</v>
          </cell>
        </row>
        <row r="515">
          <cell r="A515" t="str">
            <v>82990-92703-IX</v>
          </cell>
          <cell r="B515" t="str">
            <v>Nataniel Helkin</v>
          </cell>
          <cell r="C515" t="str">
            <v>nhelkine9@example.com</v>
          </cell>
          <cell r="E515" t="str">
            <v>9 Loftsgordon Pass</v>
          </cell>
          <cell r="F515" t="str">
            <v>Philadelphia</v>
          </cell>
          <cell r="G515" t="str">
            <v>United States</v>
          </cell>
          <cell r="H515">
            <v>19191</v>
          </cell>
          <cell r="I515" t="str">
            <v>No</v>
          </cell>
        </row>
        <row r="516">
          <cell r="A516" t="str">
            <v>49412-86877-VY</v>
          </cell>
          <cell r="B516" t="str">
            <v>Pippo Witherington</v>
          </cell>
          <cell r="C516" t="str">
            <v>pwitheringtonea@networkadvertising.org</v>
          </cell>
          <cell r="D516" t="str">
            <v>+1 (810) 202-8870</v>
          </cell>
          <cell r="E516" t="str">
            <v>63 School Crossing</v>
          </cell>
          <cell r="F516" t="str">
            <v>Detroit</v>
          </cell>
          <cell r="G516" t="str">
            <v>United States</v>
          </cell>
          <cell r="H516">
            <v>48211</v>
          </cell>
          <cell r="I516" t="str">
            <v>Yes</v>
          </cell>
        </row>
        <row r="517">
          <cell r="A517" t="str">
            <v>70879-00984-FJ</v>
          </cell>
          <cell r="B517" t="str">
            <v>Tildie Tilzey</v>
          </cell>
          <cell r="C517" t="str">
            <v>ttilzeyeb@hostgator.com</v>
          </cell>
          <cell r="D517" t="str">
            <v>+1 (314) 876-7205</v>
          </cell>
          <cell r="E517" t="str">
            <v>2812 Westend Hill</v>
          </cell>
          <cell r="F517" t="str">
            <v>Saint Louis</v>
          </cell>
          <cell r="G517" t="str">
            <v>United States</v>
          </cell>
          <cell r="H517">
            <v>63180</v>
          </cell>
          <cell r="I517" t="str">
            <v>No</v>
          </cell>
        </row>
        <row r="518">
          <cell r="A518" t="str">
            <v>53414-73391-CR</v>
          </cell>
          <cell r="B518" t="str">
            <v>Cindra Burling</v>
          </cell>
          <cell r="D518" t="str">
            <v>+1 (518) 562-5402</v>
          </cell>
          <cell r="E518" t="str">
            <v>5461 Anniversary Crossing</v>
          </cell>
          <cell r="F518" t="str">
            <v>Schenectady</v>
          </cell>
          <cell r="G518" t="str">
            <v>United States</v>
          </cell>
          <cell r="H518">
            <v>12305</v>
          </cell>
          <cell r="I518" t="str">
            <v>Yes</v>
          </cell>
        </row>
        <row r="519">
          <cell r="A519" t="str">
            <v>43606-83072-OA</v>
          </cell>
          <cell r="B519" t="str">
            <v>Channa Belamy</v>
          </cell>
          <cell r="D519" t="str">
            <v>+1 (863) 303-5561</v>
          </cell>
          <cell r="E519" t="str">
            <v>14 American Ash Parkway</v>
          </cell>
          <cell r="F519" t="str">
            <v>Lakeland</v>
          </cell>
          <cell r="G519" t="str">
            <v>United States</v>
          </cell>
          <cell r="H519">
            <v>33805</v>
          </cell>
          <cell r="I519" t="str">
            <v>No</v>
          </cell>
        </row>
        <row r="520">
          <cell r="A520" t="str">
            <v>84466-22864-CE</v>
          </cell>
          <cell r="B520" t="str">
            <v>Karl Imorts</v>
          </cell>
          <cell r="C520" t="str">
            <v>kimortsee@alexa.com</v>
          </cell>
          <cell r="D520" t="str">
            <v>+1 (321) 156-1160</v>
          </cell>
          <cell r="E520" t="str">
            <v>250 Elmside Junction</v>
          </cell>
          <cell r="F520" t="str">
            <v>Melbourne</v>
          </cell>
          <cell r="G520" t="str">
            <v>United States</v>
          </cell>
          <cell r="H520">
            <v>32941</v>
          </cell>
          <cell r="I520" t="str">
            <v>No</v>
          </cell>
        </row>
        <row r="521">
          <cell r="A521" t="str">
            <v>44086-16292-EU</v>
          </cell>
          <cell r="B521" t="str">
            <v>Philippine Starte</v>
          </cell>
          <cell r="C521" t="str">
            <v>pstarteef@accuweather.com</v>
          </cell>
          <cell r="D521" t="str">
            <v>+1 (713) 329-2578</v>
          </cell>
          <cell r="E521" t="str">
            <v>2904 Monterey Plaza</v>
          </cell>
          <cell r="F521" t="str">
            <v>Houston</v>
          </cell>
          <cell r="G521" t="str">
            <v>United States</v>
          </cell>
          <cell r="H521">
            <v>77075</v>
          </cell>
          <cell r="I521" t="str">
            <v>No</v>
          </cell>
        </row>
        <row r="522">
          <cell r="A522" t="str">
            <v>76499-89100-JQ</v>
          </cell>
          <cell r="B522" t="str">
            <v>Mag Armistead</v>
          </cell>
          <cell r="C522" t="str">
            <v>marmisteadeg@blogtalkradio.com</v>
          </cell>
          <cell r="D522" t="str">
            <v>+1 (504) 611-3400</v>
          </cell>
          <cell r="E522" t="str">
            <v>805 Kenwood Plaza</v>
          </cell>
          <cell r="F522" t="str">
            <v>New Orleans</v>
          </cell>
          <cell r="G522" t="str">
            <v>United States</v>
          </cell>
          <cell r="H522">
            <v>70179</v>
          </cell>
          <cell r="I522" t="str">
            <v>No</v>
          </cell>
        </row>
        <row r="523">
          <cell r="A523" t="str">
            <v>15451-65859-BG</v>
          </cell>
          <cell r="B523" t="str">
            <v>Janela Lemerle</v>
          </cell>
          <cell r="C523" t="str">
            <v>jlemerleeh@ustream.tv</v>
          </cell>
          <cell r="D523" t="str">
            <v>+1 (405) 469-7785</v>
          </cell>
          <cell r="E523" t="str">
            <v>1 Myrtle Hill</v>
          </cell>
          <cell r="F523" t="str">
            <v>Oklahoma City</v>
          </cell>
          <cell r="G523" t="str">
            <v>United States</v>
          </cell>
          <cell r="H523">
            <v>73142</v>
          </cell>
          <cell r="I523" t="str">
            <v>No</v>
          </cell>
        </row>
        <row r="524">
          <cell r="A524" t="str">
            <v>39582-35773-ZJ</v>
          </cell>
          <cell r="B524" t="str">
            <v>Vasili Upstone</v>
          </cell>
          <cell r="C524" t="str">
            <v>vupstoneei@google.pl</v>
          </cell>
          <cell r="D524" t="str">
            <v>+1 (785) 366-9983</v>
          </cell>
          <cell r="E524" t="str">
            <v>7 Dunning Trail</v>
          </cell>
          <cell r="F524" t="str">
            <v>Topeka</v>
          </cell>
          <cell r="G524" t="str">
            <v>United States</v>
          </cell>
          <cell r="H524">
            <v>66617</v>
          </cell>
          <cell r="I524" t="str">
            <v>No</v>
          </cell>
        </row>
        <row r="525">
          <cell r="A525" t="str">
            <v>66240-46962-IO</v>
          </cell>
          <cell r="B525" t="str">
            <v>Berty Beelby</v>
          </cell>
          <cell r="C525" t="str">
            <v>bbeelbyej@rediff.com</v>
          </cell>
          <cell r="D525" t="str">
            <v>+353 (537) 360-4393</v>
          </cell>
          <cell r="E525" t="str">
            <v>844 Sachs Avenue</v>
          </cell>
          <cell r="F525" t="str">
            <v>Lucan</v>
          </cell>
          <cell r="G525" t="str">
            <v>Ireland</v>
          </cell>
          <cell r="H525" t="str">
            <v>K78</v>
          </cell>
          <cell r="I525" t="str">
            <v>No</v>
          </cell>
        </row>
        <row r="526">
          <cell r="A526" t="str">
            <v>10637-45522-ID</v>
          </cell>
          <cell r="B526" t="str">
            <v>Erny Stenyng</v>
          </cell>
          <cell r="D526" t="str">
            <v>+1 (217) 450-8384</v>
          </cell>
          <cell r="E526" t="str">
            <v>8 Pond Parkway</v>
          </cell>
          <cell r="F526" t="str">
            <v>Springfield</v>
          </cell>
          <cell r="G526" t="str">
            <v>United States</v>
          </cell>
          <cell r="H526">
            <v>62723</v>
          </cell>
          <cell r="I526" t="str">
            <v>No</v>
          </cell>
        </row>
        <row r="527">
          <cell r="A527" t="str">
            <v>92599-58687-CS</v>
          </cell>
          <cell r="B527" t="str">
            <v>Edin Yantsurev</v>
          </cell>
          <cell r="D527" t="str">
            <v>+1 (856) 793-3491</v>
          </cell>
          <cell r="E527" t="str">
            <v>208 Main Park</v>
          </cell>
          <cell r="F527" t="str">
            <v>Camden</v>
          </cell>
          <cell r="G527" t="str">
            <v>United States</v>
          </cell>
          <cell r="H527">
            <v>8104</v>
          </cell>
          <cell r="I527" t="str">
            <v>Yes</v>
          </cell>
        </row>
        <row r="528">
          <cell r="A528" t="str">
            <v>06058-48844-PI</v>
          </cell>
          <cell r="B528" t="str">
            <v>Webb Speechly</v>
          </cell>
          <cell r="C528" t="str">
            <v>wspeechlyem@amazon.com</v>
          </cell>
          <cell r="D528" t="str">
            <v>+1 (206) 440-5750</v>
          </cell>
          <cell r="E528" t="str">
            <v>5 Helena Center</v>
          </cell>
          <cell r="F528" t="str">
            <v>Seattle</v>
          </cell>
          <cell r="G528" t="str">
            <v>United States</v>
          </cell>
          <cell r="H528">
            <v>98185</v>
          </cell>
          <cell r="I528" t="str">
            <v>Yes</v>
          </cell>
        </row>
        <row r="529">
          <cell r="A529" t="str">
            <v>53631-24432-SY</v>
          </cell>
          <cell r="B529" t="str">
            <v>Irvine Phillpot</v>
          </cell>
          <cell r="C529" t="str">
            <v>iphillpoten@buzzfeed.com</v>
          </cell>
          <cell r="D529" t="str">
            <v>+44 (610) 826-3107</v>
          </cell>
          <cell r="E529" t="str">
            <v>07208 Eastlawn Drive</v>
          </cell>
          <cell r="F529" t="str">
            <v>Wootton</v>
          </cell>
          <cell r="G529" t="str">
            <v>United Kingdom</v>
          </cell>
          <cell r="H529" t="str">
            <v>NN4</v>
          </cell>
          <cell r="I529" t="str">
            <v>No</v>
          </cell>
        </row>
        <row r="530">
          <cell r="A530" t="str">
            <v>18275-73980-KL</v>
          </cell>
          <cell r="B530" t="str">
            <v>Lem Pennacci</v>
          </cell>
          <cell r="C530" t="str">
            <v>lpennaccieo@statcounter.com</v>
          </cell>
          <cell r="D530" t="str">
            <v>+1 (254) 597-0519</v>
          </cell>
          <cell r="E530" t="str">
            <v>23 Kinsman Way</v>
          </cell>
          <cell r="F530" t="str">
            <v>Waco</v>
          </cell>
          <cell r="G530" t="str">
            <v>United States</v>
          </cell>
          <cell r="H530">
            <v>76711</v>
          </cell>
          <cell r="I530" t="str">
            <v>No</v>
          </cell>
        </row>
        <row r="531">
          <cell r="A531" t="str">
            <v>23187-65750-HZ</v>
          </cell>
          <cell r="B531" t="str">
            <v>Starr Arpin</v>
          </cell>
          <cell r="C531" t="str">
            <v>sarpinep@moonfruit.com</v>
          </cell>
          <cell r="D531" t="str">
            <v>+1 (804) 588-4160</v>
          </cell>
          <cell r="E531" t="str">
            <v>12 Bobwhite Road</v>
          </cell>
          <cell r="F531" t="str">
            <v>Richmond</v>
          </cell>
          <cell r="G531" t="str">
            <v>United States</v>
          </cell>
          <cell r="H531">
            <v>23242</v>
          </cell>
          <cell r="I531" t="str">
            <v>No</v>
          </cell>
        </row>
        <row r="532">
          <cell r="A532" t="str">
            <v>22725-79522-GP</v>
          </cell>
          <cell r="B532" t="str">
            <v>Donny Fries</v>
          </cell>
          <cell r="C532" t="str">
            <v>dfrieseq@cargocollective.com</v>
          </cell>
          <cell r="D532" t="str">
            <v>+1 (419) 138-9171</v>
          </cell>
          <cell r="E532" t="str">
            <v>404 Granby Trail</v>
          </cell>
          <cell r="F532" t="str">
            <v>Toledo</v>
          </cell>
          <cell r="G532" t="str">
            <v>United States</v>
          </cell>
          <cell r="H532">
            <v>43610</v>
          </cell>
          <cell r="I532" t="str">
            <v>No</v>
          </cell>
        </row>
        <row r="533">
          <cell r="A533" t="str">
            <v>06279-72603-JE</v>
          </cell>
          <cell r="B533" t="str">
            <v>Rana Sharer</v>
          </cell>
          <cell r="C533" t="str">
            <v>rsharerer@flavors.me</v>
          </cell>
          <cell r="D533" t="str">
            <v>+1 (304) 632-1951</v>
          </cell>
          <cell r="E533" t="str">
            <v>0 Granby Parkway</v>
          </cell>
          <cell r="F533" t="str">
            <v>Huntington</v>
          </cell>
          <cell r="G533" t="str">
            <v>United States</v>
          </cell>
          <cell r="H533">
            <v>25705</v>
          </cell>
          <cell r="I533" t="str">
            <v>No</v>
          </cell>
        </row>
        <row r="534">
          <cell r="A534" t="str">
            <v>83543-79246-ON</v>
          </cell>
          <cell r="B534" t="str">
            <v>Nannie Naseby</v>
          </cell>
          <cell r="C534" t="str">
            <v>nnasebyes@umich.edu</v>
          </cell>
          <cell r="D534" t="str">
            <v>+1 (407) 225-7234</v>
          </cell>
          <cell r="E534" t="str">
            <v>84666 Melvin Street</v>
          </cell>
          <cell r="F534" t="str">
            <v>Winter Haven</v>
          </cell>
          <cell r="G534" t="str">
            <v>United States</v>
          </cell>
          <cell r="H534">
            <v>33884</v>
          </cell>
          <cell r="I534" t="str">
            <v>Yes</v>
          </cell>
        </row>
        <row r="535">
          <cell r="A535" t="str">
            <v>66794-66795-VW</v>
          </cell>
          <cell r="B535" t="str">
            <v>Rea Offell</v>
          </cell>
          <cell r="D535" t="str">
            <v>+1 (214) 171-1701</v>
          </cell>
          <cell r="E535" t="str">
            <v>3356 Ruskin Way</v>
          </cell>
          <cell r="F535" t="str">
            <v>Dallas</v>
          </cell>
          <cell r="G535" t="str">
            <v>United States</v>
          </cell>
          <cell r="H535">
            <v>75323</v>
          </cell>
          <cell r="I535" t="str">
            <v>No</v>
          </cell>
        </row>
        <row r="536">
          <cell r="A536" t="str">
            <v>95424-67020-AP</v>
          </cell>
          <cell r="B536" t="str">
            <v>Kris O'Cullen</v>
          </cell>
          <cell r="C536" t="str">
            <v>koculleneu@ca.gov</v>
          </cell>
          <cell r="D536" t="str">
            <v>+353 (284) 183-7528</v>
          </cell>
          <cell r="E536" t="str">
            <v>39 Chinook Crossing</v>
          </cell>
          <cell r="F536" t="str">
            <v>Adare</v>
          </cell>
          <cell r="G536" t="str">
            <v>Ireland</v>
          </cell>
          <cell r="H536" t="str">
            <v>H54</v>
          </cell>
          <cell r="I536" t="str">
            <v>Yes</v>
          </cell>
        </row>
        <row r="537">
          <cell r="A537" t="str">
            <v>73017-69644-MS</v>
          </cell>
          <cell r="B537" t="str">
            <v>Timoteo Glisane</v>
          </cell>
          <cell r="D537" t="str">
            <v>+353 (316) 279-4429</v>
          </cell>
          <cell r="E537" t="str">
            <v>2 Coolidge Crossing</v>
          </cell>
          <cell r="F537" t="str">
            <v>Ballivor</v>
          </cell>
          <cell r="G537" t="str">
            <v>Ireland</v>
          </cell>
          <cell r="H537" t="str">
            <v>D17</v>
          </cell>
          <cell r="I537" t="str">
            <v>No</v>
          </cell>
        </row>
        <row r="538">
          <cell r="A538" t="str">
            <v>59361-00606-CU</v>
          </cell>
          <cell r="B538" t="str">
            <v>Wyatan Cokly</v>
          </cell>
          <cell r="C538" t="str">
            <v>wcoklyew@acquirethisname.com</v>
          </cell>
          <cell r="D538" t="str">
            <v>+1 (614) 162-7928</v>
          </cell>
          <cell r="E538" t="str">
            <v>51 Browning Park</v>
          </cell>
          <cell r="F538" t="str">
            <v>Columbus</v>
          </cell>
          <cell r="G538" t="str">
            <v>United States</v>
          </cell>
          <cell r="H538">
            <v>43231</v>
          </cell>
          <cell r="I538" t="str">
            <v>No</v>
          </cell>
        </row>
        <row r="539">
          <cell r="A539" t="str">
            <v>67423-10113-LM</v>
          </cell>
          <cell r="B539" t="str">
            <v>Hildegarde Brangan</v>
          </cell>
          <cell r="C539" t="str">
            <v>hbranganex@woothemes.com</v>
          </cell>
          <cell r="E539" t="str">
            <v>5 Pleasure Junction</v>
          </cell>
          <cell r="F539" t="str">
            <v>Evansville</v>
          </cell>
          <cell r="G539" t="str">
            <v>United States</v>
          </cell>
          <cell r="H539">
            <v>47747</v>
          </cell>
          <cell r="I539" t="str">
            <v>Yes</v>
          </cell>
        </row>
        <row r="540">
          <cell r="A540" t="str">
            <v>48582-05061-RY</v>
          </cell>
          <cell r="B540" t="str">
            <v>Amii Gallyon</v>
          </cell>
          <cell r="C540" t="str">
            <v>agallyoney@engadget.com</v>
          </cell>
          <cell r="E540" t="str">
            <v>229 Spohn Center</v>
          </cell>
          <cell r="F540" t="str">
            <v>Naperville</v>
          </cell>
          <cell r="G540" t="str">
            <v>United States</v>
          </cell>
          <cell r="H540">
            <v>60567</v>
          </cell>
          <cell r="I540" t="str">
            <v>Yes</v>
          </cell>
        </row>
        <row r="541">
          <cell r="A541" t="str">
            <v>32031-49093-KE</v>
          </cell>
          <cell r="B541" t="str">
            <v>Birgit Domange</v>
          </cell>
          <cell r="C541" t="str">
            <v>bdomangeez@yahoo.co.jp</v>
          </cell>
          <cell r="E541" t="str">
            <v>5 Sherman Drive</v>
          </cell>
          <cell r="F541" t="str">
            <v>Charleston</v>
          </cell>
          <cell r="G541" t="str">
            <v>United States</v>
          </cell>
          <cell r="H541">
            <v>29424</v>
          </cell>
          <cell r="I541" t="str">
            <v>No</v>
          </cell>
        </row>
        <row r="542">
          <cell r="A542" t="str">
            <v>31715-98714-OO</v>
          </cell>
          <cell r="B542" t="str">
            <v>Killian Osler</v>
          </cell>
          <cell r="C542" t="str">
            <v>koslerf0@gmpg.org</v>
          </cell>
          <cell r="D542" t="str">
            <v>+1 (517) 647-5356</v>
          </cell>
          <cell r="E542" t="str">
            <v>81 Stuart Street</v>
          </cell>
          <cell r="F542" t="str">
            <v>Lansing</v>
          </cell>
          <cell r="G542" t="str">
            <v>United States</v>
          </cell>
          <cell r="H542">
            <v>48930</v>
          </cell>
          <cell r="I542" t="str">
            <v>Yes</v>
          </cell>
        </row>
        <row r="543">
          <cell r="A543" t="str">
            <v>73759-17258-KA</v>
          </cell>
          <cell r="B543" t="str">
            <v>Lora Dukes</v>
          </cell>
          <cell r="D543" t="str">
            <v>+353 (963) 987-6580</v>
          </cell>
          <cell r="E543" t="str">
            <v>4 Lakewood Gardens Lane</v>
          </cell>
          <cell r="F543" t="str">
            <v>Boyle</v>
          </cell>
          <cell r="G543" t="str">
            <v>Ireland</v>
          </cell>
          <cell r="H543" t="str">
            <v>F52</v>
          </cell>
          <cell r="I543" t="str">
            <v>Yes</v>
          </cell>
        </row>
        <row r="544">
          <cell r="A544" t="str">
            <v>64897-79178-MH</v>
          </cell>
          <cell r="B544" t="str">
            <v>Zack Pellett</v>
          </cell>
          <cell r="C544" t="str">
            <v>zpellettf2@dailymotion.com</v>
          </cell>
          <cell r="D544" t="str">
            <v>+1 (318) 218-5955</v>
          </cell>
          <cell r="E544" t="str">
            <v>0 Lukken Court</v>
          </cell>
          <cell r="F544" t="str">
            <v>Shreveport</v>
          </cell>
          <cell r="G544" t="str">
            <v>United States</v>
          </cell>
          <cell r="H544">
            <v>71115</v>
          </cell>
          <cell r="I544" t="str">
            <v>No</v>
          </cell>
        </row>
        <row r="545">
          <cell r="A545" t="str">
            <v>73346-85564-JB</v>
          </cell>
          <cell r="B545" t="str">
            <v>Ilaire Sprakes</v>
          </cell>
          <cell r="C545" t="str">
            <v>isprakesf3@spiegel.de</v>
          </cell>
          <cell r="D545" t="str">
            <v>+1 (408) 319-9787</v>
          </cell>
          <cell r="E545" t="str">
            <v>1969 Lakeland Avenue</v>
          </cell>
          <cell r="F545" t="str">
            <v>San Jose</v>
          </cell>
          <cell r="G545" t="str">
            <v>United States</v>
          </cell>
          <cell r="H545">
            <v>95194</v>
          </cell>
          <cell r="I545" t="str">
            <v>No</v>
          </cell>
        </row>
        <row r="546">
          <cell r="A546" t="str">
            <v>07476-13102-NJ</v>
          </cell>
          <cell r="B546" t="str">
            <v>Heda Fromant</v>
          </cell>
          <cell r="C546" t="str">
            <v>hfromantf4@ucsd.edu</v>
          </cell>
          <cell r="D546" t="str">
            <v>+1 (610) 156-1700</v>
          </cell>
          <cell r="E546" t="str">
            <v>3341 Cascade Park</v>
          </cell>
          <cell r="F546" t="str">
            <v>Philadelphia</v>
          </cell>
          <cell r="G546" t="str">
            <v>United States</v>
          </cell>
          <cell r="H546">
            <v>19104</v>
          </cell>
          <cell r="I546" t="str">
            <v>No</v>
          </cell>
        </row>
        <row r="547">
          <cell r="A547" t="str">
            <v>87223-37422-SK</v>
          </cell>
          <cell r="B547" t="str">
            <v>Rufus Flear</v>
          </cell>
          <cell r="C547" t="str">
            <v>rflearf5@artisteer.com</v>
          </cell>
          <cell r="D547" t="str">
            <v>+44 (271) 881-4912</v>
          </cell>
          <cell r="E547" t="str">
            <v>30 Mayer Terrace</v>
          </cell>
          <cell r="F547" t="str">
            <v>Sheffield</v>
          </cell>
          <cell r="G547" t="str">
            <v>United Kingdom</v>
          </cell>
          <cell r="H547" t="str">
            <v>S33</v>
          </cell>
          <cell r="I547" t="str">
            <v>No</v>
          </cell>
        </row>
        <row r="548">
          <cell r="A548" t="str">
            <v>57837-15577-YK</v>
          </cell>
          <cell r="B548" t="str">
            <v>Dom Milella</v>
          </cell>
          <cell r="D548" t="str">
            <v>+353 (361) 732-3444</v>
          </cell>
          <cell r="E548" t="str">
            <v>87 Cascade Crossing</v>
          </cell>
          <cell r="F548" t="str">
            <v>Manorhamilton</v>
          </cell>
          <cell r="G548" t="str">
            <v>Ireland</v>
          </cell>
          <cell r="H548" t="str">
            <v>H16</v>
          </cell>
          <cell r="I548" t="str">
            <v>No</v>
          </cell>
        </row>
        <row r="549">
          <cell r="A549" t="str">
            <v>64247-71448-NK</v>
          </cell>
          <cell r="B549" t="str">
            <v>Almire MacAless</v>
          </cell>
          <cell r="D549" t="str">
            <v>+1 (410) 274-0692</v>
          </cell>
          <cell r="E549" t="str">
            <v>897 Del Mar Center</v>
          </cell>
          <cell r="F549" t="str">
            <v>Baltimore</v>
          </cell>
          <cell r="G549" t="str">
            <v>United States</v>
          </cell>
          <cell r="H549">
            <v>21229</v>
          </cell>
          <cell r="I549" t="str">
            <v>Yes</v>
          </cell>
        </row>
        <row r="550">
          <cell r="A550" t="str">
            <v>73647-66148-VM</v>
          </cell>
          <cell r="B550" t="str">
            <v>Bette-ann Munden</v>
          </cell>
          <cell r="C550" t="str">
            <v>bmundenf8@elpais.com</v>
          </cell>
          <cell r="D550" t="str">
            <v>+1 (405) 290-3207</v>
          </cell>
          <cell r="E550" t="str">
            <v>465 Oxford Street</v>
          </cell>
          <cell r="F550" t="str">
            <v>Oklahoma City</v>
          </cell>
          <cell r="G550" t="str">
            <v>United States</v>
          </cell>
          <cell r="H550">
            <v>73119</v>
          </cell>
          <cell r="I550" t="str">
            <v>Yes</v>
          </cell>
        </row>
        <row r="551">
          <cell r="A551" t="str">
            <v>10142-55267-YO</v>
          </cell>
          <cell r="B551" t="str">
            <v>Wilek Lightollers</v>
          </cell>
          <cell r="C551" t="str">
            <v>wlightollersf9@baidu.com</v>
          </cell>
          <cell r="D551" t="str">
            <v>+1 (646) 793-8756</v>
          </cell>
          <cell r="E551" t="str">
            <v>8 Sunnyside Lane</v>
          </cell>
          <cell r="F551" t="str">
            <v>New York City</v>
          </cell>
          <cell r="G551" t="str">
            <v>United States</v>
          </cell>
          <cell r="H551">
            <v>10060</v>
          </cell>
          <cell r="I551" t="str">
            <v>Yes</v>
          </cell>
        </row>
        <row r="552">
          <cell r="A552" t="str">
            <v>92976-19453-DT</v>
          </cell>
          <cell r="B552" t="str">
            <v>Nick Brakespear</v>
          </cell>
          <cell r="C552" t="str">
            <v>nbrakespearfa@rediff.com</v>
          </cell>
          <cell r="D552" t="str">
            <v>+1 (973) 380-3976</v>
          </cell>
          <cell r="E552" t="str">
            <v>2 Jenna Hill</v>
          </cell>
          <cell r="F552" t="str">
            <v>Newark</v>
          </cell>
          <cell r="G552" t="str">
            <v>United States</v>
          </cell>
          <cell r="H552">
            <v>7112</v>
          </cell>
          <cell r="I552" t="str">
            <v>Yes</v>
          </cell>
        </row>
        <row r="553">
          <cell r="A553" t="str">
            <v>89757-51438-HX</v>
          </cell>
          <cell r="B553" t="str">
            <v>Malynda Glawsop</v>
          </cell>
          <cell r="C553" t="str">
            <v>mglawsopfb@reverbnation.com</v>
          </cell>
          <cell r="D553" t="str">
            <v>+1 (203) 608-9937</v>
          </cell>
          <cell r="E553" t="str">
            <v>682 Express Court</v>
          </cell>
          <cell r="F553" t="str">
            <v>New Haven</v>
          </cell>
          <cell r="G553" t="str">
            <v>United States</v>
          </cell>
          <cell r="H553">
            <v>6510</v>
          </cell>
          <cell r="I553" t="str">
            <v>No</v>
          </cell>
        </row>
        <row r="554">
          <cell r="A554" t="str">
            <v>76192-13390-HZ</v>
          </cell>
          <cell r="B554" t="str">
            <v>Granville Alberts</v>
          </cell>
          <cell r="C554" t="str">
            <v>galbertsfc@etsy.com</v>
          </cell>
          <cell r="D554" t="str">
            <v>+44 (788) 686-0408</v>
          </cell>
          <cell r="E554" t="str">
            <v>0 Pierstorff Center</v>
          </cell>
          <cell r="F554" t="str">
            <v>Belfast</v>
          </cell>
          <cell r="G554" t="str">
            <v>United Kingdom</v>
          </cell>
          <cell r="H554" t="str">
            <v>BT2</v>
          </cell>
          <cell r="I554" t="str">
            <v>Yes</v>
          </cell>
        </row>
        <row r="555">
          <cell r="A555" t="str">
            <v>02009-87294-SY</v>
          </cell>
          <cell r="B555" t="str">
            <v>Vasily Polglase</v>
          </cell>
          <cell r="C555" t="str">
            <v>vpolglasefd@about.me</v>
          </cell>
          <cell r="E555" t="str">
            <v>63 Maryland Trail</v>
          </cell>
          <cell r="F555" t="str">
            <v>Toledo</v>
          </cell>
          <cell r="G555" t="str">
            <v>United States</v>
          </cell>
          <cell r="H555">
            <v>43610</v>
          </cell>
          <cell r="I555" t="str">
            <v>No</v>
          </cell>
        </row>
        <row r="556">
          <cell r="A556" t="str">
            <v>82872-34456-LJ</v>
          </cell>
          <cell r="B556" t="str">
            <v>Madelaine Sharples</v>
          </cell>
          <cell r="D556" t="str">
            <v>+44 (572) 727-1868</v>
          </cell>
          <cell r="E556" t="str">
            <v>0 Mayfield Avenue</v>
          </cell>
          <cell r="F556" t="str">
            <v>Newton</v>
          </cell>
          <cell r="G556" t="str">
            <v>United Kingdom</v>
          </cell>
          <cell r="H556" t="str">
            <v>IV1</v>
          </cell>
          <cell r="I556" t="str">
            <v>Yes</v>
          </cell>
        </row>
        <row r="557">
          <cell r="A557" t="str">
            <v>13181-04387-LI</v>
          </cell>
          <cell r="B557" t="str">
            <v>Sigfrid Busch</v>
          </cell>
          <cell r="C557" t="str">
            <v>sbuschff@so-net.ne.jp</v>
          </cell>
          <cell r="D557" t="str">
            <v>+353 (953) 333-8754</v>
          </cell>
          <cell r="E557" t="str">
            <v>6666 Express Pass</v>
          </cell>
          <cell r="F557" t="str">
            <v>Bantry</v>
          </cell>
          <cell r="G557" t="str">
            <v>Ireland</v>
          </cell>
          <cell r="H557" t="str">
            <v>P75</v>
          </cell>
          <cell r="I557" t="str">
            <v>No</v>
          </cell>
        </row>
        <row r="558">
          <cell r="A558" t="str">
            <v>24845-36117-TI</v>
          </cell>
          <cell r="B558" t="str">
            <v>Cissiee Raisbeck</v>
          </cell>
          <cell r="C558" t="str">
            <v>craisbeckfg@webnode.com</v>
          </cell>
          <cell r="E558" t="str">
            <v>8026 Nobel Parkway</v>
          </cell>
          <cell r="F558" t="str">
            <v>Shreveport</v>
          </cell>
          <cell r="G558" t="str">
            <v>United States</v>
          </cell>
          <cell r="H558">
            <v>71161</v>
          </cell>
          <cell r="I558" t="str">
            <v>Yes</v>
          </cell>
        </row>
        <row r="559">
          <cell r="A559" t="str">
            <v>30256-29772-KK</v>
          </cell>
          <cell r="B559" t="str">
            <v>Leslie Laughton</v>
          </cell>
          <cell r="D559" t="str">
            <v>+1 (321) 828-8078</v>
          </cell>
          <cell r="E559" t="str">
            <v>79 Acker Point</v>
          </cell>
          <cell r="F559" t="str">
            <v>Orlando</v>
          </cell>
          <cell r="G559" t="str">
            <v>United States</v>
          </cell>
          <cell r="H559">
            <v>32835</v>
          </cell>
          <cell r="I559" t="str">
            <v>No</v>
          </cell>
        </row>
        <row r="560">
          <cell r="A560" t="str">
            <v>86646-65810-TD</v>
          </cell>
          <cell r="B560" t="str">
            <v>Kenton Wetherick</v>
          </cell>
          <cell r="D560" t="str">
            <v>+1 (859) 628-7241</v>
          </cell>
          <cell r="E560" t="str">
            <v>6976 Knutson Lane</v>
          </cell>
          <cell r="F560" t="str">
            <v>Lexington</v>
          </cell>
          <cell r="G560" t="str">
            <v>United States</v>
          </cell>
          <cell r="H560">
            <v>40515</v>
          </cell>
          <cell r="I560" t="str">
            <v>Yes</v>
          </cell>
        </row>
        <row r="561">
          <cell r="A561" t="str">
            <v>59480-02795-IU</v>
          </cell>
          <cell r="B561" t="str">
            <v>Reamonn Aynold</v>
          </cell>
          <cell r="C561" t="str">
            <v>raynoldfj@ustream.tv</v>
          </cell>
          <cell r="D561" t="str">
            <v>+1 (414) 429-0919</v>
          </cell>
          <cell r="E561" t="str">
            <v>0380 Orin Road</v>
          </cell>
          <cell r="F561" t="str">
            <v>Milwaukee</v>
          </cell>
          <cell r="G561" t="str">
            <v>United States</v>
          </cell>
          <cell r="H561">
            <v>53263</v>
          </cell>
          <cell r="I561" t="str">
            <v>Yes</v>
          </cell>
        </row>
        <row r="562">
          <cell r="A562" t="str">
            <v>61809-87758-LJ</v>
          </cell>
          <cell r="B562" t="str">
            <v>Hatty Dovydenas</v>
          </cell>
          <cell r="D562" t="str">
            <v>+1 (281) 416-9557</v>
          </cell>
          <cell r="E562" t="str">
            <v>227 Huxley Hill</v>
          </cell>
          <cell r="F562" t="str">
            <v>Amarillo</v>
          </cell>
          <cell r="G562" t="str">
            <v>United States</v>
          </cell>
          <cell r="H562">
            <v>79176</v>
          </cell>
          <cell r="I562" t="str">
            <v>Yes</v>
          </cell>
        </row>
        <row r="563">
          <cell r="A563" t="str">
            <v>77408-43873-RS</v>
          </cell>
          <cell r="B563" t="str">
            <v>Nathaniel Bloxland</v>
          </cell>
          <cell r="D563" t="str">
            <v>+353 (652) 208-7526</v>
          </cell>
          <cell r="E563" t="str">
            <v>04385 Tony Alley</v>
          </cell>
          <cell r="F563" t="str">
            <v>Daingean</v>
          </cell>
          <cell r="G563" t="str">
            <v>Ireland</v>
          </cell>
          <cell r="H563" t="str">
            <v>E91</v>
          </cell>
          <cell r="I563" t="str">
            <v>Yes</v>
          </cell>
        </row>
        <row r="564">
          <cell r="A564" t="str">
            <v>18366-65239-WF</v>
          </cell>
          <cell r="B564" t="str">
            <v>Brendan Grece</v>
          </cell>
          <cell r="C564" t="str">
            <v>bgrecefm@naver.com</v>
          </cell>
          <cell r="D564" t="str">
            <v>+44 (933) 508-3795</v>
          </cell>
          <cell r="E564" t="str">
            <v>5 Butterfield Plaza</v>
          </cell>
          <cell r="F564" t="str">
            <v>Halton</v>
          </cell>
          <cell r="G564" t="str">
            <v>United Kingdom</v>
          </cell>
          <cell r="H564" t="str">
            <v>LS9</v>
          </cell>
          <cell r="I564" t="str">
            <v>No</v>
          </cell>
        </row>
        <row r="565">
          <cell r="A565" t="str">
            <v>11107-57605-HS</v>
          </cell>
          <cell r="B565" t="str">
            <v>Steffie Maddrell</v>
          </cell>
          <cell r="C565" t="str">
            <v>smaddrellfn@123-reg.co.uk</v>
          </cell>
          <cell r="D565" t="str">
            <v>+1 (770) 714-7866</v>
          </cell>
          <cell r="E565" t="str">
            <v>39 Shasta Way</v>
          </cell>
          <cell r="F565" t="str">
            <v>Atlanta</v>
          </cell>
          <cell r="G565" t="str">
            <v>United States</v>
          </cell>
          <cell r="H565">
            <v>30323</v>
          </cell>
          <cell r="I565" t="str">
            <v>No</v>
          </cell>
        </row>
        <row r="566">
          <cell r="A566" t="str">
            <v>72072-33025-SD</v>
          </cell>
          <cell r="B566" t="str">
            <v>Abbe Thys</v>
          </cell>
          <cell r="C566" t="str">
            <v>athysfo@cdc.gov</v>
          </cell>
          <cell r="D566" t="str">
            <v>+1 (865) 217-6208</v>
          </cell>
          <cell r="E566" t="str">
            <v>847 Sloan Parkway</v>
          </cell>
          <cell r="F566" t="str">
            <v>Knoxville</v>
          </cell>
          <cell r="G566" t="str">
            <v>United States</v>
          </cell>
          <cell r="H566">
            <v>37924</v>
          </cell>
          <cell r="I566" t="str">
            <v>No</v>
          </cell>
        </row>
        <row r="567">
          <cell r="A567" t="str">
            <v>58118-22461-GC</v>
          </cell>
          <cell r="B567" t="str">
            <v>Jackquelin Chugg</v>
          </cell>
          <cell r="C567" t="str">
            <v>jchuggfp@about.me</v>
          </cell>
          <cell r="D567" t="str">
            <v>+1 (913) 466-8319</v>
          </cell>
          <cell r="E567" t="str">
            <v>973 Kings Hill</v>
          </cell>
          <cell r="F567" t="str">
            <v>Shawnee Mission</v>
          </cell>
          <cell r="G567" t="str">
            <v>United States</v>
          </cell>
          <cell r="H567">
            <v>66225</v>
          </cell>
          <cell r="I567" t="str">
            <v>No</v>
          </cell>
        </row>
        <row r="568">
          <cell r="A568" t="str">
            <v>90940-63327-DJ</v>
          </cell>
          <cell r="B568" t="str">
            <v>Audra Kelston</v>
          </cell>
          <cell r="C568" t="str">
            <v>akelstonfq@sakura.ne.jp</v>
          </cell>
          <cell r="D568" t="str">
            <v>+1 (954) 981-8804</v>
          </cell>
          <cell r="E568" t="str">
            <v>9522 Oak Valley Way</v>
          </cell>
          <cell r="F568" t="str">
            <v>Fort Lauderdale</v>
          </cell>
          <cell r="G568" t="str">
            <v>United States</v>
          </cell>
          <cell r="H568">
            <v>33330</v>
          </cell>
          <cell r="I568" t="str">
            <v>Yes</v>
          </cell>
        </row>
        <row r="569">
          <cell r="A569" t="str">
            <v>64481-42546-II</v>
          </cell>
          <cell r="B569" t="str">
            <v>Elvina Angel</v>
          </cell>
          <cell r="D569" t="str">
            <v>+353 (921) 742-1111</v>
          </cell>
          <cell r="E569" t="str">
            <v>4 Hanson Parkway</v>
          </cell>
          <cell r="F569" t="str">
            <v>Tralee</v>
          </cell>
          <cell r="G569" t="str">
            <v>Ireland</v>
          </cell>
          <cell r="H569" t="str">
            <v>V92</v>
          </cell>
          <cell r="I569" t="str">
            <v>No</v>
          </cell>
        </row>
        <row r="570">
          <cell r="A570" t="str">
            <v>27536-28463-NJ</v>
          </cell>
          <cell r="B570" t="str">
            <v>Claiborne Mottram</v>
          </cell>
          <cell r="C570" t="str">
            <v>cmottramfs@harvard.edu</v>
          </cell>
          <cell r="D570" t="str">
            <v>+1 (512) 333-9861</v>
          </cell>
          <cell r="E570" t="str">
            <v>5 Monument Point</v>
          </cell>
          <cell r="F570" t="str">
            <v>Austin</v>
          </cell>
          <cell r="G570" t="str">
            <v>United States</v>
          </cell>
          <cell r="H570">
            <v>78715</v>
          </cell>
          <cell r="I570" t="str">
            <v>Yes</v>
          </cell>
        </row>
        <row r="571">
          <cell r="A571" t="str">
            <v>66005-20240-MI</v>
          </cell>
          <cell r="B571" t="str">
            <v>Dilly Marrison</v>
          </cell>
          <cell r="C571" t="str">
            <v>dmarrisonft@geocities.jp</v>
          </cell>
          <cell r="D571" t="str">
            <v>+1 (216) 996-5932</v>
          </cell>
          <cell r="E571" t="str">
            <v>23 Hallows Plaza</v>
          </cell>
          <cell r="F571" t="str">
            <v>Cleveland</v>
          </cell>
          <cell r="G571" t="str">
            <v>United States</v>
          </cell>
          <cell r="H571">
            <v>44105</v>
          </cell>
          <cell r="I571" t="str">
            <v>No</v>
          </cell>
        </row>
        <row r="572">
          <cell r="A572" t="str">
            <v>70140-82812-KD</v>
          </cell>
          <cell r="B572" t="str">
            <v>Donalt Sangwin</v>
          </cell>
          <cell r="C572" t="str">
            <v>dsangwinfu@weebly.com</v>
          </cell>
          <cell r="D572" t="str">
            <v>+1 (301) 879-4079</v>
          </cell>
          <cell r="E572" t="str">
            <v>47 Granby Junction</v>
          </cell>
          <cell r="F572" t="str">
            <v>Hyattsville</v>
          </cell>
          <cell r="G572" t="str">
            <v>United States</v>
          </cell>
          <cell r="H572">
            <v>20784</v>
          </cell>
          <cell r="I572" t="str">
            <v>No</v>
          </cell>
        </row>
        <row r="573">
          <cell r="A573" t="str">
            <v>91895-55605-LS</v>
          </cell>
          <cell r="B573" t="str">
            <v>Elizabet Aizikowitz</v>
          </cell>
          <cell r="C573" t="str">
            <v>eaizikowitzfv@virginia.edu</v>
          </cell>
          <cell r="D573" t="str">
            <v>+44 (148) 635-3706</v>
          </cell>
          <cell r="E573" t="str">
            <v>7835 Namekagon Alley</v>
          </cell>
          <cell r="F573" t="str">
            <v>Ashley</v>
          </cell>
          <cell r="G573" t="str">
            <v>United Kingdom</v>
          </cell>
          <cell r="H573" t="str">
            <v>SN13</v>
          </cell>
          <cell r="I573" t="str">
            <v>No</v>
          </cell>
        </row>
        <row r="574">
          <cell r="A574" t="str">
            <v>43155-71724-XP</v>
          </cell>
          <cell r="B574" t="str">
            <v>Herbie Peppard</v>
          </cell>
          <cell r="E574" t="str">
            <v>2 International Lane</v>
          </cell>
          <cell r="F574" t="str">
            <v>Pasadena</v>
          </cell>
          <cell r="G574" t="str">
            <v>United States</v>
          </cell>
          <cell r="H574">
            <v>91103</v>
          </cell>
          <cell r="I574" t="str">
            <v>Yes</v>
          </cell>
        </row>
        <row r="575">
          <cell r="A575" t="str">
            <v>32038-81174-JF</v>
          </cell>
          <cell r="B575" t="str">
            <v>Cornie Venour</v>
          </cell>
          <cell r="C575" t="str">
            <v>cvenourfx@ask.com</v>
          </cell>
          <cell r="D575" t="str">
            <v>+1 (318) 578-8039</v>
          </cell>
          <cell r="E575" t="str">
            <v>90 Commercial Pass</v>
          </cell>
          <cell r="F575" t="str">
            <v>Shreveport</v>
          </cell>
          <cell r="G575" t="str">
            <v>United States</v>
          </cell>
          <cell r="H575">
            <v>71161</v>
          </cell>
          <cell r="I575" t="str">
            <v>No</v>
          </cell>
        </row>
        <row r="576">
          <cell r="A576" t="str">
            <v>59205-20324-NB</v>
          </cell>
          <cell r="B576" t="str">
            <v>Maggy Harby</v>
          </cell>
          <cell r="C576" t="str">
            <v>mharbyfy@163.com</v>
          </cell>
          <cell r="E576" t="str">
            <v>69 Jackson Junction</v>
          </cell>
          <cell r="F576" t="str">
            <v>Pensacola</v>
          </cell>
          <cell r="G576" t="str">
            <v>United States</v>
          </cell>
          <cell r="H576">
            <v>32590</v>
          </cell>
          <cell r="I576" t="str">
            <v>Yes</v>
          </cell>
        </row>
        <row r="577">
          <cell r="A577" t="str">
            <v>99899-54612-NX</v>
          </cell>
          <cell r="B577" t="str">
            <v>Reggie Thickpenny</v>
          </cell>
          <cell r="C577" t="str">
            <v>rthickpennyfz@cafepress.com</v>
          </cell>
          <cell r="D577" t="str">
            <v>+1 (213) 234-9242</v>
          </cell>
          <cell r="E577" t="str">
            <v>791 School Center</v>
          </cell>
          <cell r="F577" t="str">
            <v>Los Angeles</v>
          </cell>
          <cell r="G577" t="str">
            <v>United States</v>
          </cell>
          <cell r="H577">
            <v>90035</v>
          </cell>
          <cell r="I577" t="str">
            <v>No</v>
          </cell>
        </row>
        <row r="578">
          <cell r="A578" t="str">
            <v>26248-84194-FI</v>
          </cell>
          <cell r="B578" t="str">
            <v>Phyllys Ormerod</v>
          </cell>
          <cell r="C578" t="str">
            <v>pormerodg0@redcross.org</v>
          </cell>
          <cell r="D578" t="str">
            <v>+1 (919) 491-2772</v>
          </cell>
          <cell r="E578" t="str">
            <v>04 Arrowood Court</v>
          </cell>
          <cell r="F578" t="str">
            <v>Durham</v>
          </cell>
          <cell r="G578" t="str">
            <v>United States</v>
          </cell>
          <cell r="H578">
            <v>27705</v>
          </cell>
          <cell r="I578" t="str">
            <v>No</v>
          </cell>
        </row>
        <row r="579">
          <cell r="A579" t="str">
            <v>19485-98072-PS</v>
          </cell>
          <cell r="B579" t="str">
            <v>Don Flintiff</v>
          </cell>
          <cell r="C579" t="str">
            <v>dflintiffg1@e-recht24.de</v>
          </cell>
          <cell r="E579" t="str">
            <v>7 Helena Junction</v>
          </cell>
          <cell r="F579" t="str">
            <v>London</v>
          </cell>
          <cell r="G579" t="str">
            <v>United Kingdom</v>
          </cell>
          <cell r="H579" t="str">
            <v>WC1B</v>
          </cell>
          <cell r="I579" t="str">
            <v>No</v>
          </cell>
        </row>
        <row r="580">
          <cell r="A580" t="str">
            <v>84493-71314-WX</v>
          </cell>
          <cell r="B580" t="str">
            <v>Tymon Zanetti</v>
          </cell>
          <cell r="C580" t="str">
            <v>tzanettig2@gravatar.com</v>
          </cell>
          <cell r="D580" t="str">
            <v>+353 (351) 897-2630</v>
          </cell>
          <cell r="E580" t="str">
            <v>561 Cherokee Trail</v>
          </cell>
          <cell r="F580" t="str">
            <v>Loughrea</v>
          </cell>
          <cell r="G580" t="str">
            <v>Ireland</v>
          </cell>
          <cell r="H580" t="str">
            <v>H62</v>
          </cell>
          <cell r="I580" t="str">
            <v>No</v>
          </cell>
        </row>
        <row r="581">
          <cell r="A581" t="str">
            <v>09530-56210-WO</v>
          </cell>
          <cell r="B581" t="str">
            <v>Bili Follet</v>
          </cell>
          <cell r="C581" t="str">
            <v>bfolletg3@a8.net</v>
          </cell>
          <cell r="D581" t="str">
            <v>+353 (147) 609-3789</v>
          </cell>
          <cell r="E581" t="str">
            <v>91 Darwin Circle</v>
          </cell>
          <cell r="F581" t="str">
            <v>Daingean</v>
          </cell>
          <cell r="G581" t="str">
            <v>Ireland</v>
          </cell>
          <cell r="H581" t="str">
            <v>E91</v>
          </cell>
          <cell r="I581" t="str">
            <v>No</v>
          </cell>
        </row>
        <row r="582">
          <cell r="A582" t="str">
            <v>39789-43945-IV</v>
          </cell>
          <cell r="B582" t="str">
            <v>Reinaldos Kirtley</v>
          </cell>
          <cell r="C582" t="str">
            <v>rkirtleyg4@hatena.ne.jp</v>
          </cell>
          <cell r="D582" t="str">
            <v>+1 (626) 635-6367</v>
          </cell>
          <cell r="E582" t="str">
            <v>6356 Di Loreto Road</v>
          </cell>
          <cell r="F582" t="str">
            <v>Whittier</v>
          </cell>
          <cell r="G582" t="str">
            <v>United States</v>
          </cell>
          <cell r="H582">
            <v>90605</v>
          </cell>
          <cell r="I582" t="str">
            <v>Yes</v>
          </cell>
        </row>
        <row r="583">
          <cell r="A583" t="str">
            <v>38972-89678-ZM</v>
          </cell>
          <cell r="B583" t="str">
            <v>Carney Clemencet</v>
          </cell>
          <cell r="C583" t="str">
            <v>cclemencetg5@weather.com</v>
          </cell>
          <cell r="E583" t="str">
            <v>09240 Arkansas Point</v>
          </cell>
          <cell r="F583" t="str">
            <v>Birmingham</v>
          </cell>
          <cell r="G583" t="str">
            <v>United Kingdom</v>
          </cell>
          <cell r="H583" t="str">
            <v>B40</v>
          </cell>
          <cell r="I583" t="str">
            <v>Yes</v>
          </cell>
        </row>
        <row r="584">
          <cell r="A584" t="str">
            <v>91465-84526-IJ</v>
          </cell>
          <cell r="B584" t="str">
            <v>Russell Donet</v>
          </cell>
          <cell r="C584" t="str">
            <v>rdonetg6@oakley.com</v>
          </cell>
          <cell r="D584" t="str">
            <v>+1 (804) 583-2067</v>
          </cell>
          <cell r="E584" t="str">
            <v>1 Petterle Terrace</v>
          </cell>
          <cell r="F584" t="str">
            <v>Richmond</v>
          </cell>
          <cell r="G584" t="str">
            <v>United States</v>
          </cell>
          <cell r="H584">
            <v>23237</v>
          </cell>
          <cell r="I584" t="str">
            <v>No</v>
          </cell>
        </row>
        <row r="585">
          <cell r="A585" t="str">
            <v>22832-98538-RB</v>
          </cell>
          <cell r="B585" t="str">
            <v>Sidney Gawen</v>
          </cell>
          <cell r="C585" t="str">
            <v>sgaweng7@creativecommons.org</v>
          </cell>
          <cell r="D585" t="str">
            <v>+1 (571) 317-3089</v>
          </cell>
          <cell r="E585" t="str">
            <v>9231 Stang Drive</v>
          </cell>
          <cell r="F585" t="str">
            <v>Sterling</v>
          </cell>
          <cell r="G585" t="str">
            <v>United States</v>
          </cell>
          <cell r="H585">
            <v>20167</v>
          </cell>
          <cell r="I585" t="str">
            <v>Yes</v>
          </cell>
        </row>
        <row r="586">
          <cell r="A586" t="str">
            <v>30844-91890-ZA</v>
          </cell>
          <cell r="B586" t="str">
            <v>Rickey Readie</v>
          </cell>
          <cell r="C586" t="str">
            <v>rreadieg8@guardian.co.uk</v>
          </cell>
          <cell r="D586" t="str">
            <v>+1 (775) 993-8273</v>
          </cell>
          <cell r="E586" t="str">
            <v>8 Everett Court</v>
          </cell>
          <cell r="F586" t="str">
            <v>Carson City</v>
          </cell>
          <cell r="G586" t="str">
            <v>United States</v>
          </cell>
          <cell r="H586">
            <v>89706</v>
          </cell>
          <cell r="I586" t="str">
            <v>No</v>
          </cell>
        </row>
        <row r="587">
          <cell r="A587" t="str">
            <v>64328-37891-JA</v>
          </cell>
          <cell r="B587" t="str">
            <v>Conchita Dietzler</v>
          </cell>
          <cell r="C587" t="str">
            <v>cdietzlerg9@goo.gl</v>
          </cell>
          <cell r="D587" t="str">
            <v>+353 (428) 656-7060</v>
          </cell>
          <cell r="E587" t="str">
            <v>1 Thierer Parkway</v>
          </cell>
          <cell r="F587" t="str">
            <v>Ashford</v>
          </cell>
          <cell r="G587" t="str">
            <v>Ireland</v>
          </cell>
          <cell r="H587" t="str">
            <v>H12</v>
          </cell>
          <cell r="I587" t="str">
            <v>Yes</v>
          </cell>
        </row>
        <row r="588">
          <cell r="A588" t="str">
            <v>88992-49081-AT</v>
          </cell>
          <cell r="B588" t="str">
            <v>Zilvia Claisse</v>
          </cell>
          <cell r="D588" t="str">
            <v>+1 (612) 477-9298</v>
          </cell>
          <cell r="E588" t="str">
            <v>529 Judy Circle</v>
          </cell>
          <cell r="F588" t="str">
            <v>Saint Paul</v>
          </cell>
          <cell r="G588" t="str">
            <v>United States</v>
          </cell>
          <cell r="H588">
            <v>55123</v>
          </cell>
          <cell r="I588" t="str">
            <v>No</v>
          </cell>
        </row>
        <row r="589">
          <cell r="A589" t="str">
            <v>10204-31464-SA</v>
          </cell>
          <cell r="B589" t="str">
            <v>Bar O' Mahony</v>
          </cell>
          <cell r="C589" t="str">
            <v>bogb@elpais.com</v>
          </cell>
          <cell r="E589" t="str">
            <v>478 Harper Junction</v>
          </cell>
          <cell r="F589" t="str">
            <v>Huntsville</v>
          </cell>
          <cell r="G589" t="str">
            <v>United States</v>
          </cell>
          <cell r="H589">
            <v>35895</v>
          </cell>
          <cell r="I589" t="str">
            <v>Yes</v>
          </cell>
        </row>
        <row r="590">
          <cell r="A590" t="str">
            <v>75156-80911-YT</v>
          </cell>
          <cell r="B590" t="str">
            <v>Valenka Stansbury</v>
          </cell>
          <cell r="C590" t="str">
            <v>vstansburygc@unblog.fr</v>
          </cell>
          <cell r="D590" t="str">
            <v>+1 (915) 530-3435</v>
          </cell>
          <cell r="E590" t="str">
            <v>10283 Ramsey Hill</v>
          </cell>
          <cell r="F590" t="str">
            <v>El Paso</v>
          </cell>
          <cell r="G590" t="str">
            <v>United States</v>
          </cell>
          <cell r="H590">
            <v>88553</v>
          </cell>
          <cell r="I590" t="str">
            <v>Yes</v>
          </cell>
        </row>
        <row r="591">
          <cell r="A591" t="str">
            <v>53971-49906-PZ</v>
          </cell>
          <cell r="B591" t="str">
            <v>Daniel Heinonen</v>
          </cell>
          <cell r="C591" t="str">
            <v>dheinonengd@printfriendly.com</v>
          </cell>
          <cell r="E591" t="str">
            <v>715 Kropf Hill</v>
          </cell>
          <cell r="F591" t="str">
            <v>Decatur</v>
          </cell>
          <cell r="G591" t="str">
            <v>United States</v>
          </cell>
          <cell r="H591">
            <v>30033</v>
          </cell>
          <cell r="I591" t="str">
            <v>No</v>
          </cell>
        </row>
        <row r="592">
          <cell r="A592" t="str">
            <v>10728-17633-ST</v>
          </cell>
          <cell r="B592" t="str">
            <v>Jewelle Shenton</v>
          </cell>
          <cell r="C592" t="str">
            <v>jshentonge@google.com.hk</v>
          </cell>
          <cell r="D592" t="str">
            <v>+1 (650) 712-0135</v>
          </cell>
          <cell r="E592" t="str">
            <v>46367 Waubesa Hill</v>
          </cell>
          <cell r="F592" t="str">
            <v>Orange</v>
          </cell>
          <cell r="G592" t="str">
            <v>United States</v>
          </cell>
          <cell r="H592">
            <v>92668</v>
          </cell>
          <cell r="I592" t="str">
            <v>Yes</v>
          </cell>
        </row>
        <row r="593">
          <cell r="A593" t="str">
            <v>13549-65017-VE</v>
          </cell>
          <cell r="B593" t="str">
            <v>Jennifer Wilkisson</v>
          </cell>
          <cell r="C593" t="str">
            <v>jwilkissongf@nba.com</v>
          </cell>
          <cell r="E593" t="str">
            <v>26051 Golf Course Road</v>
          </cell>
          <cell r="F593" t="str">
            <v>Huntington Beach</v>
          </cell>
          <cell r="G593" t="str">
            <v>United States</v>
          </cell>
          <cell r="H593">
            <v>92648</v>
          </cell>
          <cell r="I593" t="str">
            <v>Yes</v>
          </cell>
        </row>
        <row r="594">
          <cell r="A594" t="str">
            <v>87688-42420-TO</v>
          </cell>
          <cell r="B594" t="str">
            <v>Kylie Mowat</v>
          </cell>
          <cell r="D594" t="str">
            <v>+1 (206) 275-3973</v>
          </cell>
          <cell r="E594" t="str">
            <v>06512 Shopko Court</v>
          </cell>
          <cell r="F594" t="str">
            <v>Milwaukee</v>
          </cell>
          <cell r="G594" t="str">
            <v>United States</v>
          </cell>
          <cell r="H594">
            <v>53285</v>
          </cell>
          <cell r="I594" t="str">
            <v>No</v>
          </cell>
        </row>
        <row r="595">
          <cell r="A595" t="str">
            <v>05325-97750-WP</v>
          </cell>
          <cell r="B595" t="str">
            <v>Cody Verissimo</v>
          </cell>
          <cell r="C595" t="str">
            <v>cverissimogh@theglobeandmail.com</v>
          </cell>
          <cell r="E595" t="str">
            <v>18 Bluestem Avenue</v>
          </cell>
          <cell r="F595" t="str">
            <v>Upton</v>
          </cell>
          <cell r="G595" t="str">
            <v>United Kingdom</v>
          </cell>
          <cell r="H595" t="str">
            <v>DN21</v>
          </cell>
          <cell r="I595" t="str">
            <v>Yes</v>
          </cell>
        </row>
        <row r="596">
          <cell r="A596" t="str">
            <v>51901-35210-UI</v>
          </cell>
          <cell r="B596" t="str">
            <v>Gabriel Starcks</v>
          </cell>
          <cell r="C596" t="str">
            <v>gstarcksgi@abc.net.au</v>
          </cell>
          <cell r="D596" t="str">
            <v>+1 (423) 903-3146</v>
          </cell>
          <cell r="E596" t="str">
            <v>5 Northland Alley</v>
          </cell>
          <cell r="F596" t="str">
            <v>Chattanooga</v>
          </cell>
          <cell r="G596" t="str">
            <v>United States</v>
          </cell>
          <cell r="H596">
            <v>37416</v>
          </cell>
          <cell r="I596" t="str">
            <v>No</v>
          </cell>
        </row>
        <row r="597">
          <cell r="A597" t="str">
            <v>62483-50867-OM</v>
          </cell>
          <cell r="B597" t="str">
            <v>Darby Dummer</v>
          </cell>
          <cell r="E597" t="str">
            <v>6664 Huxley Place</v>
          </cell>
          <cell r="F597" t="str">
            <v>Manchester</v>
          </cell>
          <cell r="G597" t="str">
            <v>United Kingdom</v>
          </cell>
          <cell r="H597" t="str">
            <v>M14</v>
          </cell>
          <cell r="I597" t="str">
            <v>No</v>
          </cell>
        </row>
        <row r="598">
          <cell r="A598" t="str">
            <v>92753-50029-SD</v>
          </cell>
          <cell r="B598" t="str">
            <v>Kienan Scholard</v>
          </cell>
          <cell r="C598" t="str">
            <v>kscholardgk@sbwire.com</v>
          </cell>
          <cell r="D598" t="str">
            <v>+1 (614) 199-9032</v>
          </cell>
          <cell r="E598" t="str">
            <v>47910 Longview Place</v>
          </cell>
          <cell r="F598" t="str">
            <v>Columbus</v>
          </cell>
          <cell r="G598" t="str">
            <v>United States</v>
          </cell>
          <cell r="H598">
            <v>43268</v>
          </cell>
          <cell r="I598" t="str">
            <v>No</v>
          </cell>
        </row>
        <row r="599">
          <cell r="A599" t="str">
            <v>53809-98498-SN</v>
          </cell>
          <cell r="B599" t="str">
            <v>Bo Kindley</v>
          </cell>
          <cell r="C599" t="str">
            <v>bkindleygl@wikimedia.org</v>
          </cell>
          <cell r="D599" t="str">
            <v>+1 (650) 799-2315</v>
          </cell>
          <cell r="E599" t="str">
            <v>2 Village Plaza</v>
          </cell>
          <cell r="F599" t="str">
            <v>Pasadena</v>
          </cell>
          <cell r="G599" t="str">
            <v>United States</v>
          </cell>
          <cell r="H599">
            <v>91186</v>
          </cell>
          <cell r="I599" t="str">
            <v>Yes</v>
          </cell>
        </row>
        <row r="600">
          <cell r="A600" t="str">
            <v>66308-13503-KD</v>
          </cell>
          <cell r="B600" t="str">
            <v>Krissie Hammett</v>
          </cell>
          <cell r="C600" t="str">
            <v>khammettgm@dmoz.org</v>
          </cell>
          <cell r="D600" t="str">
            <v>+1 (415) 825-4799</v>
          </cell>
          <cell r="E600" t="str">
            <v>798 Grover Lane</v>
          </cell>
          <cell r="F600" t="str">
            <v>San Francisco</v>
          </cell>
          <cell r="G600" t="str">
            <v>United States</v>
          </cell>
          <cell r="H600">
            <v>94159</v>
          </cell>
          <cell r="I600" t="str">
            <v>Yes</v>
          </cell>
        </row>
        <row r="601">
          <cell r="A601" t="str">
            <v>82458-87830-JE</v>
          </cell>
          <cell r="B601" t="str">
            <v>Alisha Hulburt</v>
          </cell>
          <cell r="C601" t="str">
            <v>ahulburtgn@fda.gov</v>
          </cell>
          <cell r="E601" t="str">
            <v>7997 Artisan Crossing</v>
          </cell>
          <cell r="F601" t="str">
            <v>Shreveport</v>
          </cell>
          <cell r="G601" t="str">
            <v>United States</v>
          </cell>
          <cell r="H601">
            <v>71137</v>
          </cell>
          <cell r="I601" t="str">
            <v>Yes</v>
          </cell>
        </row>
        <row r="602">
          <cell r="A602" t="str">
            <v>41611-34336-WT</v>
          </cell>
          <cell r="B602" t="str">
            <v>Peyter Lauritzen</v>
          </cell>
          <cell r="C602" t="str">
            <v>plauritzengo@photobucket.com</v>
          </cell>
          <cell r="D602" t="str">
            <v>+1 (215) 308-0788</v>
          </cell>
          <cell r="E602" t="str">
            <v>833 Monument Circle</v>
          </cell>
          <cell r="F602" t="str">
            <v>Philadelphia</v>
          </cell>
          <cell r="G602" t="str">
            <v>United States</v>
          </cell>
          <cell r="H602">
            <v>19141</v>
          </cell>
          <cell r="I602" t="str">
            <v>No</v>
          </cell>
        </row>
        <row r="603">
          <cell r="A603" t="str">
            <v>70089-27418-UJ</v>
          </cell>
          <cell r="B603" t="str">
            <v>Aurelia Burgwin</v>
          </cell>
          <cell r="C603" t="str">
            <v>aburgwingp@redcross.org</v>
          </cell>
          <cell r="D603" t="str">
            <v>+1 (314) 407-3962</v>
          </cell>
          <cell r="E603" t="str">
            <v>0 Amoth Alley</v>
          </cell>
          <cell r="F603" t="str">
            <v>Migrate</v>
          </cell>
          <cell r="G603" t="str">
            <v>United States</v>
          </cell>
          <cell r="H603">
            <v>41905</v>
          </cell>
          <cell r="I603" t="str">
            <v>Yes</v>
          </cell>
        </row>
        <row r="604">
          <cell r="A604" t="str">
            <v>99978-56910-BN</v>
          </cell>
          <cell r="B604" t="str">
            <v>Emalee Rolin</v>
          </cell>
          <cell r="C604" t="str">
            <v>erolingq@google.fr</v>
          </cell>
          <cell r="D604" t="str">
            <v>+1 (419) 597-8743</v>
          </cell>
          <cell r="E604" t="str">
            <v>2 Merry Center</v>
          </cell>
          <cell r="F604" t="str">
            <v>Toledo</v>
          </cell>
          <cell r="G604" t="str">
            <v>United States</v>
          </cell>
          <cell r="H604">
            <v>43666</v>
          </cell>
          <cell r="I604" t="str">
            <v>Yes</v>
          </cell>
        </row>
        <row r="605">
          <cell r="A605" t="str">
            <v>09668-23340-IC</v>
          </cell>
          <cell r="B605" t="str">
            <v>Donavon Fowle</v>
          </cell>
          <cell r="C605" t="str">
            <v>dfowlegr@epa.gov</v>
          </cell>
          <cell r="E605" t="str">
            <v>1 Mockingbird Trail</v>
          </cell>
          <cell r="F605" t="str">
            <v>Colorado Springs</v>
          </cell>
          <cell r="G605" t="str">
            <v>United States</v>
          </cell>
          <cell r="H605">
            <v>80945</v>
          </cell>
          <cell r="I605" t="str">
            <v>No</v>
          </cell>
        </row>
        <row r="606">
          <cell r="A606" t="str">
            <v>39457-62611-YK</v>
          </cell>
          <cell r="B606" t="str">
            <v>Jorge Bettison</v>
          </cell>
          <cell r="D606" t="str">
            <v>+353 (782) 457-9198</v>
          </cell>
          <cell r="E606" t="str">
            <v>3336 Lien Plaza</v>
          </cell>
          <cell r="F606" t="str">
            <v>Longwood</v>
          </cell>
          <cell r="G606" t="str">
            <v>Ireland</v>
          </cell>
          <cell r="H606" t="str">
            <v>D02</v>
          </cell>
          <cell r="I606" t="str">
            <v>No</v>
          </cell>
        </row>
        <row r="607">
          <cell r="A607" t="str">
            <v>90985-89807-RW</v>
          </cell>
          <cell r="B607" t="str">
            <v>Wang Powlesland</v>
          </cell>
          <cell r="C607" t="str">
            <v>wpowleslandgt@soundcloud.com</v>
          </cell>
          <cell r="D607" t="str">
            <v>+1 (412) 453-4798</v>
          </cell>
          <cell r="E607" t="str">
            <v>2 Novick Junction</v>
          </cell>
          <cell r="F607" t="str">
            <v>Pittsburgh</v>
          </cell>
          <cell r="G607" t="str">
            <v>United States</v>
          </cell>
          <cell r="H607">
            <v>15274</v>
          </cell>
          <cell r="I607" t="str">
            <v>Yes</v>
          </cell>
        </row>
        <row r="608">
          <cell r="A608" t="str">
            <v>73171-33001-FC</v>
          </cell>
          <cell r="B608" t="str">
            <v>Brendin Peattie</v>
          </cell>
          <cell r="C608" t="str">
            <v>bpeattiegu@imgur.com</v>
          </cell>
          <cell r="D608" t="str">
            <v>+1 (954) 385-1889</v>
          </cell>
          <cell r="E608" t="str">
            <v>4135 Burrows Court</v>
          </cell>
          <cell r="F608" t="str">
            <v>West Palm Beach</v>
          </cell>
          <cell r="G608" t="str">
            <v>United States</v>
          </cell>
          <cell r="H608">
            <v>33411</v>
          </cell>
          <cell r="I608" t="str">
            <v>No</v>
          </cell>
        </row>
        <row r="609">
          <cell r="A609" t="str">
            <v>17816-67941-ZS</v>
          </cell>
          <cell r="B609" t="str">
            <v>Laurence Ellingham</v>
          </cell>
          <cell r="C609" t="str">
            <v>lellinghamgv@sciencedaily.com</v>
          </cell>
          <cell r="D609" t="str">
            <v>+1 (318) 670-8027</v>
          </cell>
          <cell r="E609" t="str">
            <v>4286 Kingsford Crossing</v>
          </cell>
          <cell r="F609" t="str">
            <v>Shreveport</v>
          </cell>
          <cell r="G609" t="str">
            <v>United States</v>
          </cell>
          <cell r="H609">
            <v>71115</v>
          </cell>
          <cell r="I609" t="str">
            <v>Yes</v>
          </cell>
        </row>
        <row r="610">
          <cell r="A610" t="str">
            <v>90816-65619-LM</v>
          </cell>
          <cell r="B610" t="str">
            <v>Billy Neiland</v>
          </cell>
          <cell r="E610" t="str">
            <v>02971 Alpine Court</v>
          </cell>
          <cell r="F610" t="str">
            <v>Cleveland</v>
          </cell>
          <cell r="G610" t="str">
            <v>United States</v>
          </cell>
          <cell r="H610">
            <v>44105</v>
          </cell>
          <cell r="I610" t="str">
            <v>No</v>
          </cell>
        </row>
        <row r="611">
          <cell r="A611" t="str">
            <v>69761-61146-KD</v>
          </cell>
          <cell r="B611" t="str">
            <v>Ancell Fendt</v>
          </cell>
          <cell r="C611" t="str">
            <v>afendtgx@forbes.com</v>
          </cell>
          <cell r="D611" t="str">
            <v>+1 (414) 811-7606</v>
          </cell>
          <cell r="E611" t="str">
            <v>6 Rutledge Trail</v>
          </cell>
          <cell r="F611" t="str">
            <v>Milwaukee</v>
          </cell>
          <cell r="G611" t="str">
            <v>United States</v>
          </cell>
          <cell r="H611">
            <v>53234</v>
          </cell>
          <cell r="I611" t="str">
            <v>Yes</v>
          </cell>
        </row>
        <row r="612">
          <cell r="A612" t="str">
            <v>24040-20817-QB</v>
          </cell>
          <cell r="B612" t="str">
            <v>Angelia Cleyburn</v>
          </cell>
          <cell r="C612" t="str">
            <v>acleyburngy@lycos.com</v>
          </cell>
          <cell r="D612" t="str">
            <v>+1 (754) 355-3802</v>
          </cell>
          <cell r="E612" t="str">
            <v>45127 Melvin Avenue</v>
          </cell>
          <cell r="F612" t="str">
            <v>Fort Lauderdale</v>
          </cell>
          <cell r="G612" t="str">
            <v>United States</v>
          </cell>
          <cell r="H612">
            <v>33345</v>
          </cell>
          <cell r="I612" t="str">
            <v>No</v>
          </cell>
        </row>
        <row r="613">
          <cell r="A613" t="str">
            <v>19524-21432-XP</v>
          </cell>
          <cell r="B613" t="str">
            <v>Temple Castiglione</v>
          </cell>
          <cell r="C613" t="str">
            <v>tcastiglionegz@xing.com</v>
          </cell>
          <cell r="D613" t="str">
            <v>+1 (318) 820-6128</v>
          </cell>
          <cell r="E613" t="str">
            <v>0915 Novick Avenue</v>
          </cell>
          <cell r="F613" t="str">
            <v>Shreveport</v>
          </cell>
          <cell r="G613" t="str">
            <v>United States</v>
          </cell>
          <cell r="H613">
            <v>71105</v>
          </cell>
          <cell r="I613" t="str">
            <v>No</v>
          </cell>
        </row>
        <row r="614">
          <cell r="A614" t="str">
            <v>14398-43114-RV</v>
          </cell>
          <cell r="B614" t="str">
            <v>Betti Lacasa</v>
          </cell>
          <cell r="D614" t="str">
            <v>+353 (930) 704-1778</v>
          </cell>
          <cell r="E614" t="str">
            <v>4 Lindbergh Trail</v>
          </cell>
          <cell r="F614" t="str">
            <v>Beaumont</v>
          </cell>
          <cell r="G614" t="str">
            <v>Ireland</v>
          </cell>
          <cell r="H614" t="str">
            <v>D17</v>
          </cell>
          <cell r="I614" t="str">
            <v>No</v>
          </cell>
        </row>
        <row r="615">
          <cell r="A615" t="str">
            <v>41486-52502-QQ</v>
          </cell>
          <cell r="B615" t="str">
            <v>Gunilla Lynch</v>
          </cell>
          <cell r="D615" t="str">
            <v>+1 (916) 626-5223</v>
          </cell>
          <cell r="E615" t="str">
            <v>9945 Eagan Circle</v>
          </cell>
          <cell r="F615" t="str">
            <v>Sacramento</v>
          </cell>
          <cell r="G615" t="str">
            <v>United States</v>
          </cell>
          <cell r="H615">
            <v>94207</v>
          </cell>
          <cell r="I615" t="str">
            <v>No</v>
          </cell>
        </row>
        <row r="616">
          <cell r="A616" t="str">
            <v>62762-19458-UY</v>
          </cell>
          <cell r="B616" t="str">
            <v>Vita Pummery</v>
          </cell>
          <cell r="D616" t="str">
            <v>+1 (615) 549-8774</v>
          </cell>
          <cell r="E616" t="str">
            <v>999 Sachtjen Avenue</v>
          </cell>
          <cell r="F616" t="str">
            <v>Nashville</v>
          </cell>
          <cell r="G616" t="str">
            <v>United States</v>
          </cell>
          <cell r="H616">
            <v>37240</v>
          </cell>
          <cell r="I616" t="str">
            <v>No</v>
          </cell>
        </row>
        <row r="617">
          <cell r="A617" t="str">
            <v>20236-64364-QL</v>
          </cell>
          <cell r="B617" t="str">
            <v>Shay Couronne</v>
          </cell>
          <cell r="C617" t="str">
            <v>scouronneh3@mozilla.org</v>
          </cell>
          <cell r="D617" t="str">
            <v>+1 (701) 894-8081</v>
          </cell>
          <cell r="E617" t="str">
            <v>67 David Lane</v>
          </cell>
          <cell r="F617" t="str">
            <v>Fargo</v>
          </cell>
          <cell r="G617" t="str">
            <v>United States</v>
          </cell>
          <cell r="H617">
            <v>58122</v>
          </cell>
          <cell r="I617" t="str">
            <v>Yes</v>
          </cell>
        </row>
        <row r="618">
          <cell r="A618" t="str">
            <v>29102-40100-TZ</v>
          </cell>
          <cell r="B618" t="str">
            <v>Linus Flippelli</v>
          </cell>
          <cell r="C618" t="str">
            <v>lflippellih4@github.io</v>
          </cell>
          <cell r="D618" t="str">
            <v>+44 (200) 860-6521</v>
          </cell>
          <cell r="E618" t="str">
            <v>3657 International Terrace</v>
          </cell>
          <cell r="F618" t="str">
            <v>Middleton</v>
          </cell>
          <cell r="G618" t="str">
            <v>United Kingdom</v>
          </cell>
          <cell r="H618" t="str">
            <v>LE16</v>
          </cell>
          <cell r="I618" t="str">
            <v>No</v>
          </cell>
        </row>
        <row r="619">
          <cell r="A619" t="str">
            <v>09171-42203-EB</v>
          </cell>
          <cell r="B619" t="str">
            <v>Rachelle Elizabeth</v>
          </cell>
          <cell r="C619" t="str">
            <v>relizabethh5@live.com</v>
          </cell>
          <cell r="D619" t="str">
            <v>+1 (918) 203-3263</v>
          </cell>
          <cell r="E619" t="str">
            <v>2668 Dixon Plaza</v>
          </cell>
          <cell r="F619" t="str">
            <v>Tulsa</v>
          </cell>
          <cell r="G619" t="str">
            <v>United States</v>
          </cell>
          <cell r="H619">
            <v>74184</v>
          </cell>
          <cell r="I619" t="str">
            <v>No</v>
          </cell>
        </row>
        <row r="620">
          <cell r="A620" t="str">
            <v>29060-75856-UI</v>
          </cell>
          <cell r="B620" t="str">
            <v>Innis Renhard</v>
          </cell>
          <cell r="C620" t="str">
            <v>irenhardh6@i2i.jp</v>
          </cell>
          <cell r="D620" t="str">
            <v>+1 (646) 225-6560</v>
          </cell>
          <cell r="E620" t="str">
            <v>73184 Fieldstone Junction</v>
          </cell>
          <cell r="F620" t="str">
            <v>New York City</v>
          </cell>
          <cell r="G620" t="str">
            <v>United States</v>
          </cell>
          <cell r="H620">
            <v>10045</v>
          </cell>
          <cell r="I620" t="str">
            <v>Yes</v>
          </cell>
        </row>
        <row r="621">
          <cell r="A621" t="str">
            <v>17088-16989-PL</v>
          </cell>
          <cell r="B621" t="str">
            <v>Winne Roche</v>
          </cell>
          <cell r="C621" t="str">
            <v>wrocheh7@xinhuanet.com</v>
          </cell>
          <cell r="D621" t="str">
            <v>+1 (317) 439-5584</v>
          </cell>
          <cell r="E621" t="str">
            <v>378 Scofield Place</v>
          </cell>
          <cell r="F621" t="str">
            <v>Seminole</v>
          </cell>
          <cell r="G621" t="str">
            <v>United States</v>
          </cell>
          <cell r="H621">
            <v>34642</v>
          </cell>
          <cell r="I621" t="str">
            <v>Yes</v>
          </cell>
        </row>
        <row r="622">
          <cell r="A622" t="str">
            <v>94022-69223-DP</v>
          </cell>
          <cell r="B622" t="str">
            <v>Josy Bus</v>
          </cell>
          <cell r="C622" t="str">
            <v>jbush8@guardian.co.uk</v>
          </cell>
          <cell r="D622" t="str">
            <v>+353 (439) 947-1816</v>
          </cell>
          <cell r="E622" t="str">
            <v>548 Melvin Pass</v>
          </cell>
          <cell r="F622" t="str">
            <v>Monasterevin</v>
          </cell>
          <cell r="G622" t="str">
            <v>Ireland</v>
          </cell>
          <cell r="H622" t="str">
            <v>W34</v>
          </cell>
          <cell r="I622" t="str">
            <v>No</v>
          </cell>
        </row>
        <row r="623">
          <cell r="A623" t="str">
            <v>13324-78688-MI</v>
          </cell>
          <cell r="B623" t="str">
            <v>Cordy Odgaard</v>
          </cell>
          <cell r="C623" t="str">
            <v>codgaardh9@nsw.gov.au</v>
          </cell>
          <cell r="D623" t="str">
            <v>+1 (503) 203-1484</v>
          </cell>
          <cell r="E623" t="str">
            <v>5 Florence Court</v>
          </cell>
          <cell r="F623" t="str">
            <v>Portland</v>
          </cell>
          <cell r="G623" t="str">
            <v>United States</v>
          </cell>
          <cell r="H623">
            <v>97296</v>
          </cell>
          <cell r="I623" t="str">
            <v>No</v>
          </cell>
        </row>
        <row r="624">
          <cell r="A624" t="str">
            <v>73799-04749-BM</v>
          </cell>
          <cell r="B624" t="str">
            <v>Bertine Byrd</v>
          </cell>
          <cell r="C624" t="str">
            <v>bbyrdha@4shared.com</v>
          </cell>
          <cell r="E624" t="str">
            <v>3482 Morning Circle</v>
          </cell>
          <cell r="F624" t="str">
            <v>Las Vegas</v>
          </cell>
          <cell r="G624" t="str">
            <v>United States</v>
          </cell>
          <cell r="H624">
            <v>89115</v>
          </cell>
          <cell r="I624" t="str">
            <v>No</v>
          </cell>
        </row>
        <row r="625">
          <cell r="A625" t="str">
            <v>01927-46702-YT</v>
          </cell>
          <cell r="B625" t="str">
            <v>Nelie Garnson</v>
          </cell>
          <cell r="D625" t="str">
            <v>+44 (141) 640-7113</v>
          </cell>
          <cell r="E625" t="str">
            <v>821 Annamark Park</v>
          </cell>
          <cell r="F625" t="str">
            <v>Merton</v>
          </cell>
          <cell r="G625" t="str">
            <v>United Kingdom</v>
          </cell>
          <cell r="H625" t="str">
            <v>SW19</v>
          </cell>
          <cell r="I625" t="str">
            <v>No</v>
          </cell>
        </row>
        <row r="626">
          <cell r="A626" t="str">
            <v>80467-17137-TO</v>
          </cell>
          <cell r="B626" t="str">
            <v>Dianne Chardin</v>
          </cell>
          <cell r="C626" t="str">
            <v>dchardinhc@nhs.uk</v>
          </cell>
          <cell r="E626" t="str">
            <v>6495 Warrior Point</v>
          </cell>
          <cell r="F626" t="str">
            <v>Ballybofey</v>
          </cell>
          <cell r="G626" t="str">
            <v>Ireland</v>
          </cell>
          <cell r="H626" t="str">
            <v>V23</v>
          </cell>
          <cell r="I626" t="str">
            <v>Yes</v>
          </cell>
        </row>
        <row r="627">
          <cell r="A627" t="str">
            <v>14640-87215-BK</v>
          </cell>
          <cell r="B627" t="str">
            <v>Hailee Radbone</v>
          </cell>
          <cell r="C627" t="str">
            <v>hradbonehd@newsvine.com</v>
          </cell>
          <cell r="D627" t="str">
            <v>+1 (415) 968-9559</v>
          </cell>
          <cell r="E627" t="str">
            <v>265 Maple Parkway</v>
          </cell>
          <cell r="F627" t="str">
            <v>San Francisco</v>
          </cell>
          <cell r="G627" t="str">
            <v>United States</v>
          </cell>
          <cell r="H627">
            <v>94159</v>
          </cell>
          <cell r="I627" t="str">
            <v>No</v>
          </cell>
        </row>
        <row r="628">
          <cell r="A628" t="str">
            <v>94447-35885-HK</v>
          </cell>
          <cell r="B628" t="str">
            <v>Wallis Bernth</v>
          </cell>
          <cell r="C628" t="str">
            <v>wbernthhe@miitbeian.gov.cn</v>
          </cell>
          <cell r="D628" t="str">
            <v>+1 (412) 597-3861</v>
          </cell>
          <cell r="E628" t="str">
            <v>5 Ramsey Plaza</v>
          </cell>
          <cell r="F628" t="str">
            <v>Pittsburgh</v>
          </cell>
          <cell r="G628" t="str">
            <v>United States</v>
          </cell>
          <cell r="H628">
            <v>15274</v>
          </cell>
          <cell r="I628" t="str">
            <v>No</v>
          </cell>
        </row>
        <row r="629">
          <cell r="A629" t="str">
            <v>71034-49694-CS</v>
          </cell>
          <cell r="B629" t="str">
            <v>Byron Acarson</v>
          </cell>
          <cell r="C629" t="str">
            <v>bacarsonhf@cnn.com</v>
          </cell>
          <cell r="D629" t="str">
            <v>+1 (713) 418-6385</v>
          </cell>
          <cell r="E629" t="str">
            <v>0 Bay Center</v>
          </cell>
          <cell r="F629" t="str">
            <v>Houston</v>
          </cell>
          <cell r="G629" t="str">
            <v>United States</v>
          </cell>
          <cell r="H629">
            <v>77281</v>
          </cell>
          <cell r="I629" t="str">
            <v>Yes</v>
          </cell>
        </row>
        <row r="630">
          <cell r="A630" t="str">
            <v>00445-42781-KX</v>
          </cell>
          <cell r="B630" t="str">
            <v>Faunie Brigham</v>
          </cell>
          <cell r="C630" t="str">
            <v>fbrighamhg@blog.com</v>
          </cell>
          <cell r="D630" t="str">
            <v>+353 (620) 657-2946</v>
          </cell>
          <cell r="E630" t="str">
            <v>7246 Green Pass</v>
          </cell>
          <cell r="F630" t="str">
            <v>Castlerea</v>
          </cell>
          <cell r="G630" t="str">
            <v>Ireland</v>
          </cell>
          <cell r="H630" t="str">
            <v>F45</v>
          </cell>
          <cell r="I630" t="str">
            <v>Yes</v>
          </cell>
        </row>
        <row r="631">
          <cell r="A631" t="str">
            <v>14756-18321-CL</v>
          </cell>
          <cell r="B631" t="str">
            <v>Linn Alaway</v>
          </cell>
          <cell r="C631" t="str">
            <v>lalawayhh@weather.com</v>
          </cell>
          <cell r="E631" t="str">
            <v>5602 Florence Avenue</v>
          </cell>
          <cell r="F631" t="str">
            <v>Fort Lauderdale</v>
          </cell>
          <cell r="G631" t="str">
            <v>United States</v>
          </cell>
          <cell r="H631">
            <v>33345</v>
          </cell>
          <cell r="I631" t="str">
            <v>No</v>
          </cell>
        </row>
        <row r="632">
          <cell r="A632" t="str">
            <v>37997-75562-PI</v>
          </cell>
          <cell r="B632" t="str">
            <v>Cami Meir</v>
          </cell>
          <cell r="C632" t="str">
            <v>cmeirhi@cnet.com</v>
          </cell>
          <cell r="D632" t="str">
            <v>+1 (817) 618-7085</v>
          </cell>
          <cell r="E632" t="str">
            <v>02 Rutledge Road</v>
          </cell>
          <cell r="F632" t="str">
            <v>Denton</v>
          </cell>
          <cell r="G632" t="str">
            <v>United States</v>
          </cell>
          <cell r="H632">
            <v>76210</v>
          </cell>
          <cell r="I632" t="str">
            <v>No</v>
          </cell>
        </row>
        <row r="633">
          <cell r="A633" t="str">
            <v>69981-85767-RP</v>
          </cell>
          <cell r="B633" t="str">
            <v>Marcie Aingell</v>
          </cell>
          <cell r="C633" t="str">
            <v>maingellhj@nasa.gov</v>
          </cell>
          <cell r="D633" t="str">
            <v>+353 (287) 780-1746</v>
          </cell>
          <cell r="E633" t="str">
            <v>1274 Prairieview Drive</v>
          </cell>
          <cell r="F633" t="str">
            <v>Bagenalstown</v>
          </cell>
          <cell r="G633" t="str">
            <v>Ireland</v>
          </cell>
          <cell r="H633" t="str">
            <v>R21</v>
          </cell>
          <cell r="I633" t="str">
            <v>Yes</v>
          </cell>
        </row>
        <row r="634">
          <cell r="A634" t="str">
            <v>96116-24737-LV</v>
          </cell>
          <cell r="B634" t="str">
            <v>Marjorie Yoxen</v>
          </cell>
          <cell r="C634" t="str">
            <v>myoxenhk@google.com</v>
          </cell>
          <cell r="D634" t="str">
            <v>+1 (213) 241-8051</v>
          </cell>
          <cell r="E634" t="str">
            <v>84 Oak Valley Drive</v>
          </cell>
          <cell r="F634" t="str">
            <v>Los Angeles</v>
          </cell>
          <cell r="G634" t="str">
            <v>United States</v>
          </cell>
          <cell r="H634">
            <v>90005</v>
          </cell>
          <cell r="I634" t="str">
            <v>No</v>
          </cell>
        </row>
        <row r="635">
          <cell r="A635" t="str">
            <v>18684-73088-YL</v>
          </cell>
          <cell r="B635" t="str">
            <v>Gaspar McGavin</v>
          </cell>
          <cell r="C635" t="str">
            <v>gmcgavinhl@histats.com</v>
          </cell>
          <cell r="D635" t="str">
            <v>+1 (570) 745-7589</v>
          </cell>
          <cell r="E635" t="str">
            <v>573 Anhalt Park</v>
          </cell>
          <cell r="F635" t="str">
            <v>Wilkes Barre</v>
          </cell>
          <cell r="G635" t="str">
            <v>United States</v>
          </cell>
          <cell r="H635">
            <v>18706</v>
          </cell>
          <cell r="I635" t="str">
            <v>No</v>
          </cell>
        </row>
        <row r="636">
          <cell r="A636" t="str">
            <v>74671-55639-TU</v>
          </cell>
          <cell r="B636" t="str">
            <v>Lindy Uttermare</v>
          </cell>
          <cell r="C636" t="str">
            <v>luttermarehm@engadget.com</v>
          </cell>
          <cell r="D636" t="str">
            <v>+1 (817) 793-6871</v>
          </cell>
          <cell r="E636" t="str">
            <v>77 Lake View Road</v>
          </cell>
          <cell r="F636" t="str">
            <v>Denton</v>
          </cell>
          <cell r="G636" t="str">
            <v>United States</v>
          </cell>
          <cell r="H636">
            <v>76205</v>
          </cell>
          <cell r="I636" t="str">
            <v>No</v>
          </cell>
        </row>
        <row r="637">
          <cell r="A637" t="str">
            <v>17488-65879-XL</v>
          </cell>
          <cell r="B637" t="str">
            <v>Eal D'Ambrogio</v>
          </cell>
          <cell r="C637" t="str">
            <v>edambrogiohn@techcrunch.com</v>
          </cell>
          <cell r="D637" t="str">
            <v>+1 (816) 196-1729</v>
          </cell>
          <cell r="E637" t="str">
            <v>32 Darwin Court</v>
          </cell>
          <cell r="F637" t="str">
            <v>Lees Summit</v>
          </cell>
          <cell r="G637" t="str">
            <v>United States</v>
          </cell>
          <cell r="H637">
            <v>64082</v>
          </cell>
          <cell r="I637" t="str">
            <v>Yes</v>
          </cell>
        </row>
        <row r="638">
          <cell r="A638" t="str">
            <v>46431-09298-OU</v>
          </cell>
          <cell r="B638" t="str">
            <v>Carolee Winchcombe</v>
          </cell>
          <cell r="C638" t="str">
            <v>cwinchcombeho@jiathis.com</v>
          </cell>
          <cell r="D638" t="str">
            <v>+1 (501) 772-4397</v>
          </cell>
          <cell r="E638" t="str">
            <v>687 Bluestem Point</v>
          </cell>
          <cell r="F638" t="str">
            <v>Little Rock</v>
          </cell>
          <cell r="G638" t="str">
            <v>United States</v>
          </cell>
          <cell r="H638">
            <v>72209</v>
          </cell>
          <cell r="I638" t="str">
            <v>Yes</v>
          </cell>
        </row>
        <row r="639">
          <cell r="A639" t="str">
            <v>60378-26473-FE</v>
          </cell>
          <cell r="B639" t="str">
            <v>Benedikta Paumier</v>
          </cell>
          <cell r="C639" t="str">
            <v>bpaumierhp@umn.edu</v>
          </cell>
          <cell r="D639" t="str">
            <v>+353 (777) 856-8236</v>
          </cell>
          <cell r="E639" t="str">
            <v>319 Carioca Alley</v>
          </cell>
          <cell r="F639" t="str">
            <v>Ballisodare</v>
          </cell>
          <cell r="G639" t="str">
            <v>Ireland</v>
          </cell>
          <cell r="H639" t="str">
            <v>E45</v>
          </cell>
          <cell r="I639" t="str">
            <v>Yes</v>
          </cell>
        </row>
        <row r="640">
          <cell r="A640" t="str">
            <v>34927-68586-ZV</v>
          </cell>
          <cell r="B640" t="str">
            <v>Neville Piatto</v>
          </cell>
          <cell r="D640" t="str">
            <v>+353 (573) 561-9754</v>
          </cell>
          <cell r="E640" t="str">
            <v>118 Vermont Junction</v>
          </cell>
          <cell r="F640" t="str">
            <v>Daingean</v>
          </cell>
          <cell r="G640" t="str">
            <v>Ireland</v>
          </cell>
          <cell r="H640" t="str">
            <v>E91</v>
          </cell>
          <cell r="I640" t="str">
            <v>Yes</v>
          </cell>
        </row>
        <row r="641">
          <cell r="A641" t="str">
            <v>29051-27555-GD</v>
          </cell>
          <cell r="B641" t="str">
            <v>Jeno Capey</v>
          </cell>
          <cell r="C641" t="str">
            <v>jcapeyhr@bravesites.com</v>
          </cell>
          <cell r="D641" t="str">
            <v>+1 (814) 974-7878</v>
          </cell>
          <cell r="E641" t="str">
            <v>9 Evergreen Circle</v>
          </cell>
          <cell r="F641" t="str">
            <v>Erie</v>
          </cell>
          <cell r="G641" t="str">
            <v>United States</v>
          </cell>
          <cell r="H641">
            <v>16534</v>
          </cell>
          <cell r="I641" t="str">
            <v>Yes</v>
          </cell>
        </row>
        <row r="642">
          <cell r="A642" t="str">
            <v>05503-73375-RU</v>
          </cell>
          <cell r="B642" t="str">
            <v>Carmella Bruffell</v>
          </cell>
          <cell r="D642" t="str">
            <v>+44 (138) 190-7521</v>
          </cell>
          <cell r="E642" t="str">
            <v>996 Meadow Valley Point</v>
          </cell>
          <cell r="F642" t="str">
            <v>Newton</v>
          </cell>
          <cell r="G642" t="str">
            <v>United Kingdom</v>
          </cell>
          <cell r="H642" t="str">
            <v>NG34</v>
          </cell>
          <cell r="I642" t="str">
            <v>No</v>
          </cell>
        </row>
        <row r="643">
          <cell r="A643" t="str">
            <v>64918-67725-MN</v>
          </cell>
          <cell r="B643" t="str">
            <v>Yardley Basill</v>
          </cell>
          <cell r="C643" t="str">
            <v>ybasillht@theguardian.com</v>
          </cell>
          <cell r="D643" t="str">
            <v>+1 (412) 297-2806</v>
          </cell>
          <cell r="E643" t="str">
            <v>10675 Loomis Place</v>
          </cell>
          <cell r="F643" t="str">
            <v>Pittsburgh</v>
          </cell>
          <cell r="G643" t="str">
            <v>United States</v>
          </cell>
          <cell r="H643">
            <v>15255</v>
          </cell>
          <cell r="I643" t="str">
            <v>Yes</v>
          </cell>
        </row>
        <row r="644">
          <cell r="A644" t="str">
            <v>85634-61759-ND</v>
          </cell>
          <cell r="B644" t="str">
            <v>Maggy Baistow</v>
          </cell>
          <cell r="C644" t="str">
            <v>mbaistowhu@i2i.jp</v>
          </cell>
          <cell r="D644" t="str">
            <v>+44 (876) 508-3376</v>
          </cell>
          <cell r="E644" t="str">
            <v>9531 Dexter Drive</v>
          </cell>
          <cell r="F644" t="str">
            <v>Ford</v>
          </cell>
          <cell r="G644" t="str">
            <v>United Kingdom</v>
          </cell>
          <cell r="H644" t="str">
            <v>GL54</v>
          </cell>
          <cell r="I644" t="str">
            <v>Yes</v>
          </cell>
        </row>
        <row r="645">
          <cell r="A645" t="str">
            <v>40180-22940-QB</v>
          </cell>
          <cell r="B645" t="str">
            <v>Courtney Pallant</v>
          </cell>
          <cell r="C645" t="str">
            <v>cpallanthv@typepad.com</v>
          </cell>
          <cell r="E645" t="str">
            <v>117 American Ash Crossing</v>
          </cell>
          <cell r="F645" t="str">
            <v>Dallas</v>
          </cell>
          <cell r="G645" t="str">
            <v>United States</v>
          </cell>
          <cell r="H645">
            <v>75260</v>
          </cell>
          <cell r="I645" t="str">
            <v>Yes</v>
          </cell>
        </row>
        <row r="646">
          <cell r="A646" t="str">
            <v>34666-76738-SQ</v>
          </cell>
          <cell r="B646" t="str">
            <v>Marne Mingey</v>
          </cell>
          <cell r="D646" t="str">
            <v>+1 (786) 445-8879</v>
          </cell>
          <cell r="E646" t="str">
            <v>7 South Parkway</v>
          </cell>
          <cell r="F646" t="str">
            <v>Miami</v>
          </cell>
          <cell r="G646" t="str">
            <v>United States</v>
          </cell>
          <cell r="H646">
            <v>33233</v>
          </cell>
          <cell r="I646" t="str">
            <v>No</v>
          </cell>
        </row>
        <row r="647">
          <cell r="A647" t="str">
            <v>98536-88616-FF</v>
          </cell>
          <cell r="B647" t="str">
            <v>Denny O' Ronan</v>
          </cell>
          <cell r="C647" t="str">
            <v>dohx@redcross.org</v>
          </cell>
          <cell r="D647" t="str">
            <v>+1 (325) 276-3690</v>
          </cell>
          <cell r="E647" t="str">
            <v>92 Kingsford Court</v>
          </cell>
          <cell r="F647" t="str">
            <v>San Angelo</v>
          </cell>
          <cell r="G647" t="str">
            <v>United States</v>
          </cell>
          <cell r="H647">
            <v>76905</v>
          </cell>
          <cell r="I647" t="str">
            <v>Yes</v>
          </cell>
        </row>
        <row r="648">
          <cell r="A648" t="str">
            <v>55621-06130-SA</v>
          </cell>
          <cell r="B648" t="str">
            <v>Dottie Rallin</v>
          </cell>
          <cell r="C648" t="str">
            <v>drallinhy@howstuffworks.com</v>
          </cell>
          <cell r="D648" t="str">
            <v>+1 (518) 981-1531</v>
          </cell>
          <cell r="E648" t="str">
            <v>13617 Harbort Lane</v>
          </cell>
          <cell r="F648" t="str">
            <v>Albany</v>
          </cell>
          <cell r="G648" t="str">
            <v>United States</v>
          </cell>
          <cell r="H648">
            <v>12205</v>
          </cell>
          <cell r="I648" t="str">
            <v>Yes</v>
          </cell>
        </row>
        <row r="649">
          <cell r="A649" t="str">
            <v>45666-86771-EH</v>
          </cell>
          <cell r="B649" t="str">
            <v>Ardith Chill</v>
          </cell>
          <cell r="C649" t="str">
            <v>achillhz@epa.gov</v>
          </cell>
          <cell r="D649" t="str">
            <v>+44 (411) 344-1320</v>
          </cell>
          <cell r="E649" t="str">
            <v>677 Bartillon Avenue</v>
          </cell>
          <cell r="F649" t="str">
            <v>Thorpe</v>
          </cell>
          <cell r="G649" t="str">
            <v>United Kingdom</v>
          </cell>
          <cell r="H649" t="str">
            <v>BD23</v>
          </cell>
          <cell r="I649" t="str">
            <v>Yes</v>
          </cell>
        </row>
        <row r="650">
          <cell r="A650" t="str">
            <v>52143-35672-JF</v>
          </cell>
          <cell r="B650" t="str">
            <v>Tuckie Mathonnet</v>
          </cell>
          <cell r="C650" t="str">
            <v>tmathonneti0@google.co.jp</v>
          </cell>
          <cell r="D650" t="str">
            <v>+1 (614) 781-0396</v>
          </cell>
          <cell r="E650" t="str">
            <v>407 Roth Circle</v>
          </cell>
          <cell r="F650" t="str">
            <v>Columbus</v>
          </cell>
          <cell r="G650" t="str">
            <v>United States</v>
          </cell>
          <cell r="H650">
            <v>43240</v>
          </cell>
          <cell r="I650" t="str">
            <v>No</v>
          </cell>
        </row>
        <row r="651">
          <cell r="A651" t="str">
            <v>24689-69376-XX</v>
          </cell>
          <cell r="B651" t="str">
            <v>Charmane Denys</v>
          </cell>
          <cell r="C651" t="str">
            <v>cdenysi1@is.gd</v>
          </cell>
          <cell r="D651" t="str">
            <v>+44 (341) 297-2539</v>
          </cell>
          <cell r="E651" t="str">
            <v>480 Shopko Street</v>
          </cell>
          <cell r="F651" t="str">
            <v>Carlton</v>
          </cell>
          <cell r="G651" t="str">
            <v>United Kingdom</v>
          </cell>
          <cell r="H651" t="str">
            <v>DL8</v>
          </cell>
          <cell r="I651" t="str">
            <v>No</v>
          </cell>
        </row>
        <row r="652">
          <cell r="A652" t="str">
            <v>71891-51101-VQ</v>
          </cell>
          <cell r="B652" t="str">
            <v>Cecily Stebbings</v>
          </cell>
          <cell r="C652" t="str">
            <v>cstebbingsi2@drupal.org</v>
          </cell>
          <cell r="D652" t="str">
            <v>+1 (951) 986-4062</v>
          </cell>
          <cell r="E652" t="str">
            <v>6 Green Ridge Drive</v>
          </cell>
          <cell r="F652" t="str">
            <v>Corona</v>
          </cell>
          <cell r="G652" t="str">
            <v>United States</v>
          </cell>
          <cell r="H652">
            <v>92883</v>
          </cell>
          <cell r="I652" t="str">
            <v>Yes</v>
          </cell>
        </row>
        <row r="653">
          <cell r="A653" t="str">
            <v>71749-05400-CN</v>
          </cell>
          <cell r="B653" t="str">
            <v>Giana Tonnesen</v>
          </cell>
          <cell r="D653" t="str">
            <v>+1 (202) 931-2413</v>
          </cell>
          <cell r="E653" t="str">
            <v>041 Lighthouse Bay Center</v>
          </cell>
          <cell r="F653" t="str">
            <v>Washington</v>
          </cell>
          <cell r="G653" t="str">
            <v>United States</v>
          </cell>
          <cell r="H653">
            <v>20436</v>
          </cell>
          <cell r="I653" t="str">
            <v>No</v>
          </cell>
        </row>
        <row r="654">
          <cell r="A654" t="str">
            <v>64845-00270-NO</v>
          </cell>
          <cell r="B654" t="str">
            <v>Rhetta Zywicki</v>
          </cell>
          <cell r="C654" t="str">
            <v>rzywickii4@ifeng.com</v>
          </cell>
          <cell r="E654" t="str">
            <v>18 Ruskin Plaza</v>
          </cell>
          <cell r="F654" t="str">
            <v>Ballinteer</v>
          </cell>
          <cell r="G654" t="str">
            <v>Ireland</v>
          </cell>
          <cell r="H654" t="str">
            <v>D6W</v>
          </cell>
          <cell r="I654" t="str">
            <v>No</v>
          </cell>
        </row>
        <row r="655">
          <cell r="A655" t="str">
            <v>29851-36402-UX</v>
          </cell>
          <cell r="B655" t="str">
            <v>Almeria Burgett</v>
          </cell>
          <cell r="C655" t="str">
            <v>aburgetti5@moonfruit.com</v>
          </cell>
          <cell r="D655" t="str">
            <v>+1 (419) 372-4746</v>
          </cell>
          <cell r="E655" t="str">
            <v>50879 Reindahl Road</v>
          </cell>
          <cell r="F655" t="str">
            <v>Toledo</v>
          </cell>
          <cell r="G655" t="str">
            <v>United States</v>
          </cell>
          <cell r="H655">
            <v>43610</v>
          </cell>
          <cell r="I655" t="str">
            <v>No</v>
          </cell>
        </row>
        <row r="656">
          <cell r="A656" t="str">
            <v>12190-25421-WM</v>
          </cell>
          <cell r="B656" t="str">
            <v>Marvin Malloy</v>
          </cell>
          <cell r="C656" t="str">
            <v>mmalloyi6@seattletimes.com</v>
          </cell>
          <cell r="D656" t="str">
            <v>+1 (202) 284-7115</v>
          </cell>
          <cell r="E656" t="str">
            <v>2 Ohio Drive</v>
          </cell>
          <cell r="F656" t="str">
            <v>Washington</v>
          </cell>
          <cell r="G656" t="str">
            <v>United States</v>
          </cell>
          <cell r="H656">
            <v>20088</v>
          </cell>
          <cell r="I656" t="str">
            <v>No</v>
          </cell>
        </row>
        <row r="657">
          <cell r="A657" t="str">
            <v>52316-30571-GD</v>
          </cell>
          <cell r="B657" t="str">
            <v>Maxim McParland</v>
          </cell>
          <cell r="C657" t="str">
            <v>mmcparlandi7@w3.org</v>
          </cell>
          <cell r="E657" t="str">
            <v>17 Valley Edge Terrace</v>
          </cell>
          <cell r="F657" t="str">
            <v>Cedar Rapids</v>
          </cell>
          <cell r="G657" t="str">
            <v>United States</v>
          </cell>
          <cell r="H657">
            <v>52405</v>
          </cell>
          <cell r="I657" t="str">
            <v>Yes</v>
          </cell>
        </row>
        <row r="658">
          <cell r="A658" t="str">
            <v>23243-92649-RY</v>
          </cell>
          <cell r="B658" t="str">
            <v>Sylas Jennaroy</v>
          </cell>
          <cell r="C658" t="str">
            <v>sjennaroyi8@purevolume.com</v>
          </cell>
          <cell r="E658" t="str">
            <v>22 South Court</v>
          </cell>
          <cell r="F658" t="str">
            <v>Aurora</v>
          </cell>
          <cell r="G658" t="str">
            <v>United States</v>
          </cell>
          <cell r="H658">
            <v>80045</v>
          </cell>
          <cell r="I658" t="str">
            <v>No</v>
          </cell>
        </row>
        <row r="659">
          <cell r="A659" t="str">
            <v>39528-19971-OR</v>
          </cell>
          <cell r="B659" t="str">
            <v>Wren Place</v>
          </cell>
          <cell r="C659" t="str">
            <v>wplacei9@wsj.com</v>
          </cell>
          <cell r="D659" t="str">
            <v>+1 (408) 106-8863</v>
          </cell>
          <cell r="E659" t="str">
            <v>9 Artisan Avenue</v>
          </cell>
          <cell r="F659" t="str">
            <v>Sunnyvale</v>
          </cell>
          <cell r="G659" t="str">
            <v>United States</v>
          </cell>
          <cell r="H659">
            <v>94089</v>
          </cell>
          <cell r="I659" t="str">
            <v>Yes</v>
          </cell>
        </row>
        <row r="660">
          <cell r="A660" t="str">
            <v>10248-53779-DT</v>
          </cell>
          <cell r="B660" t="str">
            <v>Hewitt Jarret</v>
          </cell>
          <cell r="E660" t="str">
            <v>88563 Veith Circle</v>
          </cell>
          <cell r="F660" t="str">
            <v>Manorhamilton</v>
          </cell>
          <cell r="G660" t="str">
            <v>Ireland</v>
          </cell>
          <cell r="H660" t="str">
            <v>H16</v>
          </cell>
          <cell r="I660" t="str">
            <v>Yes</v>
          </cell>
        </row>
        <row r="661">
          <cell r="A661" t="str">
            <v>93417-12322-YB</v>
          </cell>
          <cell r="B661" t="str">
            <v>Dollie Gadsden</v>
          </cell>
          <cell r="C661" t="str">
            <v>dgadsdenib@google.com.hk</v>
          </cell>
          <cell r="D661" t="str">
            <v>+353 (847) 447-7835</v>
          </cell>
          <cell r="E661" t="str">
            <v>70 Ludington Terrace</v>
          </cell>
          <cell r="F661" t="str">
            <v>Cluain Meala</v>
          </cell>
          <cell r="G661" t="str">
            <v>Ireland</v>
          </cell>
          <cell r="H661" t="str">
            <v>E91</v>
          </cell>
          <cell r="I661" t="str">
            <v>Yes</v>
          </cell>
        </row>
        <row r="662">
          <cell r="A662" t="str">
            <v>56891-86662-UY</v>
          </cell>
          <cell r="B662" t="str">
            <v>Val Wakelin</v>
          </cell>
          <cell r="C662" t="str">
            <v>vwakelinic@unesco.org</v>
          </cell>
          <cell r="D662" t="str">
            <v>+1 (517) 163-7746</v>
          </cell>
          <cell r="E662" t="str">
            <v>2003 Muir Lane</v>
          </cell>
          <cell r="F662" t="str">
            <v>Lansing</v>
          </cell>
          <cell r="G662" t="str">
            <v>United States</v>
          </cell>
          <cell r="H662">
            <v>48930</v>
          </cell>
          <cell r="I662" t="str">
            <v>No</v>
          </cell>
        </row>
        <row r="663">
          <cell r="A663" t="str">
            <v>40414-26467-VE</v>
          </cell>
          <cell r="B663" t="str">
            <v>Annie Campsall</v>
          </cell>
          <cell r="C663" t="str">
            <v>acampsallid@zimbio.com</v>
          </cell>
          <cell r="D663" t="str">
            <v>+1 (713) 339-5547</v>
          </cell>
          <cell r="E663" t="str">
            <v>52003 Burning Wood Plaza</v>
          </cell>
          <cell r="F663" t="str">
            <v>Houston</v>
          </cell>
          <cell r="G663" t="str">
            <v>United States</v>
          </cell>
          <cell r="H663">
            <v>77281</v>
          </cell>
          <cell r="I663" t="str">
            <v>Yes</v>
          </cell>
        </row>
        <row r="664">
          <cell r="A664" t="str">
            <v>87858-83734-RK</v>
          </cell>
          <cell r="B664" t="str">
            <v>Shermy Moseby</v>
          </cell>
          <cell r="C664" t="str">
            <v>smosebyie@stanford.edu</v>
          </cell>
          <cell r="E664" t="str">
            <v>463 Mandrake Terrace</v>
          </cell>
          <cell r="F664" t="str">
            <v>Murfreesboro</v>
          </cell>
          <cell r="G664" t="str">
            <v>United States</v>
          </cell>
          <cell r="H664">
            <v>37131</v>
          </cell>
          <cell r="I664" t="str">
            <v>No</v>
          </cell>
        </row>
        <row r="665">
          <cell r="A665" t="str">
            <v>46818-20198-GB</v>
          </cell>
          <cell r="B665" t="str">
            <v>Corrie Wass</v>
          </cell>
          <cell r="C665" t="str">
            <v>cwassif@prweb.com</v>
          </cell>
          <cell r="E665" t="str">
            <v>9978 Monterey Crossing</v>
          </cell>
          <cell r="F665" t="str">
            <v>Charleston</v>
          </cell>
          <cell r="G665" t="str">
            <v>United States</v>
          </cell>
          <cell r="H665">
            <v>25362</v>
          </cell>
          <cell r="I665" t="str">
            <v>No</v>
          </cell>
        </row>
        <row r="666">
          <cell r="A666" t="str">
            <v>29808-89098-XD</v>
          </cell>
          <cell r="B666" t="str">
            <v>Ira Sjostrom</v>
          </cell>
          <cell r="C666" t="str">
            <v>isjostromig@pbs.org</v>
          </cell>
          <cell r="D666" t="str">
            <v>+1 (814) 359-4610</v>
          </cell>
          <cell r="E666" t="str">
            <v>68502 Stoughton Court</v>
          </cell>
          <cell r="F666" t="str">
            <v>Erie</v>
          </cell>
          <cell r="G666" t="str">
            <v>United States</v>
          </cell>
          <cell r="H666">
            <v>16534</v>
          </cell>
          <cell r="I666" t="str">
            <v>No</v>
          </cell>
        </row>
        <row r="667">
          <cell r="A667" t="str">
            <v>71845-97930-ME</v>
          </cell>
          <cell r="B667" t="str">
            <v>Helli Load</v>
          </cell>
          <cell r="C667" t="str">
            <v>hloadih@weibo.com</v>
          </cell>
          <cell r="D667" t="str">
            <v>+1 (601) 387-9366</v>
          </cell>
          <cell r="E667" t="str">
            <v>7062 Hollow Ridge Alley</v>
          </cell>
          <cell r="F667" t="str">
            <v>Jackson</v>
          </cell>
          <cell r="G667" t="str">
            <v>United States</v>
          </cell>
          <cell r="H667">
            <v>39204</v>
          </cell>
          <cell r="I667" t="str">
            <v>Yes</v>
          </cell>
        </row>
        <row r="668">
          <cell r="A668" t="str">
            <v>78786-77449-RQ</v>
          </cell>
          <cell r="B668" t="str">
            <v>Jermaine Branchett</v>
          </cell>
          <cell r="C668" t="str">
            <v>jbranchettii@bravesites.com</v>
          </cell>
          <cell r="D668" t="str">
            <v>+1 (806) 376-6144</v>
          </cell>
          <cell r="E668" t="str">
            <v>55287 Atwood Alley</v>
          </cell>
          <cell r="F668" t="str">
            <v>Lubbock</v>
          </cell>
          <cell r="G668" t="str">
            <v>United States</v>
          </cell>
          <cell r="H668">
            <v>79491</v>
          </cell>
          <cell r="I668" t="str">
            <v>No</v>
          </cell>
        </row>
        <row r="669">
          <cell r="A669" t="str">
            <v>27878-42224-QF</v>
          </cell>
          <cell r="B669" t="str">
            <v>Nissie Rudland</v>
          </cell>
          <cell r="C669" t="str">
            <v>nrudlandij@blogs.com</v>
          </cell>
          <cell r="D669" t="str">
            <v>+353 (445) 224-6111</v>
          </cell>
          <cell r="E669" t="str">
            <v>60371 Doe Crossing Place</v>
          </cell>
          <cell r="F669" t="str">
            <v>Gorey</v>
          </cell>
          <cell r="G669" t="str">
            <v>Ireland</v>
          </cell>
          <cell r="H669" t="str">
            <v>Y25</v>
          </cell>
          <cell r="I669" t="str">
            <v>No</v>
          </cell>
        </row>
        <row r="670">
          <cell r="A670" t="str">
            <v>32743-78448-KT</v>
          </cell>
          <cell r="B670" t="str">
            <v>Janella Millett</v>
          </cell>
          <cell r="C670" t="str">
            <v>jmillettik@addtoany.com</v>
          </cell>
          <cell r="D670" t="str">
            <v>+1 (919) 302-3228</v>
          </cell>
          <cell r="E670" t="str">
            <v>3 Novick Alley</v>
          </cell>
          <cell r="F670" t="str">
            <v>Durham</v>
          </cell>
          <cell r="G670" t="str">
            <v>United States</v>
          </cell>
          <cell r="H670">
            <v>27717</v>
          </cell>
          <cell r="I670" t="str">
            <v>Yes</v>
          </cell>
        </row>
        <row r="671">
          <cell r="A671" t="str">
            <v>25331-13794-SB</v>
          </cell>
          <cell r="B671" t="str">
            <v>Ferdie Tourry</v>
          </cell>
          <cell r="C671" t="str">
            <v>ftourryil@google.de</v>
          </cell>
          <cell r="D671" t="str">
            <v>+1 (843) 243-1686</v>
          </cell>
          <cell r="E671" t="str">
            <v>9422 Forest Dale Circle</v>
          </cell>
          <cell r="F671" t="str">
            <v>Florence</v>
          </cell>
          <cell r="G671" t="str">
            <v>United States</v>
          </cell>
          <cell r="H671">
            <v>29505</v>
          </cell>
          <cell r="I671" t="str">
            <v>No</v>
          </cell>
        </row>
        <row r="672">
          <cell r="A672" t="str">
            <v>55864-37682-GQ</v>
          </cell>
          <cell r="B672" t="str">
            <v>Cecil Weatherall</v>
          </cell>
          <cell r="C672" t="str">
            <v>cweatherallim@toplist.cz</v>
          </cell>
          <cell r="D672" t="str">
            <v>+1 (315) 335-0182</v>
          </cell>
          <cell r="E672" t="str">
            <v>218 5th Plaza</v>
          </cell>
          <cell r="F672" t="str">
            <v>Syracuse</v>
          </cell>
          <cell r="G672" t="str">
            <v>United States</v>
          </cell>
          <cell r="H672">
            <v>13205</v>
          </cell>
          <cell r="I672" t="str">
            <v>Yes</v>
          </cell>
        </row>
        <row r="673">
          <cell r="A673" t="str">
            <v>97005-25609-CQ</v>
          </cell>
          <cell r="B673" t="str">
            <v>Gale Heindrick</v>
          </cell>
          <cell r="C673" t="str">
            <v>gheindrickin@usda.gov</v>
          </cell>
          <cell r="D673" t="str">
            <v>+1 (229) 111-7292</v>
          </cell>
          <cell r="E673" t="str">
            <v>37 Schiller Place</v>
          </cell>
          <cell r="F673" t="str">
            <v>Lawrenceville</v>
          </cell>
          <cell r="G673" t="str">
            <v>United States</v>
          </cell>
          <cell r="H673">
            <v>30245</v>
          </cell>
          <cell r="I673" t="str">
            <v>No</v>
          </cell>
        </row>
        <row r="674">
          <cell r="A674" t="str">
            <v>94058-95794-IJ</v>
          </cell>
          <cell r="B674" t="str">
            <v>Layne Imason</v>
          </cell>
          <cell r="C674" t="str">
            <v>limasonio@discuz.net</v>
          </cell>
          <cell r="E674" t="str">
            <v>9 Village Green Parkway</v>
          </cell>
          <cell r="F674" t="str">
            <v>Houston</v>
          </cell>
          <cell r="G674" t="str">
            <v>United States</v>
          </cell>
          <cell r="H674">
            <v>77070</v>
          </cell>
          <cell r="I674" t="str">
            <v>Yes</v>
          </cell>
        </row>
        <row r="675">
          <cell r="A675" t="str">
            <v>40214-03678-GU</v>
          </cell>
          <cell r="B675" t="str">
            <v>Hazel Saill</v>
          </cell>
          <cell r="C675" t="str">
            <v>hsaillip@odnoklassniki.ru</v>
          </cell>
          <cell r="D675" t="str">
            <v>+1 (913) 968-8024</v>
          </cell>
          <cell r="E675" t="str">
            <v>3186 Bay Lane</v>
          </cell>
          <cell r="F675" t="str">
            <v>Kansas City</v>
          </cell>
          <cell r="G675" t="str">
            <v>United States</v>
          </cell>
          <cell r="H675">
            <v>66160</v>
          </cell>
          <cell r="I675" t="str">
            <v>Yes</v>
          </cell>
        </row>
        <row r="676">
          <cell r="A676" t="str">
            <v>04921-85445-SL</v>
          </cell>
          <cell r="B676" t="str">
            <v>Hermann Larvor</v>
          </cell>
          <cell r="C676" t="str">
            <v>hlarvoriq@last.fm</v>
          </cell>
          <cell r="D676" t="str">
            <v>+1 (941) 779-2195</v>
          </cell>
          <cell r="E676" t="str">
            <v>65129 Becker Drive</v>
          </cell>
          <cell r="F676" t="str">
            <v>Bradenton</v>
          </cell>
          <cell r="G676" t="str">
            <v>United States</v>
          </cell>
          <cell r="H676">
            <v>34282</v>
          </cell>
          <cell r="I676" t="str">
            <v>Yes</v>
          </cell>
        </row>
        <row r="677">
          <cell r="A677" t="str">
            <v>53386-94266-LJ</v>
          </cell>
          <cell r="B677" t="str">
            <v>Terri Lyford</v>
          </cell>
          <cell r="D677" t="str">
            <v>+1 (610) 942-2790</v>
          </cell>
          <cell r="E677" t="str">
            <v>00 Buell Avenue</v>
          </cell>
          <cell r="F677" t="str">
            <v>Allentown</v>
          </cell>
          <cell r="G677" t="str">
            <v>United States</v>
          </cell>
          <cell r="H677">
            <v>18105</v>
          </cell>
          <cell r="I677" t="str">
            <v>Yes</v>
          </cell>
        </row>
        <row r="678">
          <cell r="A678" t="str">
            <v>49480-85909-DG</v>
          </cell>
          <cell r="B678" t="str">
            <v>Gabey Cogan</v>
          </cell>
          <cell r="D678" t="str">
            <v>+1 (757) 101-9459</v>
          </cell>
          <cell r="E678" t="str">
            <v>05001 Continental Crossing</v>
          </cell>
          <cell r="F678" t="str">
            <v>Hampton</v>
          </cell>
          <cell r="G678" t="str">
            <v>United States</v>
          </cell>
          <cell r="H678">
            <v>23663</v>
          </cell>
          <cell r="I678" t="str">
            <v>No</v>
          </cell>
        </row>
        <row r="679">
          <cell r="A679" t="str">
            <v>18293-78136-MN</v>
          </cell>
          <cell r="B679" t="str">
            <v>Charin Penwarden</v>
          </cell>
          <cell r="C679" t="str">
            <v>cpenwardenit@mlb.com</v>
          </cell>
          <cell r="D679" t="str">
            <v>+353 (765) 345-5590</v>
          </cell>
          <cell r="E679" t="str">
            <v>1 Nobel Terrace</v>
          </cell>
          <cell r="F679" t="str">
            <v>Whitegate</v>
          </cell>
          <cell r="G679" t="str">
            <v>Ireland</v>
          </cell>
          <cell r="H679" t="str">
            <v>D15</v>
          </cell>
          <cell r="I679" t="str">
            <v>No</v>
          </cell>
        </row>
        <row r="680">
          <cell r="A680" t="str">
            <v>84641-67384-TD</v>
          </cell>
          <cell r="B680" t="str">
            <v>Milty Middis</v>
          </cell>
          <cell r="C680" t="str">
            <v>mmiddisiu@dmoz.org</v>
          </cell>
          <cell r="D680" t="str">
            <v>+1 (316) 736-9645</v>
          </cell>
          <cell r="E680" t="str">
            <v>8 Schiller Point</v>
          </cell>
          <cell r="F680" t="str">
            <v>Wichita</v>
          </cell>
          <cell r="G680" t="str">
            <v>United States</v>
          </cell>
          <cell r="H680">
            <v>67260</v>
          </cell>
          <cell r="I680" t="str">
            <v>Yes</v>
          </cell>
        </row>
        <row r="681">
          <cell r="A681" t="str">
            <v>72320-29738-EB</v>
          </cell>
          <cell r="B681" t="str">
            <v>Adrianne Vairow</v>
          </cell>
          <cell r="C681" t="str">
            <v>avairowiv@studiopress.com</v>
          </cell>
          <cell r="D681" t="str">
            <v>+44 (236) 517-2586</v>
          </cell>
          <cell r="E681" t="str">
            <v>73486 Cardinal Terrace</v>
          </cell>
          <cell r="F681" t="str">
            <v>Thorpe</v>
          </cell>
          <cell r="G681" t="str">
            <v>United Kingdom</v>
          </cell>
          <cell r="H681" t="str">
            <v>BD23</v>
          </cell>
          <cell r="I681" t="str">
            <v>No</v>
          </cell>
        </row>
        <row r="682">
          <cell r="A682" t="str">
            <v>47355-97488-XS</v>
          </cell>
          <cell r="B682" t="str">
            <v>Anjanette Goldie</v>
          </cell>
          <cell r="C682" t="str">
            <v>agoldieiw@goo.gl</v>
          </cell>
          <cell r="E682" t="str">
            <v>3729 Susan Drive</v>
          </cell>
          <cell r="F682" t="str">
            <v>Danbury</v>
          </cell>
          <cell r="G682" t="str">
            <v>United States</v>
          </cell>
          <cell r="H682">
            <v>6816</v>
          </cell>
          <cell r="I682" t="str">
            <v>No</v>
          </cell>
        </row>
        <row r="683">
          <cell r="A683" t="str">
            <v>63499-24884-PP</v>
          </cell>
          <cell r="B683" t="str">
            <v>Nicky Ayris</v>
          </cell>
          <cell r="C683" t="str">
            <v>nayrisix@t-online.de</v>
          </cell>
          <cell r="D683" t="str">
            <v>+44 (627) 552-5656</v>
          </cell>
          <cell r="E683" t="str">
            <v>7 Reinke Circle</v>
          </cell>
          <cell r="F683" t="str">
            <v>Kinloch</v>
          </cell>
          <cell r="G683" t="str">
            <v>United Kingdom</v>
          </cell>
          <cell r="H683" t="str">
            <v>PH43</v>
          </cell>
          <cell r="I683" t="str">
            <v>Yes</v>
          </cell>
        </row>
        <row r="684">
          <cell r="A684" t="str">
            <v>39193-51770-FM</v>
          </cell>
          <cell r="B684" t="str">
            <v>Laryssa Benediktovich</v>
          </cell>
          <cell r="C684" t="str">
            <v>lbenediktovichiy@wunderground.com</v>
          </cell>
          <cell r="D684" t="str">
            <v>+1 (904) 330-1211</v>
          </cell>
          <cell r="E684" t="str">
            <v>5 Prairieview Drive</v>
          </cell>
          <cell r="F684" t="str">
            <v>Jacksonville</v>
          </cell>
          <cell r="G684" t="str">
            <v>United States</v>
          </cell>
          <cell r="H684">
            <v>32209</v>
          </cell>
          <cell r="I684" t="str">
            <v>Yes</v>
          </cell>
        </row>
        <row r="685">
          <cell r="A685" t="str">
            <v>61323-91967-GG</v>
          </cell>
          <cell r="B685" t="str">
            <v>Theo Jacobovitz</v>
          </cell>
          <cell r="C685" t="str">
            <v>tjacobovitziz@cbc.ca</v>
          </cell>
          <cell r="D685" t="str">
            <v>+1 (713) 642-2082</v>
          </cell>
          <cell r="E685" t="str">
            <v>21597 Bonner Pass</v>
          </cell>
          <cell r="F685" t="str">
            <v>Houston</v>
          </cell>
          <cell r="G685" t="str">
            <v>United States</v>
          </cell>
          <cell r="H685">
            <v>77299</v>
          </cell>
          <cell r="I685" t="str">
            <v>No</v>
          </cell>
        </row>
        <row r="686">
          <cell r="A686" t="str">
            <v>90123-01967-KS</v>
          </cell>
          <cell r="B686" t="str">
            <v>Becca Ableson</v>
          </cell>
          <cell r="D686" t="str">
            <v>+1 (971) 254-5295</v>
          </cell>
          <cell r="E686" t="str">
            <v>69493 Hanson Place</v>
          </cell>
          <cell r="F686" t="str">
            <v>Portland</v>
          </cell>
          <cell r="G686" t="str">
            <v>United States</v>
          </cell>
          <cell r="H686">
            <v>97255</v>
          </cell>
          <cell r="I686" t="str">
            <v>No</v>
          </cell>
        </row>
        <row r="687">
          <cell r="A687" t="str">
            <v>15958-25089-OS</v>
          </cell>
          <cell r="B687" t="str">
            <v>Jeno Druitt</v>
          </cell>
          <cell r="C687" t="str">
            <v>jdruittj1@feedburner.com</v>
          </cell>
          <cell r="D687" t="str">
            <v>+1 (650) 693-6904</v>
          </cell>
          <cell r="E687" t="str">
            <v>1726 1st Drive</v>
          </cell>
          <cell r="F687" t="str">
            <v>Pasadena</v>
          </cell>
          <cell r="G687" t="str">
            <v>United States</v>
          </cell>
          <cell r="H687">
            <v>91186</v>
          </cell>
          <cell r="I687" t="str">
            <v>Yes</v>
          </cell>
        </row>
        <row r="688">
          <cell r="A688" t="str">
            <v>98430-37820-UV</v>
          </cell>
          <cell r="B688" t="str">
            <v>Deonne Shortall</v>
          </cell>
          <cell r="C688" t="str">
            <v>dshortallj2@wikipedia.org</v>
          </cell>
          <cell r="D688" t="str">
            <v>+1 (714) 917-8665</v>
          </cell>
          <cell r="E688" t="str">
            <v>0 Kropf Lane</v>
          </cell>
          <cell r="F688" t="str">
            <v>Santa Ana</v>
          </cell>
          <cell r="G688" t="str">
            <v>United States</v>
          </cell>
          <cell r="H688">
            <v>92725</v>
          </cell>
          <cell r="I688" t="str">
            <v>Yes</v>
          </cell>
        </row>
        <row r="689">
          <cell r="A689" t="str">
            <v>21798-04171-XC</v>
          </cell>
          <cell r="B689" t="str">
            <v>Wilton Cottier</v>
          </cell>
          <cell r="C689" t="str">
            <v>wcottierj3@cafepress.com</v>
          </cell>
          <cell r="D689" t="str">
            <v>+1 (408) 261-7902</v>
          </cell>
          <cell r="E689" t="str">
            <v>341 Oak Point</v>
          </cell>
          <cell r="F689" t="str">
            <v>San Jose</v>
          </cell>
          <cell r="G689" t="str">
            <v>United States</v>
          </cell>
          <cell r="H689">
            <v>95160</v>
          </cell>
          <cell r="I689" t="str">
            <v>No</v>
          </cell>
        </row>
        <row r="690">
          <cell r="A690" t="str">
            <v>52798-46508-HP</v>
          </cell>
          <cell r="B690" t="str">
            <v>Kevan Grinsted</v>
          </cell>
          <cell r="C690" t="str">
            <v>kgrinstedj4@google.com.br</v>
          </cell>
          <cell r="D690" t="str">
            <v>+353 (773) 225-6216</v>
          </cell>
          <cell r="E690" t="str">
            <v>3 Kennedy Plaza</v>
          </cell>
          <cell r="F690" t="str">
            <v>Tallaght</v>
          </cell>
          <cell r="G690" t="str">
            <v>Ireland</v>
          </cell>
          <cell r="H690" t="str">
            <v>D24</v>
          </cell>
          <cell r="I690" t="str">
            <v>No</v>
          </cell>
        </row>
        <row r="691">
          <cell r="A691" t="str">
            <v>46478-42970-EM</v>
          </cell>
          <cell r="B691" t="str">
            <v>Dionne Skyner</v>
          </cell>
          <cell r="C691" t="str">
            <v>dskynerj5@hubpages.com</v>
          </cell>
          <cell r="D691" t="str">
            <v>+1 (719) 937-4913</v>
          </cell>
          <cell r="E691" t="str">
            <v>39 Kings Junction</v>
          </cell>
          <cell r="F691" t="str">
            <v>Colorado Springs</v>
          </cell>
          <cell r="G691" t="str">
            <v>United States</v>
          </cell>
          <cell r="H691">
            <v>80935</v>
          </cell>
          <cell r="I691" t="str">
            <v>No</v>
          </cell>
        </row>
        <row r="692">
          <cell r="A692" t="str">
            <v>00246-15080-LE</v>
          </cell>
          <cell r="B692" t="str">
            <v>Francesco Dressel</v>
          </cell>
          <cell r="E692" t="str">
            <v>1 Fulton Road</v>
          </cell>
          <cell r="F692" t="str">
            <v>Toledo</v>
          </cell>
          <cell r="G692" t="str">
            <v>United States</v>
          </cell>
          <cell r="H692">
            <v>43605</v>
          </cell>
          <cell r="I692" t="str">
            <v>No</v>
          </cell>
        </row>
        <row r="693">
          <cell r="A693" t="str">
            <v>09357-10966-VA</v>
          </cell>
          <cell r="B693" t="str">
            <v>Paola Normanvill</v>
          </cell>
          <cell r="C693" t="str">
            <v>pnormanvillj7@biblegateway.com</v>
          </cell>
          <cell r="D693" t="str">
            <v>+1 (561) 922-9845</v>
          </cell>
          <cell r="E693" t="str">
            <v>904 Butternut Alley</v>
          </cell>
          <cell r="F693" t="str">
            <v>Boynton Beach</v>
          </cell>
          <cell r="G693" t="str">
            <v>United States</v>
          </cell>
          <cell r="H693">
            <v>33436</v>
          </cell>
          <cell r="I693" t="str">
            <v>Yes</v>
          </cell>
        </row>
        <row r="694">
          <cell r="A694" t="str">
            <v>26295-44907-DK</v>
          </cell>
          <cell r="B694" t="str">
            <v>Ambrosio Weinmann</v>
          </cell>
          <cell r="C694" t="str">
            <v>aweinmannj8@shinystat.com</v>
          </cell>
          <cell r="D694" t="str">
            <v>+1 (513) 966-3308</v>
          </cell>
          <cell r="E694" t="str">
            <v>8 Waywood Alley</v>
          </cell>
          <cell r="F694" t="str">
            <v>Cincinnati</v>
          </cell>
          <cell r="G694" t="str">
            <v>United States</v>
          </cell>
          <cell r="H694">
            <v>45999</v>
          </cell>
          <cell r="I694" t="str">
            <v>No</v>
          </cell>
        </row>
        <row r="695">
          <cell r="A695" t="str">
            <v>95351-96177-QV</v>
          </cell>
          <cell r="B695" t="str">
            <v>Elden Andriessen</v>
          </cell>
          <cell r="C695" t="str">
            <v>eandriessenj9@europa.eu</v>
          </cell>
          <cell r="D695" t="str">
            <v>+1 (314) 307-5250</v>
          </cell>
          <cell r="E695" t="str">
            <v>64390 Sommers Road</v>
          </cell>
          <cell r="F695" t="str">
            <v>Saint Louis</v>
          </cell>
          <cell r="G695" t="str">
            <v>United States</v>
          </cell>
          <cell r="H695">
            <v>63121</v>
          </cell>
          <cell r="I695" t="str">
            <v>Yes</v>
          </cell>
        </row>
        <row r="696">
          <cell r="A696" t="str">
            <v>92204-96636-BS</v>
          </cell>
          <cell r="B696" t="str">
            <v>Roxie Deaconson</v>
          </cell>
          <cell r="C696" t="str">
            <v>rdeaconsonja@archive.org</v>
          </cell>
          <cell r="D696" t="str">
            <v>+1 (914) 524-1161</v>
          </cell>
          <cell r="E696" t="str">
            <v>70166 Marcy Center</v>
          </cell>
          <cell r="F696" t="str">
            <v>Yonkers</v>
          </cell>
          <cell r="G696" t="str">
            <v>United States</v>
          </cell>
          <cell r="H696">
            <v>10705</v>
          </cell>
          <cell r="I696" t="str">
            <v>No</v>
          </cell>
        </row>
        <row r="697">
          <cell r="A697" t="str">
            <v>03010-30348-UA</v>
          </cell>
          <cell r="B697" t="str">
            <v>Davida Caro</v>
          </cell>
          <cell r="C697" t="str">
            <v>dcarojb@twitter.com</v>
          </cell>
          <cell r="D697" t="str">
            <v>+1 (410) 594-3041</v>
          </cell>
          <cell r="E697" t="str">
            <v>476 Hoepker Place</v>
          </cell>
          <cell r="F697" t="str">
            <v>Baltimore</v>
          </cell>
          <cell r="G697" t="str">
            <v>United States</v>
          </cell>
          <cell r="H697">
            <v>21290</v>
          </cell>
          <cell r="I697" t="str">
            <v>Yes</v>
          </cell>
        </row>
        <row r="698">
          <cell r="A698" t="str">
            <v>13441-34686-SW</v>
          </cell>
          <cell r="B698" t="str">
            <v>Johna Bluck</v>
          </cell>
          <cell r="C698" t="str">
            <v>jbluckjc@imageshack.us</v>
          </cell>
          <cell r="D698" t="str">
            <v>+1 (904) 875-3139</v>
          </cell>
          <cell r="E698" t="str">
            <v>8387 Del Sol Drive</v>
          </cell>
          <cell r="F698" t="str">
            <v>Jacksonville</v>
          </cell>
          <cell r="G698" t="str">
            <v>United States</v>
          </cell>
          <cell r="H698">
            <v>32230</v>
          </cell>
          <cell r="I698" t="str">
            <v>No</v>
          </cell>
        </row>
        <row r="699">
          <cell r="A699" t="str">
            <v>96612-41722-VJ</v>
          </cell>
          <cell r="B699" t="str">
            <v>Myrle Dearden</v>
          </cell>
          <cell r="E699" t="str">
            <v>06 Scoville Alley</v>
          </cell>
          <cell r="F699" t="str">
            <v>Bayside</v>
          </cell>
          <cell r="G699" t="str">
            <v>Ireland</v>
          </cell>
          <cell r="H699" t="str">
            <v>D13</v>
          </cell>
          <cell r="I699" t="str">
            <v>No</v>
          </cell>
        </row>
        <row r="700">
          <cell r="A700" t="str">
            <v>94091-86957-HX</v>
          </cell>
          <cell r="B700" t="str">
            <v>Jimmy Dymoke</v>
          </cell>
          <cell r="C700" t="str">
            <v>jdymokeje@prnewswire.com</v>
          </cell>
          <cell r="D700" t="str">
            <v>+353 (390) 459-9269</v>
          </cell>
          <cell r="E700" t="str">
            <v>8424 Milwaukee Court</v>
          </cell>
          <cell r="F700" t="str">
            <v>Beaumont</v>
          </cell>
          <cell r="G700" t="str">
            <v>Ireland</v>
          </cell>
          <cell r="H700" t="str">
            <v>D17</v>
          </cell>
          <cell r="I700" t="str">
            <v>No</v>
          </cell>
        </row>
        <row r="701">
          <cell r="A701" t="str">
            <v>25504-41681-WA</v>
          </cell>
          <cell r="B701" t="str">
            <v>Orland Tadman</v>
          </cell>
          <cell r="C701" t="str">
            <v>otadmanjf@ft.com</v>
          </cell>
          <cell r="D701" t="str">
            <v>+1 (305) 205-3682</v>
          </cell>
          <cell r="E701" t="str">
            <v>94 John Wall Terrace</v>
          </cell>
          <cell r="F701" t="str">
            <v>Miami</v>
          </cell>
          <cell r="G701" t="str">
            <v>United States</v>
          </cell>
          <cell r="H701">
            <v>33196</v>
          </cell>
          <cell r="I701" t="str">
            <v>Yes</v>
          </cell>
        </row>
        <row r="702">
          <cell r="A702" t="str">
            <v>75443-07820-DZ</v>
          </cell>
          <cell r="B702" t="str">
            <v>Barrett Gudde</v>
          </cell>
          <cell r="C702" t="str">
            <v>bguddejg@dailymotion.com</v>
          </cell>
          <cell r="E702" t="str">
            <v>1 Buhler Trail</v>
          </cell>
          <cell r="F702" t="str">
            <v>San Francisco</v>
          </cell>
          <cell r="G702" t="str">
            <v>United States</v>
          </cell>
          <cell r="H702">
            <v>94121</v>
          </cell>
          <cell r="I702" t="str">
            <v>No</v>
          </cell>
        </row>
        <row r="703">
          <cell r="A703" t="str">
            <v>39276-95489-XV</v>
          </cell>
          <cell r="B703" t="str">
            <v>Nathan Sictornes</v>
          </cell>
          <cell r="C703" t="str">
            <v>nsictornesjh@buzzfeed.com</v>
          </cell>
          <cell r="D703" t="str">
            <v>+353 (410) 713-0145</v>
          </cell>
          <cell r="E703" t="str">
            <v>26 Little Fleur Trail</v>
          </cell>
          <cell r="F703" t="str">
            <v>Sandyford</v>
          </cell>
          <cell r="G703" t="str">
            <v>Ireland</v>
          </cell>
          <cell r="H703" t="str">
            <v>D04</v>
          </cell>
          <cell r="I703" t="str">
            <v>Yes</v>
          </cell>
        </row>
        <row r="704">
          <cell r="A704" t="str">
            <v>61437-83623-PZ</v>
          </cell>
          <cell r="B704" t="str">
            <v>Vivyan Dunning</v>
          </cell>
          <cell r="C704" t="str">
            <v>vdunningji@independent.co.uk</v>
          </cell>
          <cell r="E704" t="str">
            <v>9681 Dapin Center</v>
          </cell>
          <cell r="F704" t="str">
            <v>Punta Gorda</v>
          </cell>
          <cell r="G704" t="str">
            <v>United States</v>
          </cell>
          <cell r="H704">
            <v>33982</v>
          </cell>
          <cell r="I704" t="str">
            <v>Yes</v>
          </cell>
        </row>
        <row r="705">
          <cell r="A705" t="str">
            <v>34317-87258-HQ</v>
          </cell>
          <cell r="B705" t="str">
            <v>Doralin Baison</v>
          </cell>
          <cell r="D705" t="str">
            <v>+353 (214) 406-4884</v>
          </cell>
          <cell r="E705" t="str">
            <v>9 Dayton Park</v>
          </cell>
          <cell r="F705" t="str">
            <v>Ballivor</v>
          </cell>
          <cell r="G705" t="str">
            <v>Ireland</v>
          </cell>
          <cell r="H705" t="str">
            <v>D17</v>
          </cell>
          <cell r="I705" t="str">
            <v>Yes</v>
          </cell>
        </row>
        <row r="706">
          <cell r="A706" t="str">
            <v>18570-80998-ZS</v>
          </cell>
          <cell r="B706" t="str">
            <v>Josefina Ferens</v>
          </cell>
          <cell r="D706" t="str">
            <v>+1 (212) 163-1916</v>
          </cell>
          <cell r="E706" t="str">
            <v>51 Bluejay Point</v>
          </cell>
          <cell r="F706" t="str">
            <v>New York City</v>
          </cell>
          <cell r="G706" t="str">
            <v>United States</v>
          </cell>
          <cell r="H706">
            <v>10125</v>
          </cell>
          <cell r="I706" t="str">
            <v>Yes</v>
          </cell>
        </row>
        <row r="707">
          <cell r="A707" t="str">
            <v>66580-33745-OQ</v>
          </cell>
          <cell r="B707" t="str">
            <v>Shelley Gehring</v>
          </cell>
          <cell r="C707" t="str">
            <v>sgehringjl@gnu.org</v>
          </cell>
          <cell r="D707" t="str">
            <v>+1 (864) 940-7075</v>
          </cell>
          <cell r="E707" t="str">
            <v>663 Westend Hill</v>
          </cell>
          <cell r="F707" t="str">
            <v>Spartanburg</v>
          </cell>
          <cell r="G707" t="str">
            <v>United States</v>
          </cell>
          <cell r="H707">
            <v>29305</v>
          </cell>
          <cell r="I707" t="str">
            <v>No</v>
          </cell>
        </row>
        <row r="708">
          <cell r="A708" t="str">
            <v>19820-29285-FD</v>
          </cell>
          <cell r="B708" t="str">
            <v>Barrie Fallowes</v>
          </cell>
          <cell r="C708" t="str">
            <v>bfallowesjm@purevolume.com</v>
          </cell>
          <cell r="D708" t="str">
            <v>+1 (805) 975-3527</v>
          </cell>
          <cell r="E708" t="str">
            <v>1768 Hoepker Place</v>
          </cell>
          <cell r="F708" t="str">
            <v>Bakersfield</v>
          </cell>
          <cell r="G708" t="str">
            <v>United States</v>
          </cell>
          <cell r="H708">
            <v>93305</v>
          </cell>
          <cell r="I708" t="str">
            <v>No</v>
          </cell>
        </row>
        <row r="709">
          <cell r="A709" t="str">
            <v>11349-55147-SN</v>
          </cell>
          <cell r="B709" t="str">
            <v>Nicolas Aiton</v>
          </cell>
          <cell r="D709" t="str">
            <v>+353 (861) 791-0313</v>
          </cell>
          <cell r="E709" t="str">
            <v>4 Colorado Center</v>
          </cell>
          <cell r="F709" t="str">
            <v>Dungarvan</v>
          </cell>
          <cell r="G709" t="str">
            <v>Ireland</v>
          </cell>
          <cell r="H709" t="str">
            <v>T56</v>
          </cell>
          <cell r="I709" t="str">
            <v>No</v>
          </cell>
        </row>
        <row r="710">
          <cell r="A710" t="str">
            <v>21141-12455-VB</v>
          </cell>
          <cell r="B710" t="str">
            <v>Shelli De Banke</v>
          </cell>
          <cell r="C710" t="str">
            <v>sdejo@newsvine.com</v>
          </cell>
          <cell r="D710" t="str">
            <v>+1 (314) 496-2561</v>
          </cell>
          <cell r="E710" t="str">
            <v>290 Ridgeview Way</v>
          </cell>
          <cell r="F710" t="str">
            <v>Saint Louis</v>
          </cell>
          <cell r="G710" t="str">
            <v>United States</v>
          </cell>
          <cell r="H710">
            <v>63169</v>
          </cell>
          <cell r="I710" t="str">
            <v>Yes</v>
          </cell>
        </row>
        <row r="711">
          <cell r="A711" t="str">
            <v>71003-85639-HB</v>
          </cell>
          <cell r="B711" t="str">
            <v>Lyell Murch</v>
          </cell>
          <cell r="D711" t="str">
            <v>+1 (260) 280-7251</v>
          </cell>
          <cell r="E711" t="str">
            <v>18 Darwin Park</v>
          </cell>
          <cell r="F711" t="str">
            <v>Fort Wayne</v>
          </cell>
          <cell r="G711" t="str">
            <v>United States</v>
          </cell>
          <cell r="H711">
            <v>46896</v>
          </cell>
          <cell r="I711" t="str">
            <v>Yes</v>
          </cell>
        </row>
        <row r="712">
          <cell r="A712" t="str">
            <v>58443-95866-YO</v>
          </cell>
          <cell r="B712" t="str">
            <v>Stearne Count</v>
          </cell>
          <cell r="C712" t="str">
            <v>scountjq@nba.com</v>
          </cell>
          <cell r="D712" t="str">
            <v>+1 (952) 721-7276</v>
          </cell>
          <cell r="E712" t="str">
            <v>31 Holy Cross Lane</v>
          </cell>
          <cell r="F712" t="str">
            <v>Young America</v>
          </cell>
          <cell r="G712" t="str">
            <v>United States</v>
          </cell>
          <cell r="H712">
            <v>55564</v>
          </cell>
          <cell r="I712" t="str">
            <v>No</v>
          </cell>
        </row>
        <row r="713">
          <cell r="A713" t="str">
            <v>89646-21249-OH</v>
          </cell>
          <cell r="B713" t="str">
            <v>Selia Ragles</v>
          </cell>
          <cell r="C713" t="str">
            <v>sraglesjr@blogtalkradio.com</v>
          </cell>
          <cell r="D713" t="str">
            <v>+1 (479) 494-1369</v>
          </cell>
          <cell r="E713" t="str">
            <v>214 Dwight Hill</v>
          </cell>
          <cell r="F713" t="str">
            <v>Fort Smith</v>
          </cell>
          <cell r="G713" t="str">
            <v>United States</v>
          </cell>
          <cell r="H713">
            <v>72905</v>
          </cell>
          <cell r="I713" t="str">
            <v>No</v>
          </cell>
        </row>
        <row r="714">
          <cell r="A714" t="str">
            <v>64988-20636-XQ</v>
          </cell>
          <cell r="B714" t="str">
            <v>Silas Deehan</v>
          </cell>
          <cell r="E714" t="str">
            <v>77 Sycamore Pass</v>
          </cell>
          <cell r="F714" t="str">
            <v>Charlton</v>
          </cell>
          <cell r="G714" t="str">
            <v>United Kingdom</v>
          </cell>
          <cell r="H714" t="str">
            <v>OX12</v>
          </cell>
          <cell r="I714" t="str">
            <v>No</v>
          </cell>
        </row>
        <row r="715">
          <cell r="A715" t="str">
            <v>34704-83143-KS</v>
          </cell>
          <cell r="B715" t="str">
            <v>Sacha Bruun</v>
          </cell>
          <cell r="C715" t="str">
            <v>sbruunjt@blogtalkradio.com</v>
          </cell>
          <cell r="D715" t="str">
            <v>+1 (209) 784-1969</v>
          </cell>
          <cell r="E715" t="str">
            <v>44 Northview Lane</v>
          </cell>
          <cell r="F715" t="str">
            <v>Stockton</v>
          </cell>
          <cell r="G715" t="str">
            <v>United States</v>
          </cell>
          <cell r="H715">
            <v>95210</v>
          </cell>
          <cell r="I715" t="str">
            <v>No</v>
          </cell>
        </row>
        <row r="716">
          <cell r="A716" t="str">
            <v>67388-17544-XX</v>
          </cell>
          <cell r="B716" t="str">
            <v>Alon Pllu</v>
          </cell>
          <cell r="C716" t="str">
            <v>aplluju@dagondesign.com</v>
          </cell>
          <cell r="D716" t="str">
            <v>+353 (915) 742-6707</v>
          </cell>
          <cell r="E716" t="str">
            <v>043 American Circle</v>
          </cell>
          <cell r="F716" t="str">
            <v>Navan</v>
          </cell>
          <cell r="G716" t="str">
            <v>Ireland</v>
          </cell>
          <cell r="H716" t="str">
            <v>D11</v>
          </cell>
          <cell r="I716" t="str">
            <v>Yes</v>
          </cell>
        </row>
        <row r="717">
          <cell r="A717" t="str">
            <v>69411-48470-ID</v>
          </cell>
          <cell r="B717" t="str">
            <v>Gilberto Cornier</v>
          </cell>
          <cell r="C717" t="str">
            <v>gcornierjv@techcrunch.com</v>
          </cell>
          <cell r="E717" t="str">
            <v>39353 Northview Avenue</v>
          </cell>
          <cell r="F717" t="str">
            <v>Tampa</v>
          </cell>
          <cell r="G717" t="str">
            <v>United States</v>
          </cell>
          <cell r="H717">
            <v>33686</v>
          </cell>
          <cell r="I717" t="str">
            <v>No</v>
          </cell>
        </row>
        <row r="718">
          <cell r="A718" t="str">
            <v>20077-67239-EC</v>
          </cell>
          <cell r="B718" t="str">
            <v>Selestina Greedyer</v>
          </cell>
          <cell r="C718" t="str">
            <v>sgreedyerjw@parallels.com</v>
          </cell>
          <cell r="D718" t="str">
            <v>+353 (388) 882-1500</v>
          </cell>
          <cell r="E718" t="str">
            <v>9707 Leroy Junction</v>
          </cell>
          <cell r="F718" t="str">
            <v>Castlebellingham</v>
          </cell>
          <cell r="G718" t="str">
            <v>Ireland</v>
          </cell>
          <cell r="H718" t="str">
            <v>Y34</v>
          </cell>
          <cell r="I718" t="str">
            <v>No</v>
          </cell>
        </row>
        <row r="719">
          <cell r="A719" t="str">
            <v>97741-98924-KT</v>
          </cell>
          <cell r="B719" t="str">
            <v>Willabella Harvison</v>
          </cell>
          <cell r="C719" t="str">
            <v>wharvisonjx@gizmodo.com</v>
          </cell>
          <cell r="D719" t="str">
            <v>+1 (610) 316-8430</v>
          </cell>
          <cell r="E719" t="str">
            <v>0 Sachs Way</v>
          </cell>
          <cell r="F719" t="str">
            <v>Philadelphia</v>
          </cell>
          <cell r="G719" t="str">
            <v>United States</v>
          </cell>
          <cell r="H719">
            <v>19104</v>
          </cell>
          <cell r="I719" t="str">
            <v>No</v>
          </cell>
        </row>
        <row r="720">
          <cell r="A720" t="str">
            <v>79857-78167-KO</v>
          </cell>
          <cell r="B720" t="str">
            <v>Darice Heaford</v>
          </cell>
          <cell r="C720" t="str">
            <v>dheafordjy@twitpic.com</v>
          </cell>
          <cell r="D720" t="str">
            <v>+1 (325) 537-8835</v>
          </cell>
          <cell r="E720" t="str">
            <v>43 Grasskamp Junction</v>
          </cell>
          <cell r="F720" t="str">
            <v>San Angelo</v>
          </cell>
          <cell r="G720" t="str">
            <v>United States</v>
          </cell>
          <cell r="H720">
            <v>76905</v>
          </cell>
          <cell r="I720" t="str">
            <v>No</v>
          </cell>
        </row>
        <row r="721">
          <cell r="A721" t="str">
            <v>46963-10322-ZA</v>
          </cell>
          <cell r="B721" t="str">
            <v>Granger Fantham</v>
          </cell>
          <cell r="C721" t="str">
            <v>gfanthamjz@hexun.com</v>
          </cell>
          <cell r="D721" t="str">
            <v>+1 (323) 878-8818</v>
          </cell>
          <cell r="E721" t="str">
            <v>46555 Graceland Court</v>
          </cell>
          <cell r="F721" t="str">
            <v>Los Angeles</v>
          </cell>
          <cell r="G721" t="str">
            <v>United States</v>
          </cell>
          <cell r="H721">
            <v>90035</v>
          </cell>
          <cell r="I721" t="str">
            <v>Yes</v>
          </cell>
        </row>
        <row r="722">
          <cell r="A722" t="str">
            <v>93812-74772-MV</v>
          </cell>
          <cell r="B722" t="str">
            <v>Reynolds Crookshanks</v>
          </cell>
          <cell r="C722" t="str">
            <v>rcrookshanksk0@unc.edu</v>
          </cell>
          <cell r="D722" t="str">
            <v>+1 (517) 654-6004</v>
          </cell>
          <cell r="E722" t="str">
            <v>52495 Pawling Place</v>
          </cell>
          <cell r="F722" t="str">
            <v>Lansing</v>
          </cell>
          <cell r="G722" t="str">
            <v>United States</v>
          </cell>
          <cell r="H722">
            <v>48912</v>
          </cell>
          <cell r="I722" t="str">
            <v>Yes</v>
          </cell>
        </row>
        <row r="723">
          <cell r="A723" t="str">
            <v>48203-23480-UB</v>
          </cell>
          <cell r="B723" t="str">
            <v>Niels Leake</v>
          </cell>
          <cell r="C723" t="str">
            <v>nleakek1@cmu.edu</v>
          </cell>
          <cell r="D723" t="str">
            <v>+1 (786) 470-1233</v>
          </cell>
          <cell r="E723" t="str">
            <v>1138 Vermont Alley</v>
          </cell>
          <cell r="F723" t="str">
            <v>Clearwater</v>
          </cell>
          <cell r="G723" t="str">
            <v>United States</v>
          </cell>
          <cell r="H723">
            <v>34615</v>
          </cell>
          <cell r="I723" t="str">
            <v>Yes</v>
          </cell>
        </row>
        <row r="724">
          <cell r="A724" t="str">
            <v>60357-65386-RD</v>
          </cell>
          <cell r="B724" t="str">
            <v>Hetti Measures</v>
          </cell>
          <cell r="D724" t="str">
            <v>+1 (562) 343-9707</v>
          </cell>
          <cell r="E724" t="str">
            <v>3287 Corry Plaza</v>
          </cell>
          <cell r="F724" t="str">
            <v>Whittier</v>
          </cell>
          <cell r="G724" t="str">
            <v>United States</v>
          </cell>
          <cell r="H724">
            <v>90605</v>
          </cell>
          <cell r="I724" t="str">
            <v>No</v>
          </cell>
        </row>
        <row r="725">
          <cell r="A725" t="str">
            <v>35099-13971-JI</v>
          </cell>
          <cell r="B725" t="str">
            <v>Gay Eilhersen</v>
          </cell>
          <cell r="C725" t="str">
            <v>geilhersenk3@networksolutions.com</v>
          </cell>
          <cell r="D725" t="str">
            <v>+1 (559) 791-5117</v>
          </cell>
          <cell r="E725" t="str">
            <v>60707 Hallows Point</v>
          </cell>
          <cell r="F725" t="str">
            <v>Fresno</v>
          </cell>
          <cell r="G725" t="str">
            <v>United States</v>
          </cell>
          <cell r="H725">
            <v>93773</v>
          </cell>
          <cell r="I725" t="str">
            <v>No</v>
          </cell>
        </row>
        <row r="726">
          <cell r="A726" t="str">
            <v>01304-59807-OB</v>
          </cell>
          <cell r="B726" t="str">
            <v>Nico Hubert</v>
          </cell>
          <cell r="D726" t="str">
            <v>+1 (646) 228-3492</v>
          </cell>
          <cell r="E726" t="str">
            <v>027 Village Avenue</v>
          </cell>
          <cell r="F726" t="str">
            <v>New York City</v>
          </cell>
          <cell r="G726" t="str">
            <v>United States</v>
          </cell>
          <cell r="H726">
            <v>10155</v>
          </cell>
          <cell r="I726" t="str">
            <v>Yes</v>
          </cell>
        </row>
        <row r="727">
          <cell r="A727" t="str">
            <v>50705-17295-NK</v>
          </cell>
          <cell r="B727" t="str">
            <v>Cristina Aleixo</v>
          </cell>
          <cell r="C727" t="str">
            <v>caleixok5@globo.com</v>
          </cell>
          <cell r="D727" t="str">
            <v>+1 (719) 241-4639</v>
          </cell>
          <cell r="E727" t="str">
            <v>9 Lindbergh Center</v>
          </cell>
          <cell r="F727" t="str">
            <v>Colorado Springs</v>
          </cell>
          <cell r="G727" t="str">
            <v>United States</v>
          </cell>
          <cell r="H727">
            <v>80935</v>
          </cell>
          <cell r="I727" t="str">
            <v>No</v>
          </cell>
        </row>
        <row r="728">
          <cell r="A728" t="str">
            <v>77657-61366-FY</v>
          </cell>
          <cell r="B728" t="str">
            <v>Derrek Allpress</v>
          </cell>
          <cell r="D728" t="str">
            <v>+1 (562) 723-4457</v>
          </cell>
          <cell r="E728" t="str">
            <v>66 Lakeland Trail</v>
          </cell>
          <cell r="F728" t="str">
            <v>Long Beach</v>
          </cell>
          <cell r="G728" t="str">
            <v>United States</v>
          </cell>
          <cell r="H728">
            <v>90831</v>
          </cell>
          <cell r="I728" t="str">
            <v>No</v>
          </cell>
        </row>
        <row r="729">
          <cell r="A729" t="str">
            <v>57192-13428-PL</v>
          </cell>
          <cell r="B729" t="str">
            <v>Rikki Tomkowicz</v>
          </cell>
          <cell r="C729" t="str">
            <v>rtomkowiczk7@bravesites.com</v>
          </cell>
          <cell r="D729" t="str">
            <v>+353 (849) 645-1593</v>
          </cell>
          <cell r="E729" t="str">
            <v>76 Larry Junction</v>
          </cell>
          <cell r="F729" t="str">
            <v>Lusk</v>
          </cell>
          <cell r="G729" t="str">
            <v>Ireland</v>
          </cell>
          <cell r="H729" t="str">
            <v>K45</v>
          </cell>
          <cell r="I729" t="str">
            <v>Yes</v>
          </cell>
        </row>
        <row r="730">
          <cell r="A730" t="str">
            <v>24891-77957-LU</v>
          </cell>
          <cell r="B730" t="str">
            <v>Rochette Huscroft</v>
          </cell>
          <cell r="C730" t="str">
            <v>rhuscroftk8@jimdo.com</v>
          </cell>
          <cell r="D730" t="str">
            <v>+1 (775) 223-5044</v>
          </cell>
          <cell r="E730" t="str">
            <v>6111 Bobwhite Way</v>
          </cell>
          <cell r="F730" t="str">
            <v>Reno</v>
          </cell>
          <cell r="G730" t="str">
            <v>United States</v>
          </cell>
          <cell r="H730">
            <v>89510</v>
          </cell>
          <cell r="I730" t="str">
            <v>Yes</v>
          </cell>
        </row>
        <row r="731">
          <cell r="A731" t="str">
            <v>64896-18468-BT</v>
          </cell>
          <cell r="B731" t="str">
            <v>Selle Scurrer</v>
          </cell>
          <cell r="C731" t="str">
            <v>sscurrerk9@flavors.me</v>
          </cell>
          <cell r="D731" t="str">
            <v>+44 (520) 402-1303</v>
          </cell>
          <cell r="E731" t="str">
            <v>99 Mariners Cove Trail</v>
          </cell>
          <cell r="F731" t="str">
            <v>Upton</v>
          </cell>
          <cell r="G731" t="str">
            <v>United Kingdom</v>
          </cell>
          <cell r="H731" t="str">
            <v>DN21</v>
          </cell>
          <cell r="I731" t="str">
            <v>No</v>
          </cell>
        </row>
        <row r="732">
          <cell r="A732" t="str">
            <v>84761-40784-SV</v>
          </cell>
          <cell r="B732" t="str">
            <v>Andie Rudram</v>
          </cell>
          <cell r="C732" t="str">
            <v>arudramka@prnewswire.com</v>
          </cell>
          <cell r="D732" t="str">
            <v>+1 (702) 333-7442</v>
          </cell>
          <cell r="E732" t="str">
            <v>5600 Bultman Court</v>
          </cell>
          <cell r="F732" t="str">
            <v>Las Vegas</v>
          </cell>
          <cell r="G732" t="str">
            <v>United States</v>
          </cell>
          <cell r="H732">
            <v>89155</v>
          </cell>
          <cell r="I732" t="str">
            <v>No</v>
          </cell>
        </row>
        <row r="733">
          <cell r="A733" t="str">
            <v>20236-42322-CM</v>
          </cell>
          <cell r="B733" t="str">
            <v>Leta Clarricoates</v>
          </cell>
          <cell r="D733" t="str">
            <v>+1 (302) 620-1205</v>
          </cell>
          <cell r="E733" t="str">
            <v>12504 Westport Hill</v>
          </cell>
          <cell r="F733" t="str">
            <v>Wilmington</v>
          </cell>
          <cell r="G733" t="str">
            <v>United States</v>
          </cell>
          <cell r="H733">
            <v>19805</v>
          </cell>
          <cell r="I733" t="str">
            <v>Yes</v>
          </cell>
        </row>
        <row r="734">
          <cell r="A734" t="str">
            <v>49671-11547-WG</v>
          </cell>
          <cell r="B734" t="str">
            <v>Jacquelyn Maha</v>
          </cell>
          <cell r="C734" t="str">
            <v>jmahakc@cyberchimps.com</v>
          </cell>
          <cell r="D734" t="str">
            <v>+1 (702) 238-8287</v>
          </cell>
          <cell r="E734" t="str">
            <v>604 Hintze Place</v>
          </cell>
          <cell r="F734" t="str">
            <v>Reno</v>
          </cell>
          <cell r="G734" t="str">
            <v>United States</v>
          </cell>
          <cell r="H734">
            <v>89550</v>
          </cell>
          <cell r="I734" t="str">
            <v>No</v>
          </cell>
        </row>
        <row r="735">
          <cell r="A735" t="str">
            <v>57976-33535-WK</v>
          </cell>
          <cell r="B735" t="str">
            <v>Glory Clemon</v>
          </cell>
          <cell r="C735" t="str">
            <v>gclemonkd@networksolutions.com</v>
          </cell>
          <cell r="D735" t="str">
            <v>+1 (205) 681-2376</v>
          </cell>
          <cell r="E735" t="str">
            <v>5 Pleasure Point</v>
          </cell>
          <cell r="F735" t="str">
            <v>Tuscaloosa</v>
          </cell>
          <cell r="G735" t="str">
            <v>United States</v>
          </cell>
          <cell r="H735">
            <v>35487</v>
          </cell>
          <cell r="I735" t="str">
            <v>Yes</v>
          </cell>
        </row>
        <row r="736">
          <cell r="A736" t="str">
            <v>55915-19477-MK</v>
          </cell>
          <cell r="B736" t="str">
            <v>Alica Kift</v>
          </cell>
          <cell r="D736" t="str">
            <v>+1 (209) 133-9447</v>
          </cell>
          <cell r="E736" t="str">
            <v>4214 Amoth Avenue</v>
          </cell>
          <cell r="F736" t="str">
            <v>Garden Grove</v>
          </cell>
          <cell r="G736" t="str">
            <v>United States</v>
          </cell>
          <cell r="H736">
            <v>92645</v>
          </cell>
          <cell r="I736" t="str">
            <v>No</v>
          </cell>
        </row>
        <row r="737">
          <cell r="A737" t="str">
            <v>28121-11641-UA</v>
          </cell>
          <cell r="B737" t="str">
            <v>Babb Pollins</v>
          </cell>
          <cell r="C737" t="str">
            <v>bpollinskf@shinystat.com</v>
          </cell>
          <cell r="E737" t="str">
            <v>76 Ilene Way</v>
          </cell>
          <cell r="F737" t="str">
            <v>Shawnee Mission</v>
          </cell>
          <cell r="G737" t="str">
            <v>United States</v>
          </cell>
          <cell r="H737">
            <v>66225</v>
          </cell>
          <cell r="I737" t="str">
            <v>No</v>
          </cell>
        </row>
        <row r="738">
          <cell r="A738" t="str">
            <v>09540-70637-EV</v>
          </cell>
          <cell r="B738" t="str">
            <v>Jarret Toye</v>
          </cell>
          <cell r="C738" t="str">
            <v>jtoyekg@pinterest.com</v>
          </cell>
          <cell r="D738" t="str">
            <v>+353 (587) 270-6561</v>
          </cell>
          <cell r="E738" t="str">
            <v>89789 Sachtjen Hill</v>
          </cell>
          <cell r="F738" t="str">
            <v>Ballivor</v>
          </cell>
          <cell r="G738" t="str">
            <v>Ireland</v>
          </cell>
          <cell r="H738" t="str">
            <v>D17</v>
          </cell>
          <cell r="I738" t="str">
            <v>Yes</v>
          </cell>
        </row>
        <row r="739">
          <cell r="A739" t="str">
            <v>17775-77072-PP</v>
          </cell>
          <cell r="B739" t="str">
            <v>Carlie Linskill</v>
          </cell>
          <cell r="C739" t="str">
            <v>clinskillkh@sphinn.com</v>
          </cell>
          <cell r="D739" t="str">
            <v>+1 (513) 743-7556</v>
          </cell>
          <cell r="E739" t="str">
            <v>05296 Debra Alley</v>
          </cell>
          <cell r="F739" t="str">
            <v>Cincinnati</v>
          </cell>
          <cell r="G739" t="str">
            <v>United States</v>
          </cell>
          <cell r="H739">
            <v>45228</v>
          </cell>
          <cell r="I739" t="str">
            <v>No</v>
          </cell>
        </row>
        <row r="740">
          <cell r="A740" t="str">
            <v>90392-73338-BC</v>
          </cell>
          <cell r="B740" t="str">
            <v>Natal Vigrass</v>
          </cell>
          <cell r="C740" t="str">
            <v>nvigrasski@ezinearticles.com</v>
          </cell>
          <cell r="D740" t="str">
            <v>+44 (336) 257-7415</v>
          </cell>
          <cell r="E740" t="str">
            <v>1375 Parkside Junction</v>
          </cell>
          <cell r="F740" t="str">
            <v>Whitwell</v>
          </cell>
          <cell r="G740" t="str">
            <v>United Kingdom</v>
          </cell>
          <cell r="H740" t="str">
            <v>DL10</v>
          </cell>
          <cell r="I740" t="str">
            <v>No</v>
          </cell>
        </row>
        <row r="741">
          <cell r="A741" t="str">
            <v>94278-27169-QC</v>
          </cell>
          <cell r="B741" t="str">
            <v>Burlie Issac</v>
          </cell>
          <cell r="D741" t="str">
            <v>+1 (503) 459-5544</v>
          </cell>
          <cell r="E741" t="str">
            <v>3 Tennessee Lane</v>
          </cell>
          <cell r="F741" t="str">
            <v>Portland</v>
          </cell>
          <cell r="G741" t="str">
            <v>United States</v>
          </cell>
          <cell r="H741">
            <v>97296</v>
          </cell>
          <cell r="I741" t="str">
            <v>Yes</v>
          </cell>
        </row>
        <row r="742">
          <cell r="A742" t="str">
            <v>10725-45724-CO</v>
          </cell>
          <cell r="B742" t="str">
            <v>Kandace Cragell</v>
          </cell>
          <cell r="C742" t="str">
            <v>kcragellkk@google.com</v>
          </cell>
          <cell r="D742" t="str">
            <v>+353 (458) 634-2269</v>
          </cell>
          <cell r="E742" t="str">
            <v>772 Buhler Point</v>
          </cell>
          <cell r="F742" t="str">
            <v>Dungarvan</v>
          </cell>
          <cell r="G742" t="str">
            <v>Ireland</v>
          </cell>
          <cell r="H742" t="str">
            <v>T56</v>
          </cell>
          <cell r="I742" t="str">
            <v>No</v>
          </cell>
        </row>
        <row r="743">
          <cell r="A743" t="str">
            <v>87242-18006-IR</v>
          </cell>
          <cell r="B743" t="str">
            <v>Lyon Ibert</v>
          </cell>
          <cell r="C743" t="str">
            <v>libertkl@huffingtonpost.com</v>
          </cell>
          <cell r="D743" t="str">
            <v>+1 (408) 546-0790</v>
          </cell>
          <cell r="E743" t="str">
            <v>623 Paget Crossing</v>
          </cell>
          <cell r="F743" t="str">
            <v>Sunnyvale</v>
          </cell>
          <cell r="G743" t="str">
            <v>United States</v>
          </cell>
          <cell r="H743">
            <v>94089</v>
          </cell>
          <cell r="I743" t="str">
            <v>No</v>
          </cell>
        </row>
        <row r="744">
          <cell r="A744" t="str">
            <v>36572-91896-PP</v>
          </cell>
          <cell r="B744" t="str">
            <v>Reese Lidgey</v>
          </cell>
          <cell r="C744" t="str">
            <v>rlidgeykm@vimeo.com</v>
          </cell>
          <cell r="D744" t="str">
            <v>+1 (901) 276-4141</v>
          </cell>
          <cell r="E744" t="str">
            <v>22 Northwestern Alley</v>
          </cell>
          <cell r="F744" t="str">
            <v>Memphis</v>
          </cell>
          <cell r="G744" t="str">
            <v>United States</v>
          </cell>
          <cell r="H744">
            <v>38188</v>
          </cell>
          <cell r="I744" t="str">
            <v>No</v>
          </cell>
        </row>
        <row r="745">
          <cell r="A745" t="str">
            <v>25181-97933-UX</v>
          </cell>
          <cell r="B745" t="str">
            <v>Tersina Castagne</v>
          </cell>
          <cell r="C745" t="str">
            <v>tcastagnekn@wikia.com</v>
          </cell>
          <cell r="D745" t="str">
            <v>+1 (407) 154-6967</v>
          </cell>
          <cell r="E745" t="str">
            <v>403 Mifflin Pass</v>
          </cell>
          <cell r="F745" t="str">
            <v>Orlando</v>
          </cell>
          <cell r="G745" t="str">
            <v>United States</v>
          </cell>
          <cell r="H745">
            <v>32868</v>
          </cell>
          <cell r="I745" t="str">
            <v>No</v>
          </cell>
        </row>
        <row r="746">
          <cell r="A746" t="str">
            <v>55374-03175-IA</v>
          </cell>
          <cell r="B746" t="str">
            <v>Samuele Klaaassen</v>
          </cell>
          <cell r="D746" t="str">
            <v>+1 (313) 436-2249</v>
          </cell>
          <cell r="E746" t="str">
            <v>52 2nd Road</v>
          </cell>
          <cell r="F746" t="str">
            <v>Detroit</v>
          </cell>
          <cell r="G746" t="str">
            <v>United States</v>
          </cell>
          <cell r="H746">
            <v>48232</v>
          </cell>
          <cell r="I746" t="str">
            <v>Yes</v>
          </cell>
        </row>
        <row r="747">
          <cell r="A747" t="str">
            <v>76948-43532-JS</v>
          </cell>
          <cell r="B747" t="str">
            <v>Jordana Halden</v>
          </cell>
          <cell r="C747" t="str">
            <v>jhaldenkp@comcast.net</v>
          </cell>
          <cell r="D747" t="str">
            <v>+353 (278) 873-4395</v>
          </cell>
          <cell r="E747" t="str">
            <v>70 Oriole Lane</v>
          </cell>
          <cell r="F747" t="str">
            <v>Clones</v>
          </cell>
          <cell r="G747" t="str">
            <v>Ireland</v>
          </cell>
          <cell r="H747" t="str">
            <v>H23</v>
          </cell>
          <cell r="I747" t="str">
            <v>No</v>
          </cell>
        </row>
        <row r="748">
          <cell r="A748" t="str">
            <v>24344-88599-PP</v>
          </cell>
          <cell r="B748" t="str">
            <v>Hussein Olliff</v>
          </cell>
          <cell r="C748" t="str">
            <v>holliffkq@sciencedirect.com</v>
          </cell>
          <cell r="D748" t="str">
            <v>+353 (203) 716-7239</v>
          </cell>
          <cell r="E748" t="str">
            <v>251 Shoshone Terrace</v>
          </cell>
          <cell r="F748" t="str">
            <v>Stradbally</v>
          </cell>
          <cell r="G748" t="str">
            <v>Ireland</v>
          </cell>
          <cell r="H748" t="str">
            <v>Y34</v>
          </cell>
          <cell r="I748" t="str">
            <v>No</v>
          </cell>
        </row>
        <row r="749">
          <cell r="A749" t="str">
            <v>54462-58311-YF</v>
          </cell>
          <cell r="B749" t="str">
            <v>Teddi Quadri</v>
          </cell>
          <cell r="C749" t="str">
            <v>tquadrikr@opensource.org</v>
          </cell>
          <cell r="D749" t="str">
            <v>+353 (789) 442-3189</v>
          </cell>
          <cell r="E749" t="str">
            <v>35 Meadow Vale Circle</v>
          </cell>
          <cell r="F749" t="str">
            <v>Ballina</v>
          </cell>
          <cell r="G749" t="str">
            <v>Ireland</v>
          </cell>
          <cell r="H749" t="str">
            <v>F26</v>
          </cell>
          <cell r="I749" t="str">
            <v>Yes</v>
          </cell>
        </row>
        <row r="750">
          <cell r="A750" t="str">
            <v>90767-92589-LV</v>
          </cell>
          <cell r="B750" t="str">
            <v>Felita Eshmade</v>
          </cell>
          <cell r="C750" t="str">
            <v>feshmadeks@umn.edu</v>
          </cell>
          <cell r="D750" t="str">
            <v>+1 (804) 531-4136</v>
          </cell>
          <cell r="E750" t="str">
            <v>08 Shopko Park</v>
          </cell>
          <cell r="F750" t="str">
            <v>Richmond</v>
          </cell>
          <cell r="G750" t="str">
            <v>United States</v>
          </cell>
          <cell r="H750">
            <v>23203</v>
          </cell>
          <cell r="I750" t="str">
            <v>No</v>
          </cell>
        </row>
        <row r="751">
          <cell r="A751" t="str">
            <v>27517-43747-YD</v>
          </cell>
          <cell r="B751" t="str">
            <v>Melodie OIlier</v>
          </cell>
          <cell r="C751" t="str">
            <v>moilierkt@paginegialle.it</v>
          </cell>
          <cell r="D751" t="str">
            <v>+353 (675) 503-7567</v>
          </cell>
          <cell r="E751" t="str">
            <v>146 Waxwing Point</v>
          </cell>
          <cell r="F751" t="str">
            <v>Glasnevin</v>
          </cell>
          <cell r="G751" t="str">
            <v>Ireland</v>
          </cell>
          <cell r="H751" t="str">
            <v>D11</v>
          </cell>
          <cell r="I751" t="str">
            <v>Yes</v>
          </cell>
        </row>
        <row r="752">
          <cell r="A752" t="str">
            <v>77828-66867-KH</v>
          </cell>
          <cell r="B752" t="str">
            <v>Hazel Iacopini</v>
          </cell>
          <cell r="D752" t="str">
            <v>+1 (682) 246-6139</v>
          </cell>
          <cell r="E752" t="str">
            <v>7594 Hollow Ridge Road</v>
          </cell>
          <cell r="F752" t="str">
            <v>Fort Worth</v>
          </cell>
          <cell r="G752" t="str">
            <v>United States</v>
          </cell>
          <cell r="H752">
            <v>76178</v>
          </cell>
          <cell r="I752" t="str">
            <v>Yes</v>
          </cell>
        </row>
        <row r="753">
          <cell r="A753" t="str">
            <v>41054-59693-XE</v>
          </cell>
          <cell r="B753" t="str">
            <v>Vinny Shoebotham</v>
          </cell>
          <cell r="C753" t="str">
            <v>vshoebothamkv@redcross.org</v>
          </cell>
          <cell r="D753" t="str">
            <v>+1 (212) 998-0802</v>
          </cell>
          <cell r="E753" t="str">
            <v>93569 Hintze Way</v>
          </cell>
          <cell r="F753" t="str">
            <v>Brooklyn</v>
          </cell>
          <cell r="G753" t="str">
            <v>United States</v>
          </cell>
          <cell r="H753">
            <v>11254</v>
          </cell>
          <cell r="I753" t="str">
            <v>No</v>
          </cell>
        </row>
        <row r="754">
          <cell r="A754" t="str">
            <v>26314-66792-VP</v>
          </cell>
          <cell r="B754" t="str">
            <v>Bran Sterke</v>
          </cell>
          <cell r="C754" t="str">
            <v>bsterkekw@biblegateway.com</v>
          </cell>
          <cell r="D754" t="str">
            <v>+1 (682) 617-0470</v>
          </cell>
          <cell r="E754" t="str">
            <v>0066 Hanover Avenue</v>
          </cell>
          <cell r="F754" t="str">
            <v>Fort Worth</v>
          </cell>
          <cell r="G754" t="str">
            <v>United States</v>
          </cell>
          <cell r="H754">
            <v>76198</v>
          </cell>
          <cell r="I754" t="str">
            <v>Yes</v>
          </cell>
        </row>
        <row r="755">
          <cell r="A755" t="str">
            <v>69410-04668-MA</v>
          </cell>
          <cell r="B755" t="str">
            <v>Simone Capon</v>
          </cell>
          <cell r="C755" t="str">
            <v>scaponkx@craigslist.org</v>
          </cell>
          <cell r="D755" t="str">
            <v>+1 (602) 619-0168</v>
          </cell>
          <cell r="E755" t="str">
            <v>0616 Utah Parkway</v>
          </cell>
          <cell r="F755" t="str">
            <v>Phoenix</v>
          </cell>
          <cell r="G755" t="str">
            <v>United States</v>
          </cell>
          <cell r="H755">
            <v>85053</v>
          </cell>
          <cell r="I755" t="str">
            <v>No</v>
          </cell>
        </row>
        <row r="756">
          <cell r="A756" t="str">
            <v>91950-91273-JT</v>
          </cell>
          <cell r="B756" t="str">
            <v>Philomena Traite</v>
          </cell>
          <cell r="C756" t="str">
            <v>ptraiteky@huffingtonpost.com</v>
          </cell>
          <cell r="E756" t="str">
            <v>75 Saint Paul Junction</v>
          </cell>
          <cell r="F756" t="str">
            <v>Washington</v>
          </cell>
          <cell r="G756" t="str">
            <v>United States</v>
          </cell>
          <cell r="H756">
            <v>20470</v>
          </cell>
          <cell r="I756" t="str">
            <v>No</v>
          </cell>
        </row>
        <row r="757">
          <cell r="A757" t="str">
            <v>24972-55878-KX</v>
          </cell>
          <cell r="B757" t="str">
            <v>Foster Constance</v>
          </cell>
          <cell r="C757" t="str">
            <v>fconstancekz@ifeng.com</v>
          </cell>
          <cell r="D757" t="str">
            <v>+1 (214) 388-6754</v>
          </cell>
          <cell r="E757" t="str">
            <v>2236 Mitchell Trail</v>
          </cell>
          <cell r="F757" t="str">
            <v>Dallas</v>
          </cell>
          <cell r="G757" t="str">
            <v>United States</v>
          </cell>
          <cell r="H757">
            <v>75287</v>
          </cell>
          <cell r="I757" t="str">
            <v>No</v>
          </cell>
        </row>
        <row r="758">
          <cell r="A758" t="str">
            <v>46296-42617-OQ</v>
          </cell>
          <cell r="B758" t="str">
            <v>Fernando Sulman</v>
          </cell>
          <cell r="C758" t="str">
            <v>fsulmanl0@washington.edu</v>
          </cell>
          <cell r="D758" t="str">
            <v>+1 (828) 464-2678</v>
          </cell>
          <cell r="E758" t="str">
            <v>45 Village Terrace</v>
          </cell>
          <cell r="F758" t="str">
            <v>Asheville</v>
          </cell>
          <cell r="G758" t="str">
            <v>United States</v>
          </cell>
          <cell r="H758">
            <v>28805</v>
          </cell>
          <cell r="I758" t="str">
            <v>Yes</v>
          </cell>
        </row>
        <row r="759">
          <cell r="A759" t="str">
            <v>44494-89923-UW</v>
          </cell>
          <cell r="B759" t="str">
            <v>Dorotea Hollyman</v>
          </cell>
          <cell r="C759" t="str">
            <v>dhollymanl1@ibm.com</v>
          </cell>
          <cell r="D759" t="str">
            <v>+1 (406) 851-1244</v>
          </cell>
          <cell r="E759" t="str">
            <v>46861 Esker Avenue</v>
          </cell>
          <cell r="F759" t="str">
            <v>Billings</v>
          </cell>
          <cell r="G759" t="str">
            <v>United States</v>
          </cell>
          <cell r="H759">
            <v>59112</v>
          </cell>
          <cell r="I759" t="str">
            <v>Yes</v>
          </cell>
        </row>
        <row r="760">
          <cell r="A760" t="str">
            <v>11621-09964-ID</v>
          </cell>
          <cell r="B760" t="str">
            <v>Lorelei Nardoni</v>
          </cell>
          <cell r="C760" t="str">
            <v>lnardonil2@hao123.com</v>
          </cell>
          <cell r="E760" t="str">
            <v>77724 Roxbury Road</v>
          </cell>
          <cell r="F760" t="str">
            <v>Saint Louis</v>
          </cell>
          <cell r="G760" t="str">
            <v>United States</v>
          </cell>
          <cell r="H760">
            <v>63126</v>
          </cell>
          <cell r="I760" t="str">
            <v>No</v>
          </cell>
        </row>
        <row r="761">
          <cell r="A761" t="str">
            <v>76319-80715-II</v>
          </cell>
          <cell r="B761" t="str">
            <v>Dallas Yarham</v>
          </cell>
          <cell r="C761" t="str">
            <v>dyarhaml3@moonfruit.com</v>
          </cell>
          <cell r="D761" t="str">
            <v>+1 (816) 213-5248</v>
          </cell>
          <cell r="E761" t="str">
            <v>689 8th Hill</v>
          </cell>
          <cell r="F761" t="str">
            <v>Independence</v>
          </cell>
          <cell r="G761" t="str">
            <v>United States</v>
          </cell>
          <cell r="H761">
            <v>64054</v>
          </cell>
          <cell r="I761" t="str">
            <v>Yes</v>
          </cell>
        </row>
        <row r="762">
          <cell r="A762" t="str">
            <v>91654-79216-IC</v>
          </cell>
          <cell r="B762" t="str">
            <v>Arlana Ferrea</v>
          </cell>
          <cell r="C762" t="str">
            <v>aferreal4@wikia.com</v>
          </cell>
          <cell r="E762" t="str">
            <v>5299 Springs Park</v>
          </cell>
          <cell r="F762" t="str">
            <v>Greensboro</v>
          </cell>
          <cell r="G762" t="str">
            <v>United States</v>
          </cell>
          <cell r="H762">
            <v>27404</v>
          </cell>
          <cell r="I762" t="str">
            <v>No</v>
          </cell>
        </row>
        <row r="763">
          <cell r="A763" t="str">
            <v>56450-21890-HK</v>
          </cell>
          <cell r="B763" t="str">
            <v>Chuck Kendrick</v>
          </cell>
          <cell r="C763" t="str">
            <v>ckendrickl5@webnode.com</v>
          </cell>
          <cell r="E763" t="str">
            <v>74028 Hansons Crossing</v>
          </cell>
          <cell r="F763" t="str">
            <v>Monroe</v>
          </cell>
          <cell r="G763" t="str">
            <v>United States</v>
          </cell>
          <cell r="H763">
            <v>71213</v>
          </cell>
          <cell r="I763" t="str">
            <v>Yes</v>
          </cell>
        </row>
        <row r="764">
          <cell r="A764" t="str">
            <v>40600-58915-WZ</v>
          </cell>
          <cell r="B764" t="str">
            <v>Sharona Danilchik</v>
          </cell>
          <cell r="C764" t="str">
            <v>sdanilchikl6@mit.edu</v>
          </cell>
          <cell r="D764" t="str">
            <v>+44 (292) 975-0144</v>
          </cell>
          <cell r="E764" t="str">
            <v>273 Nelson Parkway</v>
          </cell>
          <cell r="F764" t="str">
            <v>Halton</v>
          </cell>
          <cell r="G764" t="str">
            <v>United Kingdom</v>
          </cell>
          <cell r="H764" t="str">
            <v>LS9</v>
          </cell>
          <cell r="I764" t="str">
            <v>No</v>
          </cell>
        </row>
        <row r="765">
          <cell r="A765" t="str">
            <v>66527-94478-PB</v>
          </cell>
          <cell r="B765" t="str">
            <v>Sarajane Potter</v>
          </cell>
          <cell r="D765" t="str">
            <v>+1 (817) 389-2294</v>
          </cell>
          <cell r="E765" t="str">
            <v>5 Hermina Drive</v>
          </cell>
          <cell r="F765" t="str">
            <v>Fort Worth</v>
          </cell>
          <cell r="G765" t="str">
            <v>United States</v>
          </cell>
          <cell r="H765">
            <v>76129</v>
          </cell>
          <cell r="I765" t="str">
            <v>No</v>
          </cell>
        </row>
        <row r="766">
          <cell r="A766" t="str">
            <v>77154-45038-IH</v>
          </cell>
          <cell r="B766" t="str">
            <v>Bobby Folomkin</v>
          </cell>
          <cell r="C766" t="str">
            <v>bfolomkinl8@yolasite.com</v>
          </cell>
          <cell r="D766" t="str">
            <v>+1 (701) 278-8412</v>
          </cell>
          <cell r="E766" t="str">
            <v>2676 Alpine Lane</v>
          </cell>
          <cell r="F766" t="str">
            <v>Fargo</v>
          </cell>
          <cell r="G766" t="str">
            <v>United States</v>
          </cell>
          <cell r="H766">
            <v>58122</v>
          </cell>
          <cell r="I766" t="str">
            <v>Yes</v>
          </cell>
        </row>
        <row r="767">
          <cell r="A767" t="str">
            <v>08439-55669-AI</v>
          </cell>
          <cell r="B767" t="str">
            <v>Rafferty Pursglove</v>
          </cell>
          <cell r="C767" t="str">
            <v>rpursglovel9@biblegateway.com</v>
          </cell>
          <cell r="D767" t="str">
            <v>+1 (214) 813-8745</v>
          </cell>
          <cell r="E767" t="str">
            <v>4 Buena Vista Circle</v>
          </cell>
          <cell r="F767" t="str">
            <v>Garland</v>
          </cell>
          <cell r="G767" t="str">
            <v>United States</v>
          </cell>
          <cell r="H767">
            <v>75044</v>
          </cell>
          <cell r="I767" t="str">
            <v>Yes</v>
          </cell>
        </row>
        <row r="768">
          <cell r="A768" t="str">
            <v>81059-24087-UE</v>
          </cell>
          <cell r="B768" t="str">
            <v>Riva De Micoli</v>
          </cell>
          <cell r="C768" t="str">
            <v>rdela@usa.gov</v>
          </cell>
          <cell r="D768" t="str">
            <v>+1 (614) 894-2436</v>
          </cell>
          <cell r="E768" t="str">
            <v>62449 Manitowish Point</v>
          </cell>
          <cell r="F768" t="str">
            <v>Columbus</v>
          </cell>
          <cell r="G768" t="str">
            <v>United States</v>
          </cell>
          <cell r="H768">
            <v>43231</v>
          </cell>
          <cell r="I768" t="str">
            <v>No</v>
          </cell>
        </row>
        <row r="769">
          <cell r="A769" t="str">
            <v>46168-23489-RD</v>
          </cell>
          <cell r="B769" t="str">
            <v>Antoine Taunton.</v>
          </cell>
          <cell r="C769" t="str">
            <v>atauntonlb@bing.com</v>
          </cell>
          <cell r="D769" t="str">
            <v>+1 (512) 286-0114</v>
          </cell>
          <cell r="E769" t="str">
            <v>42 Melrose Parkway</v>
          </cell>
          <cell r="F769" t="str">
            <v>Austin</v>
          </cell>
          <cell r="G769" t="str">
            <v>United States</v>
          </cell>
          <cell r="H769">
            <v>78737</v>
          </cell>
          <cell r="I769" t="str">
            <v>No</v>
          </cell>
        </row>
        <row r="770">
          <cell r="A770" t="str">
            <v>11664-43119-GV</v>
          </cell>
          <cell r="B770" t="str">
            <v>Krishnah Incogna</v>
          </cell>
          <cell r="D770" t="str">
            <v>+1 (334) 451-9490</v>
          </cell>
          <cell r="E770" t="str">
            <v>948 Graedel Place</v>
          </cell>
          <cell r="F770" t="str">
            <v>Montgomery</v>
          </cell>
          <cell r="G770" t="str">
            <v>United States</v>
          </cell>
          <cell r="H770">
            <v>36104</v>
          </cell>
          <cell r="I770" t="str">
            <v>Yes</v>
          </cell>
        </row>
        <row r="771">
          <cell r="A771" t="str">
            <v>91509-62250-GN</v>
          </cell>
          <cell r="B771" t="str">
            <v>Dalia Eburah</v>
          </cell>
          <cell r="C771" t="str">
            <v>deburahld@google.co.jp</v>
          </cell>
          <cell r="D771" t="str">
            <v>+44 (607) 596-3921</v>
          </cell>
          <cell r="E771" t="str">
            <v>23 Summerview Place</v>
          </cell>
          <cell r="F771" t="str">
            <v>Birmingham</v>
          </cell>
          <cell r="G771" t="str">
            <v>United Kingdom</v>
          </cell>
          <cell r="H771" t="str">
            <v>B12</v>
          </cell>
          <cell r="I771" t="str">
            <v>No</v>
          </cell>
        </row>
        <row r="772">
          <cell r="A772" t="str">
            <v>83833-46106-ZC</v>
          </cell>
          <cell r="B772" t="str">
            <v>Martie Brimilcombe</v>
          </cell>
          <cell r="C772" t="str">
            <v>mbrimilcombele@cnn.com</v>
          </cell>
          <cell r="E772" t="str">
            <v>2260 Kinsman Junction</v>
          </cell>
          <cell r="F772" t="str">
            <v>Springfield</v>
          </cell>
          <cell r="G772" t="str">
            <v>United States</v>
          </cell>
          <cell r="H772">
            <v>22156</v>
          </cell>
          <cell r="I772" t="str">
            <v>No</v>
          </cell>
        </row>
        <row r="773">
          <cell r="A773" t="str">
            <v>19383-33606-PW</v>
          </cell>
          <cell r="B773" t="str">
            <v>Suzanna Bollam</v>
          </cell>
          <cell r="C773" t="str">
            <v>sbollamlf@list-manage.com</v>
          </cell>
          <cell r="D773" t="str">
            <v>+1 (303) 746-0415</v>
          </cell>
          <cell r="E773" t="str">
            <v>5 Buhler Center</v>
          </cell>
          <cell r="F773" t="str">
            <v>Littleton</v>
          </cell>
          <cell r="G773" t="str">
            <v>United States</v>
          </cell>
          <cell r="H773">
            <v>80126</v>
          </cell>
          <cell r="I773" t="str">
            <v>No</v>
          </cell>
        </row>
        <row r="774">
          <cell r="A774" t="str">
            <v>67052-76184-CB</v>
          </cell>
          <cell r="B774" t="str">
            <v>Mellisa Mebes</v>
          </cell>
          <cell r="D774" t="str">
            <v>+1 (410) 273-2348</v>
          </cell>
          <cell r="E774" t="str">
            <v>803 Crest Line Parkway</v>
          </cell>
          <cell r="F774" t="str">
            <v>Baltimore</v>
          </cell>
          <cell r="G774" t="str">
            <v>United States</v>
          </cell>
          <cell r="H774">
            <v>21275</v>
          </cell>
          <cell r="I774" t="str">
            <v>No</v>
          </cell>
        </row>
        <row r="775">
          <cell r="A775" t="str">
            <v>43452-18035-DH</v>
          </cell>
          <cell r="B775" t="str">
            <v>Alva Filipczak</v>
          </cell>
          <cell r="C775" t="str">
            <v>afilipczaklh@ning.com</v>
          </cell>
          <cell r="D775" t="str">
            <v>+353 (176) 447-3656</v>
          </cell>
          <cell r="E775" t="str">
            <v>4847 Vera Crossing</v>
          </cell>
          <cell r="F775" t="str">
            <v>Moycullen</v>
          </cell>
          <cell r="G775" t="str">
            <v>Ireland</v>
          </cell>
          <cell r="H775" t="str">
            <v>A41</v>
          </cell>
          <cell r="I775" t="str">
            <v>No</v>
          </cell>
        </row>
        <row r="776">
          <cell r="A776" t="str">
            <v>88060-50676-MV</v>
          </cell>
          <cell r="B776" t="str">
            <v>Dorette Hinemoor</v>
          </cell>
          <cell r="D776" t="str">
            <v>+1 (754) 336-4224</v>
          </cell>
          <cell r="E776" t="str">
            <v>121 Union Point</v>
          </cell>
          <cell r="F776" t="str">
            <v>Fort Lauderdale</v>
          </cell>
          <cell r="G776" t="str">
            <v>United States</v>
          </cell>
          <cell r="H776">
            <v>33345</v>
          </cell>
          <cell r="I776" t="str">
            <v>Yes</v>
          </cell>
        </row>
        <row r="777">
          <cell r="A777" t="str">
            <v>89574-96203-EP</v>
          </cell>
          <cell r="B777" t="str">
            <v>Rhetta Elnaugh</v>
          </cell>
          <cell r="C777" t="str">
            <v>relnaughlj@comsenz.com</v>
          </cell>
          <cell r="D777" t="str">
            <v>+1 (619) 728-2474</v>
          </cell>
          <cell r="E777" t="str">
            <v>48 Randy Street</v>
          </cell>
          <cell r="F777" t="str">
            <v>San Diego</v>
          </cell>
          <cell r="G777" t="str">
            <v>United States</v>
          </cell>
          <cell r="H777">
            <v>92191</v>
          </cell>
          <cell r="I777" t="str">
            <v>Yes</v>
          </cell>
        </row>
        <row r="778">
          <cell r="A778" t="str">
            <v>12607-75113-UV</v>
          </cell>
          <cell r="B778" t="str">
            <v>Jule Deehan</v>
          </cell>
          <cell r="C778" t="str">
            <v>jdeehanlk@about.me</v>
          </cell>
          <cell r="D778" t="str">
            <v>+1 (972) 327-1194</v>
          </cell>
          <cell r="E778" t="str">
            <v>11217 Maywood Terrace</v>
          </cell>
          <cell r="F778" t="str">
            <v>Dallas</v>
          </cell>
          <cell r="G778" t="str">
            <v>United States</v>
          </cell>
          <cell r="H778">
            <v>75216</v>
          </cell>
          <cell r="I778" t="str">
            <v>No</v>
          </cell>
        </row>
        <row r="779">
          <cell r="A779" t="str">
            <v>56991-05510-PR</v>
          </cell>
          <cell r="B779" t="str">
            <v>Janella Eden</v>
          </cell>
          <cell r="C779" t="str">
            <v>jedenll@e-recht24.de</v>
          </cell>
          <cell r="E779" t="str">
            <v>613 Merrick Way</v>
          </cell>
          <cell r="F779" t="str">
            <v>Joliet</v>
          </cell>
          <cell r="G779" t="str">
            <v>United States</v>
          </cell>
          <cell r="H779">
            <v>60435</v>
          </cell>
          <cell r="I779" t="str">
            <v>No</v>
          </cell>
        </row>
        <row r="780">
          <cell r="A780" t="str">
            <v>35463-72088-KU</v>
          </cell>
          <cell r="B780" t="str">
            <v>Devora Maton</v>
          </cell>
          <cell r="C780" t="str">
            <v>dmatonlm@utexas.edu</v>
          </cell>
          <cell r="D780" t="str">
            <v>+1 (616) 449-5632</v>
          </cell>
          <cell r="E780" t="str">
            <v>77 Butternut Park</v>
          </cell>
          <cell r="F780" t="str">
            <v>Grand Rapids</v>
          </cell>
          <cell r="G780" t="str">
            <v>United States</v>
          </cell>
          <cell r="H780">
            <v>49510</v>
          </cell>
          <cell r="I780" t="str">
            <v>Yes</v>
          </cell>
        </row>
        <row r="781">
          <cell r="A781" t="str">
            <v>33269-10023-CO</v>
          </cell>
          <cell r="B781" t="str">
            <v>Ugo Southerden</v>
          </cell>
          <cell r="C781" t="str">
            <v>usoutherdenln@hao123.com</v>
          </cell>
          <cell r="D781" t="str">
            <v>+1 (786) 490-0037</v>
          </cell>
          <cell r="E781" t="str">
            <v>63 Holmberg Avenue</v>
          </cell>
          <cell r="F781" t="str">
            <v>Clearwater</v>
          </cell>
          <cell r="G781" t="str">
            <v>United States</v>
          </cell>
          <cell r="H781">
            <v>34620</v>
          </cell>
          <cell r="I781" t="str">
            <v>Yes</v>
          </cell>
        </row>
        <row r="782">
          <cell r="A782" t="str">
            <v>31245-81098-PJ</v>
          </cell>
          <cell r="B782" t="str">
            <v>Verne Dunkerley</v>
          </cell>
          <cell r="D782" t="str">
            <v>+1 (763) 806-0186</v>
          </cell>
          <cell r="E782" t="str">
            <v>5770 Crest Line Place</v>
          </cell>
          <cell r="F782" t="str">
            <v>Minneapolis</v>
          </cell>
          <cell r="G782" t="str">
            <v>United States</v>
          </cell>
          <cell r="H782">
            <v>55441</v>
          </cell>
          <cell r="I782" t="str">
            <v>No</v>
          </cell>
        </row>
        <row r="783">
          <cell r="A783" t="str">
            <v>08946-56610-IH</v>
          </cell>
          <cell r="B783" t="str">
            <v>Lacee Burtenshaw</v>
          </cell>
          <cell r="C783" t="str">
            <v>lburtenshawlp@shinystat.com</v>
          </cell>
          <cell r="D783" t="str">
            <v>+1 (678) 536-4251</v>
          </cell>
          <cell r="E783" t="str">
            <v>8 Prentice Way</v>
          </cell>
          <cell r="F783" t="str">
            <v>Lawrenceville</v>
          </cell>
          <cell r="G783" t="str">
            <v>United States</v>
          </cell>
          <cell r="H783">
            <v>30045</v>
          </cell>
          <cell r="I783" t="str">
            <v>No</v>
          </cell>
        </row>
        <row r="784">
          <cell r="A784" t="str">
            <v>20260-32948-EB</v>
          </cell>
          <cell r="B784" t="str">
            <v>Adorne Gregoratti</v>
          </cell>
          <cell r="C784" t="str">
            <v>agregorattilq@vistaprint.com</v>
          </cell>
          <cell r="D784" t="str">
            <v>+353 (773) 508-6581</v>
          </cell>
          <cell r="E784" t="str">
            <v>27208 Maple Avenue</v>
          </cell>
          <cell r="F784" t="str">
            <v>Malahide</v>
          </cell>
          <cell r="G784" t="str">
            <v>Ireland</v>
          </cell>
          <cell r="H784" t="str">
            <v>K36</v>
          </cell>
          <cell r="I784" t="str">
            <v>No</v>
          </cell>
        </row>
        <row r="785">
          <cell r="A785" t="str">
            <v>31613-41626-KX</v>
          </cell>
          <cell r="B785" t="str">
            <v>Chris Croster</v>
          </cell>
          <cell r="C785" t="str">
            <v>ccrosterlr@gov.uk</v>
          </cell>
          <cell r="D785" t="str">
            <v>+1 (813) 621-3097</v>
          </cell>
          <cell r="E785" t="str">
            <v>9 Brickson Park Street</v>
          </cell>
          <cell r="F785" t="str">
            <v>Tampa</v>
          </cell>
          <cell r="G785" t="str">
            <v>United States</v>
          </cell>
          <cell r="H785">
            <v>33673</v>
          </cell>
          <cell r="I785" t="str">
            <v>Yes</v>
          </cell>
        </row>
        <row r="786">
          <cell r="A786" t="str">
            <v>75961-20170-RD</v>
          </cell>
          <cell r="B786" t="str">
            <v>Graeme Whitehead</v>
          </cell>
          <cell r="C786" t="str">
            <v>gwhiteheadls@hp.com</v>
          </cell>
          <cell r="E786" t="str">
            <v>39 Pawling Place</v>
          </cell>
          <cell r="F786" t="str">
            <v>Nashville</v>
          </cell>
          <cell r="G786" t="str">
            <v>United States</v>
          </cell>
          <cell r="H786">
            <v>37240</v>
          </cell>
          <cell r="I786" t="str">
            <v>No</v>
          </cell>
        </row>
        <row r="787">
          <cell r="A787" t="str">
            <v>72524-06410-KD</v>
          </cell>
          <cell r="B787" t="str">
            <v>Haslett Jodrelle</v>
          </cell>
          <cell r="C787" t="str">
            <v>hjodrellelt@samsung.com</v>
          </cell>
          <cell r="D787" t="str">
            <v>+1 (305) 334-0992</v>
          </cell>
          <cell r="E787" t="str">
            <v>9 Macpherson Avenue</v>
          </cell>
          <cell r="F787" t="str">
            <v>Miami</v>
          </cell>
          <cell r="G787" t="str">
            <v>United States</v>
          </cell>
          <cell r="H787">
            <v>33175</v>
          </cell>
          <cell r="I787" t="str">
            <v>No</v>
          </cell>
        </row>
        <row r="788">
          <cell r="A788" t="str">
            <v>01841-48191-NL</v>
          </cell>
          <cell r="B788" t="str">
            <v>Cam Jewster</v>
          </cell>
          <cell r="C788" t="str">
            <v>cjewsterlu@moonfruit.com</v>
          </cell>
          <cell r="D788" t="str">
            <v>+1 (937) 925-7390</v>
          </cell>
          <cell r="E788" t="str">
            <v>24010 Sunnyside Drive</v>
          </cell>
          <cell r="F788" t="str">
            <v>Dayton</v>
          </cell>
          <cell r="G788" t="str">
            <v>United States</v>
          </cell>
          <cell r="H788">
            <v>45426</v>
          </cell>
          <cell r="I788" t="str">
            <v>Yes</v>
          </cell>
        </row>
        <row r="789">
          <cell r="A789" t="str">
            <v>98918-34330-GY</v>
          </cell>
          <cell r="B789" t="str">
            <v>Beryl Osborn</v>
          </cell>
          <cell r="D789" t="str">
            <v>+1 (312) 648-4940</v>
          </cell>
          <cell r="E789" t="str">
            <v>71 Donald Trail</v>
          </cell>
          <cell r="F789" t="str">
            <v>Chicago</v>
          </cell>
          <cell r="G789" t="str">
            <v>United States</v>
          </cell>
          <cell r="H789">
            <v>60686</v>
          </cell>
          <cell r="I789" t="str">
            <v>Yes</v>
          </cell>
        </row>
        <row r="790">
          <cell r="A790" t="str">
            <v>51497-50894-WU</v>
          </cell>
          <cell r="B790" t="str">
            <v>Kaela Nottram</v>
          </cell>
          <cell r="C790" t="str">
            <v>knottramlw@odnoklassniki.ru</v>
          </cell>
          <cell r="D790" t="str">
            <v>+353 (549) 358-7019</v>
          </cell>
          <cell r="E790" t="str">
            <v>5 Moulton Court</v>
          </cell>
          <cell r="F790" t="str">
            <v>Arklow</v>
          </cell>
          <cell r="G790" t="str">
            <v>Ireland</v>
          </cell>
          <cell r="H790" t="str">
            <v>Y14</v>
          </cell>
          <cell r="I790" t="str">
            <v>Yes</v>
          </cell>
        </row>
        <row r="791">
          <cell r="A791" t="str">
            <v>98636-90072-YE</v>
          </cell>
          <cell r="B791" t="str">
            <v>Nobe Buney</v>
          </cell>
          <cell r="C791" t="str">
            <v>nbuneylx@jugem.jp</v>
          </cell>
          <cell r="D791" t="str">
            <v>+1 (510) 973-7084</v>
          </cell>
          <cell r="E791" t="str">
            <v>7 Anzinger Parkway</v>
          </cell>
          <cell r="F791" t="str">
            <v>Richmond</v>
          </cell>
          <cell r="G791" t="str">
            <v>United States</v>
          </cell>
          <cell r="H791">
            <v>94807</v>
          </cell>
          <cell r="I791" t="str">
            <v>No</v>
          </cell>
        </row>
        <row r="792">
          <cell r="A792" t="str">
            <v>47011-57815-HJ</v>
          </cell>
          <cell r="B792" t="str">
            <v>Silvan McShea</v>
          </cell>
          <cell r="C792" t="str">
            <v>smcshealy@photobucket.com</v>
          </cell>
          <cell r="D792" t="str">
            <v>+1 (360) 578-2262</v>
          </cell>
          <cell r="E792" t="str">
            <v>017 Loeprich Trail</v>
          </cell>
          <cell r="F792" t="str">
            <v>Olympia</v>
          </cell>
          <cell r="G792" t="str">
            <v>United States</v>
          </cell>
          <cell r="H792">
            <v>98506</v>
          </cell>
          <cell r="I792" t="str">
            <v>No</v>
          </cell>
        </row>
        <row r="793">
          <cell r="A793" t="str">
            <v>61253-98356-VD</v>
          </cell>
          <cell r="B793" t="str">
            <v>Karylin Huddart</v>
          </cell>
          <cell r="C793" t="str">
            <v>khuddartlz@about.com</v>
          </cell>
          <cell r="D793" t="str">
            <v>+1 (214) 931-4518</v>
          </cell>
          <cell r="E793" t="str">
            <v>831 Meadow Valley Way</v>
          </cell>
          <cell r="F793" t="str">
            <v>Arlington</v>
          </cell>
          <cell r="G793" t="str">
            <v>United States</v>
          </cell>
          <cell r="H793">
            <v>76011</v>
          </cell>
          <cell r="I793" t="str">
            <v>Yes</v>
          </cell>
        </row>
        <row r="794">
          <cell r="A794" t="str">
            <v>96762-10814-DA</v>
          </cell>
          <cell r="B794" t="str">
            <v>Jereme Gippes</v>
          </cell>
          <cell r="C794" t="str">
            <v>jgippesm0@cloudflare.com</v>
          </cell>
          <cell r="D794" t="str">
            <v>+44 (185) 319-5850</v>
          </cell>
          <cell r="E794" t="str">
            <v>47392 Spenser Trail</v>
          </cell>
          <cell r="F794" t="str">
            <v>Twyford</v>
          </cell>
          <cell r="G794" t="str">
            <v>United Kingdom</v>
          </cell>
          <cell r="H794" t="str">
            <v>LE14</v>
          </cell>
          <cell r="I794" t="str">
            <v>Yes</v>
          </cell>
        </row>
        <row r="795">
          <cell r="A795" t="str">
            <v>63112-10870-LC</v>
          </cell>
          <cell r="B795" t="str">
            <v>Lukas Whittlesee</v>
          </cell>
          <cell r="C795" t="str">
            <v>lwhittleseem1@e-recht24.de</v>
          </cell>
          <cell r="D795" t="str">
            <v>+1 (540) 413-9605</v>
          </cell>
          <cell r="E795" t="str">
            <v>720 Victoria Parkway</v>
          </cell>
          <cell r="F795" t="str">
            <v>Roanoke</v>
          </cell>
          <cell r="G795" t="str">
            <v>United States</v>
          </cell>
          <cell r="H795">
            <v>24009</v>
          </cell>
          <cell r="I795" t="str">
            <v>No</v>
          </cell>
        </row>
        <row r="796">
          <cell r="A796" t="str">
            <v>21403-49423-PD</v>
          </cell>
          <cell r="B796" t="str">
            <v>Gregorius Trengrove</v>
          </cell>
          <cell r="C796" t="str">
            <v>gtrengrovem2@elpais.com</v>
          </cell>
          <cell r="D796" t="str">
            <v>+1 (516) 513-7620</v>
          </cell>
          <cell r="E796" t="str">
            <v>0862 Farwell Avenue</v>
          </cell>
          <cell r="F796" t="str">
            <v>New Hyde Park</v>
          </cell>
          <cell r="G796" t="str">
            <v>United States</v>
          </cell>
          <cell r="H796">
            <v>11044</v>
          </cell>
          <cell r="I796" t="str">
            <v>No</v>
          </cell>
        </row>
        <row r="797">
          <cell r="A797" t="str">
            <v>29581-13303-VB</v>
          </cell>
          <cell r="B797" t="str">
            <v>Wright Caldero</v>
          </cell>
          <cell r="C797" t="str">
            <v>wcalderom3@stumbleupon.com</v>
          </cell>
          <cell r="D797" t="str">
            <v>+1 (714) 117-5483</v>
          </cell>
          <cell r="E797" t="str">
            <v>5933 Graceland Way</v>
          </cell>
          <cell r="F797" t="str">
            <v>Anaheim</v>
          </cell>
          <cell r="G797" t="str">
            <v>United States</v>
          </cell>
          <cell r="H797">
            <v>92825</v>
          </cell>
          <cell r="I797" t="str">
            <v>No</v>
          </cell>
        </row>
        <row r="798">
          <cell r="A798" t="str">
            <v>86110-83695-YS</v>
          </cell>
          <cell r="B798" t="str">
            <v>Merell Zanazzi</v>
          </cell>
          <cell r="D798" t="str">
            <v>+1 (606) 824-3445</v>
          </cell>
          <cell r="E798" t="str">
            <v>4 Memorial Place</v>
          </cell>
          <cell r="F798" t="str">
            <v>Lexington</v>
          </cell>
          <cell r="G798" t="str">
            <v>United States</v>
          </cell>
          <cell r="H798">
            <v>40596</v>
          </cell>
          <cell r="I798" t="str">
            <v>No</v>
          </cell>
        </row>
        <row r="799">
          <cell r="A799" t="str">
            <v>80454-42225-FT</v>
          </cell>
          <cell r="B799" t="str">
            <v>Jed Kennicott</v>
          </cell>
          <cell r="C799" t="str">
            <v>jkennicottm5@yahoo.co.jp</v>
          </cell>
          <cell r="D799" t="str">
            <v>+1 (813) 579-8389</v>
          </cell>
          <cell r="E799" t="str">
            <v>2 Holy Cross Pass</v>
          </cell>
          <cell r="F799" t="str">
            <v>Tampa</v>
          </cell>
          <cell r="G799" t="str">
            <v>United States</v>
          </cell>
          <cell r="H799">
            <v>33673</v>
          </cell>
          <cell r="I799" t="str">
            <v>No</v>
          </cell>
        </row>
        <row r="800">
          <cell r="A800" t="str">
            <v>29129-60664-KO</v>
          </cell>
          <cell r="B800" t="str">
            <v>Guenevere Ruggen</v>
          </cell>
          <cell r="C800" t="str">
            <v>gruggenm6@nymag.com</v>
          </cell>
          <cell r="D800" t="str">
            <v>+1 (408) 211-2306</v>
          </cell>
          <cell r="E800" t="str">
            <v>67 Mendota Hill</v>
          </cell>
          <cell r="F800" t="str">
            <v>San Jose</v>
          </cell>
          <cell r="G800" t="str">
            <v>United States</v>
          </cell>
          <cell r="H800">
            <v>95138</v>
          </cell>
          <cell r="I800" t="str">
            <v>Yes</v>
          </cell>
        </row>
        <row r="801">
          <cell r="A801" t="str">
            <v>63025-62939-AN</v>
          </cell>
          <cell r="B801" t="str">
            <v>Gonzales Cicculi</v>
          </cell>
          <cell r="E801" t="str">
            <v>63861 Bunting Road</v>
          </cell>
          <cell r="F801" t="str">
            <v>Washington</v>
          </cell>
          <cell r="G801" t="str">
            <v>United States</v>
          </cell>
          <cell r="H801">
            <v>20470</v>
          </cell>
          <cell r="I801" t="str">
            <v>Yes</v>
          </cell>
        </row>
        <row r="802">
          <cell r="A802" t="str">
            <v>49012-12987-QT</v>
          </cell>
          <cell r="B802" t="str">
            <v>Man Fright</v>
          </cell>
          <cell r="C802" t="str">
            <v>mfrightm8@harvard.edu</v>
          </cell>
          <cell r="D802" t="str">
            <v>+353 (955) 108-0675</v>
          </cell>
          <cell r="E802" t="str">
            <v>27242 Fordem Crossing</v>
          </cell>
          <cell r="F802" t="str">
            <v>Daingean</v>
          </cell>
          <cell r="G802" t="str">
            <v>Ireland</v>
          </cell>
          <cell r="H802" t="str">
            <v>E91</v>
          </cell>
          <cell r="I802" t="str">
            <v>No</v>
          </cell>
        </row>
        <row r="803">
          <cell r="A803" t="str">
            <v>50924-94200-SQ</v>
          </cell>
          <cell r="B803" t="str">
            <v>Boyce Tarte</v>
          </cell>
          <cell r="C803" t="str">
            <v>btartem9@aol.com</v>
          </cell>
          <cell r="D803" t="str">
            <v>+1 (360) 927-6561</v>
          </cell>
          <cell r="E803" t="str">
            <v>084 Reindahl Park</v>
          </cell>
          <cell r="F803" t="str">
            <v>Olympia</v>
          </cell>
          <cell r="G803" t="str">
            <v>United States</v>
          </cell>
          <cell r="H803">
            <v>98506</v>
          </cell>
          <cell r="I803" t="str">
            <v>Yes</v>
          </cell>
        </row>
        <row r="804">
          <cell r="A804" t="str">
            <v>15673-18812-IU</v>
          </cell>
          <cell r="B804" t="str">
            <v>Caddric Krzysztofiak</v>
          </cell>
          <cell r="C804" t="str">
            <v>ckrzysztofiakma@skyrock.com</v>
          </cell>
          <cell r="D804" t="str">
            <v>+1 (972) 782-4187</v>
          </cell>
          <cell r="E804" t="str">
            <v>6 Dayton Alley</v>
          </cell>
          <cell r="F804" t="str">
            <v>Mesquite</v>
          </cell>
          <cell r="G804" t="str">
            <v>United States</v>
          </cell>
          <cell r="H804">
            <v>75185</v>
          </cell>
          <cell r="I804" t="str">
            <v>No</v>
          </cell>
        </row>
        <row r="805">
          <cell r="A805" t="str">
            <v>52151-75971-YY</v>
          </cell>
          <cell r="B805" t="str">
            <v>Darn Penquet</v>
          </cell>
          <cell r="C805" t="str">
            <v>dpenquetmb@diigo.com</v>
          </cell>
          <cell r="E805" t="str">
            <v>19199 Mariners Cove Avenue</v>
          </cell>
          <cell r="F805" t="str">
            <v>Sacramento</v>
          </cell>
          <cell r="G805" t="str">
            <v>United States</v>
          </cell>
          <cell r="H805">
            <v>94207</v>
          </cell>
          <cell r="I805" t="str">
            <v>No</v>
          </cell>
        </row>
        <row r="806">
          <cell r="A806" t="str">
            <v>19413-02045-CG</v>
          </cell>
          <cell r="B806" t="str">
            <v>Jammie Cloke</v>
          </cell>
          <cell r="D806" t="str">
            <v>+44 (540) 353-5754</v>
          </cell>
          <cell r="E806" t="str">
            <v>844 Lawn Drive</v>
          </cell>
          <cell r="F806" t="str">
            <v>Newton</v>
          </cell>
          <cell r="G806" t="str">
            <v>United Kingdom</v>
          </cell>
          <cell r="H806" t="str">
            <v>NG34</v>
          </cell>
          <cell r="I806" t="str">
            <v>No</v>
          </cell>
        </row>
        <row r="807">
          <cell r="A807" t="str">
            <v>98185-92775-KT</v>
          </cell>
          <cell r="B807" t="str">
            <v>Chester Clowton</v>
          </cell>
          <cell r="D807" t="str">
            <v>+1 (763) 691-6777</v>
          </cell>
          <cell r="E807" t="str">
            <v>15196 Pleasure Court</v>
          </cell>
          <cell r="F807" t="str">
            <v>Monticello</v>
          </cell>
          <cell r="G807" t="str">
            <v>United States</v>
          </cell>
          <cell r="H807">
            <v>55590</v>
          </cell>
          <cell r="I807" t="str">
            <v>No</v>
          </cell>
        </row>
        <row r="808">
          <cell r="A808" t="str">
            <v>86991-53901-AT</v>
          </cell>
          <cell r="B808" t="str">
            <v>Kathleen Diable</v>
          </cell>
          <cell r="E808" t="str">
            <v>81 Arapahoe Circle</v>
          </cell>
          <cell r="F808" t="str">
            <v>Kinloch</v>
          </cell>
          <cell r="G808" t="str">
            <v>United Kingdom</v>
          </cell>
          <cell r="H808" t="str">
            <v>PH43</v>
          </cell>
          <cell r="I808" t="str">
            <v>Yes</v>
          </cell>
        </row>
        <row r="809">
          <cell r="A809" t="str">
            <v>78226-97287-JI</v>
          </cell>
          <cell r="B809" t="str">
            <v>Koren Ferretti</v>
          </cell>
          <cell r="C809" t="str">
            <v>kferrettimf@huffingtonpost.com</v>
          </cell>
          <cell r="D809" t="str">
            <v>+353 (526) 215-2582</v>
          </cell>
          <cell r="E809" t="str">
            <v>372 Northland Street</v>
          </cell>
          <cell r="F809" t="str">
            <v>Balrothery</v>
          </cell>
          <cell r="G809" t="str">
            <v>Ireland</v>
          </cell>
          <cell r="H809" t="str">
            <v>K32</v>
          </cell>
          <cell r="I809" t="str">
            <v>No</v>
          </cell>
        </row>
        <row r="810">
          <cell r="A810" t="str">
            <v>44938-31785-YZ</v>
          </cell>
          <cell r="B810" t="str">
            <v>Agretha Melland</v>
          </cell>
          <cell r="C810" t="str">
            <v>amellandmg@pen.io</v>
          </cell>
          <cell r="D810" t="str">
            <v>+1 (212) 500-7483</v>
          </cell>
          <cell r="E810" t="str">
            <v>5424 Beilfuss Court</v>
          </cell>
          <cell r="F810" t="str">
            <v>Jamaica</v>
          </cell>
          <cell r="G810" t="str">
            <v>United States</v>
          </cell>
          <cell r="H810">
            <v>11499</v>
          </cell>
          <cell r="I810" t="str">
            <v>Yes</v>
          </cell>
        </row>
        <row r="811">
          <cell r="A811" t="str">
            <v>40560-18556-YE</v>
          </cell>
          <cell r="B811" t="str">
            <v>Chaddie Bennie</v>
          </cell>
          <cell r="D811" t="str">
            <v>+1 (915) 204-2588</v>
          </cell>
          <cell r="E811" t="str">
            <v>935 Lawn Circle</v>
          </cell>
          <cell r="F811" t="str">
            <v>El Paso</v>
          </cell>
          <cell r="G811" t="str">
            <v>United States</v>
          </cell>
          <cell r="H811">
            <v>79934</v>
          </cell>
          <cell r="I811" t="str">
            <v>Yes</v>
          </cell>
        </row>
        <row r="812">
          <cell r="A812" t="str">
            <v>40780-22081-LX</v>
          </cell>
          <cell r="B812" t="str">
            <v>Alberta Balsdone</v>
          </cell>
          <cell r="C812" t="str">
            <v>abalsdonemi@toplist.cz</v>
          </cell>
          <cell r="D812" t="str">
            <v>+1 (863) 490-5370</v>
          </cell>
          <cell r="E812" t="str">
            <v>3 Kings Plaza</v>
          </cell>
          <cell r="F812" t="str">
            <v>Largo</v>
          </cell>
          <cell r="G812" t="str">
            <v>United States</v>
          </cell>
          <cell r="H812">
            <v>34643</v>
          </cell>
          <cell r="I812" t="str">
            <v>No</v>
          </cell>
        </row>
        <row r="813">
          <cell r="A813" t="str">
            <v>01603-43789-TN</v>
          </cell>
          <cell r="B813" t="str">
            <v>Brice Romera</v>
          </cell>
          <cell r="C813" t="str">
            <v>bromeramj@list-manage.com</v>
          </cell>
          <cell r="D813" t="str">
            <v>+353 (640) 110-9801</v>
          </cell>
          <cell r="E813" t="str">
            <v>2311 Eastlawn Plaza</v>
          </cell>
          <cell r="F813" t="str">
            <v>Foxrock</v>
          </cell>
          <cell r="G813" t="str">
            <v>Ireland</v>
          </cell>
          <cell r="H813" t="str">
            <v>D04</v>
          </cell>
          <cell r="I813" t="str">
            <v>Yes</v>
          </cell>
        </row>
        <row r="814">
          <cell r="A814" t="str">
            <v>45009-09239-IV</v>
          </cell>
          <cell r="B814" t="str">
            <v>Micky Glover</v>
          </cell>
          <cell r="C814" t="str">
            <v>mglovermk@cnbc.com</v>
          </cell>
          <cell r="D814" t="str">
            <v>+44 (898) 129-9218</v>
          </cell>
          <cell r="E814" t="str">
            <v>95 Grasskamp Point</v>
          </cell>
          <cell r="F814" t="str">
            <v>Burnside</v>
          </cell>
          <cell r="G814" t="str">
            <v>United Kingdom</v>
          </cell>
          <cell r="H814" t="str">
            <v>EH52</v>
          </cell>
          <cell r="I814" t="str">
            <v>Yes</v>
          </cell>
        </row>
        <row r="815">
          <cell r="A815" t="str">
            <v>75419-92838-TI</v>
          </cell>
          <cell r="B815" t="str">
            <v>Conchita Bryde</v>
          </cell>
          <cell r="C815" t="str">
            <v>cbrydeml@tuttocitta.it</v>
          </cell>
          <cell r="D815" t="str">
            <v>+1 (405) 497-2199</v>
          </cell>
          <cell r="E815" t="str">
            <v>74 Crowley Plaza</v>
          </cell>
          <cell r="F815" t="str">
            <v>Oklahoma City</v>
          </cell>
          <cell r="G815" t="str">
            <v>United States</v>
          </cell>
          <cell r="H815">
            <v>73179</v>
          </cell>
          <cell r="I815" t="str">
            <v>Yes</v>
          </cell>
        </row>
        <row r="816">
          <cell r="A816" t="str">
            <v>96516-97464-MF</v>
          </cell>
          <cell r="B816" t="str">
            <v>Silvanus Enefer</v>
          </cell>
          <cell r="C816" t="str">
            <v>senefermm@blog.com</v>
          </cell>
          <cell r="D816" t="str">
            <v>+1 (202) 877-3473</v>
          </cell>
          <cell r="E816" t="str">
            <v>52 Carey Plaza</v>
          </cell>
          <cell r="F816" t="str">
            <v>Washington</v>
          </cell>
          <cell r="G816" t="str">
            <v>United States</v>
          </cell>
          <cell r="H816">
            <v>20051</v>
          </cell>
          <cell r="I816" t="str">
            <v>No</v>
          </cell>
        </row>
        <row r="817">
          <cell r="A817" t="str">
            <v>90285-56295-PO</v>
          </cell>
          <cell r="B817" t="str">
            <v>Lenci Haggerstone</v>
          </cell>
          <cell r="C817" t="str">
            <v>lhaggerstonemn@independent.co.uk</v>
          </cell>
          <cell r="D817" t="str">
            <v>+1 (770) 779-0007</v>
          </cell>
          <cell r="E817" t="str">
            <v>52441 Evergreen Lane</v>
          </cell>
          <cell r="F817" t="str">
            <v>Atlanta</v>
          </cell>
          <cell r="G817" t="str">
            <v>United States</v>
          </cell>
          <cell r="H817">
            <v>30351</v>
          </cell>
          <cell r="I817" t="str">
            <v>No</v>
          </cell>
        </row>
        <row r="818">
          <cell r="A818" t="str">
            <v>08100-71102-HQ</v>
          </cell>
          <cell r="B818" t="str">
            <v>Marvin Gundry</v>
          </cell>
          <cell r="C818" t="str">
            <v>mgundrymo@omniture.com</v>
          </cell>
          <cell r="D818" t="str">
            <v>+353 (500) 164-9392</v>
          </cell>
          <cell r="E818" t="str">
            <v>4 Harper Avenue</v>
          </cell>
          <cell r="F818" t="str">
            <v>Castlebridge</v>
          </cell>
          <cell r="G818" t="str">
            <v>Ireland</v>
          </cell>
          <cell r="H818" t="str">
            <v>R14</v>
          </cell>
          <cell r="I818" t="str">
            <v>No</v>
          </cell>
        </row>
        <row r="819">
          <cell r="A819" t="str">
            <v>84074-28110-OV</v>
          </cell>
          <cell r="B819" t="str">
            <v>Bayard Wellan</v>
          </cell>
          <cell r="C819" t="str">
            <v>bwellanmp@cafepress.com</v>
          </cell>
          <cell r="E819" t="str">
            <v>7203 Main Crossing</v>
          </cell>
          <cell r="F819" t="str">
            <v>Buffalo</v>
          </cell>
          <cell r="G819" t="str">
            <v>United States</v>
          </cell>
          <cell r="H819">
            <v>14276</v>
          </cell>
          <cell r="I819" t="str">
            <v>No</v>
          </cell>
        </row>
        <row r="820">
          <cell r="A820" t="str">
            <v>27930-59250-JT</v>
          </cell>
          <cell r="B820" t="str">
            <v>Allis Wilmore</v>
          </cell>
          <cell r="D820" t="str">
            <v>+1 (713) 984-5207</v>
          </cell>
          <cell r="E820" t="str">
            <v>94 Moulton Street</v>
          </cell>
          <cell r="F820" t="str">
            <v>Houston</v>
          </cell>
          <cell r="G820" t="str">
            <v>United States</v>
          </cell>
          <cell r="H820">
            <v>77260</v>
          </cell>
          <cell r="I820" t="str">
            <v>No</v>
          </cell>
        </row>
        <row r="821">
          <cell r="A821" t="str">
            <v>12747-63766-EU</v>
          </cell>
          <cell r="B821" t="str">
            <v>Caddric Atcheson</v>
          </cell>
          <cell r="C821" t="str">
            <v>catchesonmr@xinhuanet.com</v>
          </cell>
          <cell r="D821" t="str">
            <v>+1 (202) 975-7723</v>
          </cell>
          <cell r="E821" t="str">
            <v>1 Hovde Pass</v>
          </cell>
          <cell r="F821" t="str">
            <v>Washington</v>
          </cell>
          <cell r="G821" t="str">
            <v>United States</v>
          </cell>
          <cell r="H821">
            <v>20470</v>
          </cell>
          <cell r="I821" t="str">
            <v>Yes</v>
          </cell>
        </row>
        <row r="822">
          <cell r="A822" t="str">
            <v>83490-88357-LJ</v>
          </cell>
          <cell r="B822" t="str">
            <v>Eustace Stenton</v>
          </cell>
          <cell r="C822" t="str">
            <v>estentonms@google.it</v>
          </cell>
          <cell r="D822" t="str">
            <v>+1 (512) 819-1430</v>
          </cell>
          <cell r="E822" t="str">
            <v>8472 Graedel Circle</v>
          </cell>
          <cell r="F822" t="str">
            <v>Austin</v>
          </cell>
          <cell r="G822" t="str">
            <v>United States</v>
          </cell>
          <cell r="H822">
            <v>78764</v>
          </cell>
          <cell r="I822" t="str">
            <v>Yes</v>
          </cell>
        </row>
        <row r="823">
          <cell r="A823" t="str">
            <v>53729-30320-XZ</v>
          </cell>
          <cell r="B823" t="str">
            <v>Ericka Tripp</v>
          </cell>
          <cell r="C823" t="str">
            <v>etrippmt@wp.com</v>
          </cell>
          <cell r="D823" t="str">
            <v>+1 (602) 971-9708</v>
          </cell>
          <cell r="E823" t="str">
            <v>4 4th Pass</v>
          </cell>
          <cell r="F823" t="str">
            <v>Mesa</v>
          </cell>
          <cell r="G823" t="str">
            <v>United States</v>
          </cell>
          <cell r="H823">
            <v>85205</v>
          </cell>
          <cell r="I823" t="str">
            <v>No</v>
          </cell>
        </row>
        <row r="824">
          <cell r="A824" t="str">
            <v>50384-52703-LA</v>
          </cell>
          <cell r="B824" t="str">
            <v>Lyndsey MacManus</v>
          </cell>
          <cell r="C824" t="str">
            <v>lmacmanusmu@imdb.com</v>
          </cell>
          <cell r="D824" t="str">
            <v>+1 (912) 191-6620</v>
          </cell>
          <cell r="E824" t="str">
            <v>9 Springs Crossing</v>
          </cell>
          <cell r="F824" t="str">
            <v>Savannah</v>
          </cell>
          <cell r="G824" t="str">
            <v>United States</v>
          </cell>
          <cell r="H824">
            <v>31416</v>
          </cell>
          <cell r="I824" t="str">
            <v>No</v>
          </cell>
        </row>
        <row r="825">
          <cell r="A825" t="str">
            <v>53864-36201-FG</v>
          </cell>
          <cell r="B825" t="str">
            <v>Tess Benediktovich</v>
          </cell>
          <cell r="C825" t="str">
            <v>tbenediktovichmv@ebay.com</v>
          </cell>
          <cell r="D825" t="str">
            <v>+1 (505) 523-8113</v>
          </cell>
          <cell r="E825" t="str">
            <v>1068 Sutherland Plaza</v>
          </cell>
          <cell r="F825" t="str">
            <v>Albuquerque</v>
          </cell>
          <cell r="G825" t="str">
            <v>United States</v>
          </cell>
          <cell r="H825">
            <v>87140</v>
          </cell>
          <cell r="I825" t="str">
            <v>Yes</v>
          </cell>
        </row>
        <row r="826">
          <cell r="A826" t="str">
            <v>70631-33225-MZ</v>
          </cell>
          <cell r="B826" t="str">
            <v>Correy Bourner</v>
          </cell>
          <cell r="C826" t="str">
            <v>cbournermw@chronoengine.com</v>
          </cell>
          <cell r="E826" t="str">
            <v>6058 Lunder Junction</v>
          </cell>
          <cell r="F826" t="str">
            <v>Charlotte</v>
          </cell>
          <cell r="G826" t="str">
            <v>United States</v>
          </cell>
          <cell r="H826">
            <v>28299</v>
          </cell>
          <cell r="I826" t="str">
            <v>Yes</v>
          </cell>
        </row>
        <row r="827">
          <cell r="A827" t="str">
            <v>78661-52235-WG</v>
          </cell>
          <cell r="B827" t="str">
            <v>Uta Kohring</v>
          </cell>
          <cell r="C827" t="str">
            <v>ukohringmx@seattletimes.com</v>
          </cell>
          <cell r="D827" t="str">
            <v>+1 (619) 602-9063</v>
          </cell>
          <cell r="E827" t="str">
            <v>3 Loftsgordon Plaza</v>
          </cell>
          <cell r="F827" t="str">
            <v>San Diego</v>
          </cell>
          <cell r="G827" t="str">
            <v>United States</v>
          </cell>
          <cell r="H827">
            <v>92191</v>
          </cell>
          <cell r="I827" t="str">
            <v>Yes</v>
          </cell>
        </row>
        <row r="828">
          <cell r="A828" t="str">
            <v>08023-52962-ET</v>
          </cell>
          <cell r="B828" t="str">
            <v>Kandy Heddan</v>
          </cell>
          <cell r="C828" t="str">
            <v>kheddanmy@icq.com</v>
          </cell>
          <cell r="D828" t="str">
            <v>+1 (850) 796-6812</v>
          </cell>
          <cell r="E828" t="str">
            <v>6234 Heath Court</v>
          </cell>
          <cell r="F828" t="str">
            <v>Pensacola</v>
          </cell>
          <cell r="G828" t="str">
            <v>United States</v>
          </cell>
          <cell r="H828">
            <v>32575</v>
          </cell>
          <cell r="I828" t="str">
            <v>Yes</v>
          </cell>
        </row>
        <row r="829">
          <cell r="A829" t="str">
            <v>41899-00283-VK</v>
          </cell>
          <cell r="B829" t="str">
            <v>Ibby Charters</v>
          </cell>
          <cell r="C829" t="str">
            <v>ichartersmz@abc.net.au</v>
          </cell>
          <cell r="D829" t="str">
            <v>+1 (202) 710-9776</v>
          </cell>
          <cell r="E829" t="str">
            <v>9435 Troy Circle</v>
          </cell>
          <cell r="F829" t="str">
            <v>Washington</v>
          </cell>
          <cell r="G829" t="str">
            <v>United States</v>
          </cell>
          <cell r="H829">
            <v>20470</v>
          </cell>
          <cell r="I829" t="str">
            <v>No</v>
          </cell>
        </row>
        <row r="830">
          <cell r="A830" t="str">
            <v>39011-18412-GR</v>
          </cell>
          <cell r="B830" t="str">
            <v>Adora Roubert</v>
          </cell>
          <cell r="C830" t="str">
            <v>aroubertn0@tmall.com</v>
          </cell>
          <cell r="D830" t="str">
            <v>+1 (772) 366-6549</v>
          </cell>
          <cell r="E830" t="str">
            <v>27591 Michigan Place</v>
          </cell>
          <cell r="F830" t="str">
            <v>Port Saint Lucie</v>
          </cell>
          <cell r="G830" t="str">
            <v>United States</v>
          </cell>
          <cell r="H830">
            <v>34985</v>
          </cell>
          <cell r="I830" t="str">
            <v>Yes</v>
          </cell>
        </row>
        <row r="831">
          <cell r="A831" t="str">
            <v>60255-12579-PZ</v>
          </cell>
          <cell r="B831" t="str">
            <v>Hillel Mairs</v>
          </cell>
          <cell r="C831" t="str">
            <v>hmairsn1@so-net.ne.jp</v>
          </cell>
          <cell r="D831" t="str">
            <v>+1 (304) 834-9665</v>
          </cell>
          <cell r="E831" t="str">
            <v>325 Forest Run Crossing</v>
          </cell>
          <cell r="F831" t="str">
            <v>Huntington</v>
          </cell>
          <cell r="G831" t="str">
            <v>United States</v>
          </cell>
          <cell r="H831">
            <v>25705</v>
          </cell>
          <cell r="I831" t="str">
            <v>No</v>
          </cell>
        </row>
        <row r="832">
          <cell r="A832" t="str">
            <v>80541-38332-BP</v>
          </cell>
          <cell r="B832" t="str">
            <v>Helaina Rainforth</v>
          </cell>
          <cell r="C832" t="str">
            <v>hrainforthn2@blog.com</v>
          </cell>
          <cell r="D832" t="str">
            <v>+1 (215) 607-9440</v>
          </cell>
          <cell r="E832" t="str">
            <v>132 New Castle Drive</v>
          </cell>
          <cell r="F832" t="str">
            <v>Philadelphia</v>
          </cell>
          <cell r="G832" t="str">
            <v>United States</v>
          </cell>
          <cell r="H832">
            <v>19172</v>
          </cell>
          <cell r="I832" t="str">
            <v>No</v>
          </cell>
        </row>
        <row r="833">
          <cell r="A833" t="str">
            <v>54798-14109-HC</v>
          </cell>
          <cell r="B833" t="str">
            <v>Odelia Skerme</v>
          </cell>
          <cell r="C833" t="str">
            <v>oskermen3@hatena.ne.jp</v>
          </cell>
          <cell r="D833" t="str">
            <v>+1 (405) 615-0298</v>
          </cell>
          <cell r="E833" t="str">
            <v>4 Tony Circle</v>
          </cell>
          <cell r="F833" t="str">
            <v>Oklahoma City</v>
          </cell>
          <cell r="G833" t="str">
            <v>United States</v>
          </cell>
          <cell r="H833">
            <v>73167</v>
          </cell>
          <cell r="I833" t="str">
            <v>Yes</v>
          </cell>
        </row>
        <row r="834">
          <cell r="A834" t="str">
            <v>72778-50968-UQ</v>
          </cell>
          <cell r="B834" t="str">
            <v>Isac Jesper</v>
          </cell>
          <cell r="C834" t="str">
            <v>ijespern4@theglobeandmail.com</v>
          </cell>
          <cell r="D834" t="str">
            <v>+1 (239) 918-0943</v>
          </cell>
          <cell r="E834" t="str">
            <v>810 Sage Court</v>
          </cell>
          <cell r="F834" t="str">
            <v>Naples</v>
          </cell>
          <cell r="G834" t="str">
            <v>United States</v>
          </cell>
          <cell r="H834">
            <v>34114</v>
          </cell>
          <cell r="I834" t="str">
            <v>No</v>
          </cell>
        </row>
        <row r="835">
          <cell r="A835" t="str">
            <v>23941-30203-MO</v>
          </cell>
          <cell r="B835" t="str">
            <v>Lenette Dwerryhouse</v>
          </cell>
          <cell r="C835" t="str">
            <v>ldwerryhousen5@gravatar.com</v>
          </cell>
          <cell r="D835" t="str">
            <v>+1 (682) 812-1698</v>
          </cell>
          <cell r="E835" t="str">
            <v>2 Wayridge Court</v>
          </cell>
          <cell r="F835" t="str">
            <v>Fort Worth</v>
          </cell>
          <cell r="G835" t="str">
            <v>United States</v>
          </cell>
          <cell r="H835">
            <v>76105</v>
          </cell>
          <cell r="I835" t="str">
            <v>Yes</v>
          </cell>
        </row>
        <row r="836">
          <cell r="A836" t="str">
            <v>96434-50068-DZ</v>
          </cell>
          <cell r="B836" t="str">
            <v>Nadeen Broomer</v>
          </cell>
          <cell r="C836" t="str">
            <v>nbroomern6@examiner.com</v>
          </cell>
          <cell r="D836" t="str">
            <v>+1 (402) 219-2018</v>
          </cell>
          <cell r="E836" t="str">
            <v>51 Straubel Terrace</v>
          </cell>
          <cell r="F836" t="str">
            <v>Omaha</v>
          </cell>
          <cell r="G836" t="str">
            <v>United States</v>
          </cell>
          <cell r="H836">
            <v>68117</v>
          </cell>
          <cell r="I836" t="str">
            <v>No</v>
          </cell>
        </row>
        <row r="837">
          <cell r="A837" t="str">
            <v>11729-74102-XB</v>
          </cell>
          <cell r="B837" t="str">
            <v>Konstantine Thoumasson</v>
          </cell>
          <cell r="C837" t="str">
            <v>kthoumassonn7@bloglovin.com</v>
          </cell>
          <cell r="E837" t="str">
            <v>342 North Lane</v>
          </cell>
          <cell r="F837" t="str">
            <v>Tucson</v>
          </cell>
          <cell r="G837" t="str">
            <v>United States</v>
          </cell>
          <cell r="H837">
            <v>85732</v>
          </cell>
          <cell r="I837" t="str">
            <v>Yes</v>
          </cell>
        </row>
        <row r="838">
          <cell r="A838" t="str">
            <v>88116-12604-TE</v>
          </cell>
          <cell r="B838" t="str">
            <v>Frans Habbergham</v>
          </cell>
          <cell r="C838" t="str">
            <v>fhabberghamn8@discovery.com</v>
          </cell>
          <cell r="D838" t="str">
            <v>+1 (775) 814-9362</v>
          </cell>
          <cell r="E838" t="str">
            <v>76 Fallview Crossing</v>
          </cell>
          <cell r="F838" t="str">
            <v>Sparks</v>
          </cell>
          <cell r="G838" t="str">
            <v>United States</v>
          </cell>
          <cell r="H838">
            <v>89436</v>
          </cell>
          <cell r="I838" t="str">
            <v>No</v>
          </cell>
        </row>
        <row r="839">
          <cell r="A839" t="str">
            <v>86783-78048-GC</v>
          </cell>
          <cell r="B839" t="str">
            <v>Margarette Woolham</v>
          </cell>
          <cell r="C839" t="str">
            <v>mwoolhamn9@nature.com</v>
          </cell>
          <cell r="D839" t="str">
            <v>+1 (321) 687-2352</v>
          </cell>
          <cell r="E839" t="str">
            <v>5 Sunnyside Drive</v>
          </cell>
          <cell r="F839" t="str">
            <v>Orlando</v>
          </cell>
          <cell r="G839" t="str">
            <v>United States</v>
          </cell>
          <cell r="H839">
            <v>32835</v>
          </cell>
          <cell r="I839" t="str">
            <v>Yes</v>
          </cell>
        </row>
        <row r="840">
          <cell r="A840" t="str">
            <v>13082-41034-PD</v>
          </cell>
          <cell r="B840" t="str">
            <v>Romain Avrashin</v>
          </cell>
          <cell r="C840" t="str">
            <v>ravrashinna@tamu.edu</v>
          </cell>
          <cell r="D840" t="str">
            <v>+1 (202) 973-9890</v>
          </cell>
          <cell r="E840" t="str">
            <v>88 Westerfield Point</v>
          </cell>
          <cell r="F840" t="str">
            <v>Washington</v>
          </cell>
          <cell r="G840" t="str">
            <v>United States</v>
          </cell>
          <cell r="H840">
            <v>20067</v>
          </cell>
          <cell r="I840" t="str">
            <v>No</v>
          </cell>
        </row>
        <row r="841">
          <cell r="A841" t="str">
            <v>18082-74419-QH</v>
          </cell>
          <cell r="B841" t="str">
            <v>Miran Doidge</v>
          </cell>
          <cell r="C841" t="str">
            <v>mdoidgenb@etsy.com</v>
          </cell>
          <cell r="D841" t="str">
            <v>+1 (831) 955-4716</v>
          </cell>
          <cell r="E841" t="str">
            <v>94 Del Mar Lane</v>
          </cell>
          <cell r="F841" t="str">
            <v>Salinas</v>
          </cell>
          <cell r="G841" t="str">
            <v>United States</v>
          </cell>
          <cell r="H841">
            <v>93907</v>
          </cell>
          <cell r="I841" t="str">
            <v>No</v>
          </cell>
        </row>
        <row r="842">
          <cell r="A842" t="str">
            <v>49401-45041-ZU</v>
          </cell>
          <cell r="B842" t="str">
            <v>Janeva Edinboro</v>
          </cell>
          <cell r="C842" t="str">
            <v>jedinboronc@reverbnation.com</v>
          </cell>
          <cell r="D842" t="str">
            <v>+1 (754) 219-4187</v>
          </cell>
          <cell r="E842" t="str">
            <v>24 Bowman Point</v>
          </cell>
          <cell r="F842" t="str">
            <v>Fort Lauderdale</v>
          </cell>
          <cell r="G842" t="str">
            <v>United States</v>
          </cell>
          <cell r="H842">
            <v>33345</v>
          </cell>
          <cell r="I842" t="str">
            <v>Yes</v>
          </cell>
        </row>
        <row r="843">
          <cell r="A843" t="str">
            <v>41252-45992-VS</v>
          </cell>
          <cell r="B843" t="str">
            <v>Trumaine Tewelson</v>
          </cell>
          <cell r="C843" t="str">
            <v>ttewelsonnd@cdbaby.com</v>
          </cell>
          <cell r="E843" t="str">
            <v>903 Scoville Court</v>
          </cell>
          <cell r="F843" t="str">
            <v>El Paso</v>
          </cell>
          <cell r="G843" t="str">
            <v>United States</v>
          </cell>
          <cell r="H843">
            <v>88553</v>
          </cell>
          <cell r="I843" t="str">
            <v>No</v>
          </cell>
        </row>
        <row r="844">
          <cell r="A844" t="str">
            <v>06624-75300-AR</v>
          </cell>
          <cell r="B844" t="str">
            <v>Niles Krimmer</v>
          </cell>
          <cell r="C844" t="str">
            <v>nkrimmerne@bbb.org</v>
          </cell>
          <cell r="E844" t="str">
            <v>0401 Bashford Avenue</v>
          </cell>
          <cell r="F844" t="str">
            <v>Glendale</v>
          </cell>
          <cell r="G844" t="str">
            <v>United States</v>
          </cell>
          <cell r="H844">
            <v>91210</v>
          </cell>
          <cell r="I844" t="str">
            <v>Yes</v>
          </cell>
        </row>
        <row r="845">
          <cell r="A845" t="str">
            <v>00852-54571-WP</v>
          </cell>
          <cell r="B845" t="str">
            <v>De Drewitt</v>
          </cell>
          <cell r="C845" t="str">
            <v>ddrewittnf@mapquest.com</v>
          </cell>
          <cell r="D845" t="str">
            <v>+1 (571) 504-1175</v>
          </cell>
          <cell r="E845" t="str">
            <v>6 Tomscot Hill</v>
          </cell>
          <cell r="F845" t="str">
            <v>Alexandria</v>
          </cell>
          <cell r="G845" t="str">
            <v>United States</v>
          </cell>
          <cell r="H845">
            <v>22313</v>
          </cell>
          <cell r="I845" t="str">
            <v>Yes</v>
          </cell>
        </row>
        <row r="846">
          <cell r="A846" t="str">
            <v>13321-57602-GK</v>
          </cell>
          <cell r="B846" t="str">
            <v>Adelheid Gladhill</v>
          </cell>
          <cell r="C846" t="str">
            <v>agladhillng@stanford.edu</v>
          </cell>
          <cell r="D846" t="str">
            <v>+1 (410) 991-5601</v>
          </cell>
          <cell r="E846" t="str">
            <v>36 Atwood Plaza</v>
          </cell>
          <cell r="F846" t="str">
            <v>Baltimore</v>
          </cell>
          <cell r="G846" t="str">
            <v>United States</v>
          </cell>
          <cell r="H846">
            <v>21290</v>
          </cell>
          <cell r="I846" t="str">
            <v>Yes</v>
          </cell>
        </row>
        <row r="847">
          <cell r="A847" t="str">
            <v>75006-89922-VW</v>
          </cell>
          <cell r="B847" t="str">
            <v>Murielle Lorinez</v>
          </cell>
          <cell r="C847" t="str">
            <v>mlorineznh@whitehouse.gov</v>
          </cell>
          <cell r="E847" t="str">
            <v>029 Bluejay Circle</v>
          </cell>
          <cell r="F847" t="str">
            <v>Evansville</v>
          </cell>
          <cell r="G847" t="str">
            <v>United States</v>
          </cell>
          <cell r="H847">
            <v>47732</v>
          </cell>
          <cell r="I847" t="str">
            <v>No</v>
          </cell>
        </row>
        <row r="848">
          <cell r="A848" t="str">
            <v>52098-80103-FD</v>
          </cell>
          <cell r="B848" t="str">
            <v>Edin Mathe</v>
          </cell>
          <cell r="D848" t="str">
            <v>+1 (404) 514-8311</v>
          </cell>
          <cell r="E848" t="str">
            <v>49261 Merry Crossing</v>
          </cell>
          <cell r="F848" t="str">
            <v>Lawrenceville</v>
          </cell>
          <cell r="G848" t="str">
            <v>United States</v>
          </cell>
          <cell r="H848">
            <v>30045</v>
          </cell>
          <cell r="I848" t="str">
            <v>Yes</v>
          </cell>
        </row>
        <row r="849">
          <cell r="A849" t="str">
            <v>60121-12432-VU</v>
          </cell>
          <cell r="B849" t="str">
            <v>Mordy Van Der Vlies</v>
          </cell>
          <cell r="C849" t="str">
            <v>mvannj@wikipedia.org</v>
          </cell>
          <cell r="E849" t="str">
            <v>297 Fulton Way</v>
          </cell>
          <cell r="F849" t="str">
            <v>Mobile</v>
          </cell>
          <cell r="G849" t="str">
            <v>United States</v>
          </cell>
          <cell r="H849">
            <v>36670</v>
          </cell>
          <cell r="I849" t="str">
            <v>Yes</v>
          </cell>
        </row>
        <row r="850">
          <cell r="A850" t="str">
            <v>68346-14810-UA</v>
          </cell>
          <cell r="B850" t="str">
            <v>Spencer Wastell</v>
          </cell>
          <cell r="D850" t="str">
            <v>+1 (432) 765-8747</v>
          </cell>
          <cell r="E850" t="str">
            <v>80 Oak Alley</v>
          </cell>
          <cell r="F850" t="str">
            <v>Midland</v>
          </cell>
          <cell r="G850" t="str">
            <v>United States</v>
          </cell>
          <cell r="H850">
            <v>79705</v>
          </cell>
          <cell r="I850" t="str">
            <v>No</v>
          </cell>
        </row>
        <row r="851">
          <cell r="A851" t="str">
            <v>48464-99723-HK</v>
          </cell>
          <cell r="B851" t="str">
            <v>Jemimah Ethelston</v>
          </cell>
          <cell r="C851" t="str">
            <v>jethelstonnl@creativecommons.org</v>
          </cell>
          <cell r="D851" t="str">
            <v>+1 (954) 385-3551</v>
          </cell>
          <cell r="E851" t="str">
            <v>676 Mcbride Lane</v>
          </cell>
          <cell r="F851" t="str">
            <v>Hollywood</v>
          </cell>
          <cell r="G851" t="str">
            <v>United States</v>
          </cell>
          <cell r="H851">
            <v>33023</v>
          </cell>
          <cell r="I851" t="str">
            <v>Yes</v>
          </cell>
        </row>
        <row r="852">
          <cell r="A852" t="str">
            <v>39652-20484-RV</v>
          </cell>
          <cell r="B852" t="str">
            <v>Bobbe Jevon</v>
          </cell>
          <cell r="C852" t="str">
            <v>bjevonnm@feedburner.com</v>
          </cell>
          <cell r="D852" t="str">
            <v>+1 (785) 211-7568</v>
          </cell>
          <cell r="E852" t="str">
            <v>66 Roth Center</v>
          </cell>
          <cell r="F852" t="str">
            <v>Topeka</v>
          </cell>
          <cell r="G852" t="str">
            <v>United States</v>
          </cell>
          <cell r="H852">
            <v>66611</v>
          </cell>
          <cell r="I852" t="str">
            <v>Yes</v>
          </cell>
        </row>
        <row r="853">
          <cell r="A853" t="str">
            <v>88420-46464-XE</v>
          </cell>
          <cell r="B853" t="str">
            <v>Perice Eberz</v>
          </cell>
          <cell r="C853" t="str">
            <v>peberznn@woothemes.com</v>
          </cell>
          <cell r="D853" t="str">
            <v>+1 (530) 938-1204</v>
          </cell>
          <cell r="E853" t="str">
            <v>490 Elmside Court</v>
          </cell>
          <cell r="F853" t="str">
            <v>Chico</v>
          </cell>
          <cell r="G853" t="str">
            <v>United States</v>
          </cell>
          <cell r="H853">
            <v>95973</v>
          </cell>
          <cell r="I853" t="str">
            <v>Yes</v>
          </cell>
        </row>
        <row r="854">
          <cell r="A854" t="str">
            <v>37762-09530-MP</v>
          </cell>
          <cell r="B854" t="str">
            <v>Bear Gaish</v>
          </cell>
          <cell r="C854" t="str">
            <v>bgaishno@altervista.org</v>
          </cell>
          <cell r="E854" t="str">
            <v>0010 Dayton Crossing</v>
          </cell>
          <cell r="F854" t="str">
            <v>Austin</v>
          </cell>
          <cell r="G854" t="str">
            <v>United States</v>
          </cell>
          <cell r="H854">
            <v>78737</v>
          </cell>
          <cell r="I854" t="str">
            <v>Yes</v>
          </cell>
        </row>
        <row r="855">
          <cell r="A855" t="str">
            <v>47268-50127-XY</v>
          </cell>
          <cell r="B855" t="str">
            <v>Lynnea Danton</v>
          </cell>
          <cell r="C855" t="str">
            <v>ldantonnp@miitbeian.gov.cn</v>
          </cell>
          <cell r="E855" t="str">
            <v>111 Mosinee Alley</v>
          </cell>
          <cell r="F855" t="str">
            <v>El Paso</v>
          </cell>
          <cell r="G855" t="str">
            <v>United States</v>
          </cell>
          <cell r="H855">
            <v>88546</v>
          </cell>
          <cell r="I855" t="str">
            <v>No</v>
          </cell>
        </row>
        <row r="856">
          <cell r="A856" t="str">
            <v>25544-84179-QC</v>
          </cell>
          <cell r="B856" t="str">
            <v>Skipton Morrall</v>
          </cell>
          <cell r="C856" t="str">
            <v>smorrallnq@answers.com</v>
          </cell>
          <cell r="D856" t="str">
            <v>+1 (304) 897-5422</v>
          </cell>
          <cell r="E856" t="str">
            <v>52731 Fair Oaks Way</v>
          </cell>
          <cell r="F856" t="str">
            <v>Charleston</v>
          </cell>
          <cell r="G856" t="str">
            <v>United States</v>
          </cell>
          <cell r="H856">
            <v>25326</v>
          </cell>
          <cell r="I856" t="str">
            <v>Yes</v>
          </cell>
        </row>
        <row r="857">
          <cell r="A857" t="str">
            <v>32058-76765-ZL</v>
          </cell>
          <cell r="B857" t="str">
            <v>Devan Crownshaw</v>
          </cell>
          <cell r="C857" t="str">
            <v>dcrownshawnr@photobucket.com</v>
          </cell>
          <cell r="D857" t="str">
            <v>+1 (610) 576-4733</v>
          </cell>
          <cell r="E857" t="str">
            <v>25669 Spohn Plaza</v>
          </cell>
          <cell r="F857" t="str">
            <v>Allentown</v>
          </cell>
          <cell r="G857" t="str">
            <v>United States</v>
          </cell>
          <cell r="H857">
            <v>18105</v>
          </cell>
          <cell r="I857" t="str">
            <v>No</v>
          </cell>
        </row>
        <row r="858">
          <cell r="A858" t="str">
            <v>67938-81768-NX</v>
          </cell>
          <cell r="B858" t="str">
            <v>Kriste Wessel</v>
          </cell>
          <cell r="C858" t="str">
            <v>kwesselns@wikispaces.com</v>
          </cell>
          <cell r="D858" t="str">
            <v>+44 (739) 768-8321</v>
          </cell>
          <cell r="E858" t="str">
            <v>2664 Karstens Court</v>
          </cell>
          <cell r="F858" t="str">
            <v>London</v>
          </cell>
          <cell r="G858" t="str">
            <v>United Kingdom</v>
          </cell>
          <cell r="H858" t="str">
            <v>W1F</v>
          </cell>
          <cell r="I858" t="str">
            <v>Yes</v>
          </cell>
        </row>
        <row r="859">
          <cell r="A859" t="str">
            <v>69171-65646-UC</v>
          </cell>
          <cell r="B859" t="str">
            <v>Joceline Reddoch</v>
          </cell>
          <cell r="C859" t="str">
            <v>jreddochnt@sun.com</v>
          </cell>
          <cell r="D859" t="str">
            <v>+1 (863) 742-5292</v>
          </cell>
          <cell r="E859" t="str">
            <v>79075 Helena Road</v>
          </cell>
          <cell r="F859" t="str">
            <v>Largo</v>
          </cell>
          <cell r="G859" t="str">
            <v>United States</v>
          </cell>
          <cell r="H859">
            <v>34643</v>
          </cell>
          <cell r="I859" t="str">
            <v>No</v>
          </cell>
        </row>
        <row r="860">
          <cell r="A860" t="str">
            <v>22503-52799-MI</v>
          </cell>
          <cell r="B860" t="str">
            <v>Shelley Titley</v>
          </cell>
          <cell r="C860" t="str">
            <v>stitleynu@whitehouse.gov</v>
          </cell>
          <cell r="D860" t="str">
            <v>+1 (701) 350-6149</v>
          </cell>
          <cell r="E860" t="str">
            <v>8279 Old Gate Lane</v>
          </cell>
          <cell r="F860" t="str">
            <v>Fargo</v>
          </cell>
          <cell r="G860" t="str">
            <v>United States</v>
          </cell>
          <cell r="H860">
            <v>58122</v>
          </cell>
          <cell r="I860" t="str">
            <v>No</v>
          </cell>
        </row>
        <row r="861">
          <cell r="A861" t="str">
            <v>08934-65581-ZI</v>
          </cell>
          <cell r="B861" t="str">
            <v>Redd Simao</v>
          </cell>
          <cell r="C861" t="str">
            <v>rsimaonv@simplemachines.org</v>
          </cell>
          <cell r="D861" t="str">
            <v>+1 (479) 898-5090</v>
          </cell>
          <cell r="E861" t="str">
            <v>37 Ridgeway Street</v>
          </cell>
          <cell r="F861" t="str">
            <v>Fort Smith</v>
          </cell>
          <cell r="G861" t="str">
            <v>United States</v>
          </cell>
          <cell r="H861">
            <v>72905</v>
          </cell>
          <cell r="I861" t="str">
            <v>No</v>
          </cell>
        </row>
        <row r="862">
          <cell r="A862" t="str">
            <v>15764-22559-ZT</v>
          </cell>
          <cell r="B862" t="str">
            <v>Cece Inker</v>
          </cell>
          <cell r="D862" t="str">
            <v>+1 (863) 977-9033</v>
          </cell>
          <cell r="E862" t="str">
            <v>67 Annamark Street</v>
          </cell>
          <cell r="F862" t="str">
            <v>Lakeland</v>
          </cell>
          <cell r="G862" t="str">
            <v>United States</v>
          </cell>
          <cell r="H862">
            <v>33811</v>
          </cell>
          <cell r="I862" t="str">
            <v>No</v>
          </cell>
        </row>
        <row r="863">
          <cell r="A863" t="str">
            <v>87519-68847-ZG</v>
          </cell>
          <cell r="B863" t="str">
            <v>Noel Chisholm</v>
          </cell>
          <cell r="C863" t="str">
            <v>nchisholmnx@example.com</v>
          </cell>
          <cell r="D863" t="str">
            <v>+1 (865) 228-1100</v>
          </cell>
          <cell r="E863" t="str">
            <v>85 Calypso Place</v>
          </cell>
          <cell r="F863" t="str">
            <v>Knoxville</v>
          </cell>
          <cell r="G863" t="str">
            <v>United States</v>
          </cell>
          <cell r="H863">
            <v>37924</v>
          </cell>
          <cell r="I863" t="str">
            <v>Yes</v>
          </cell>
        </row>
        <row r="864">
          <cell r="A864" t="str">
            <v>78012-56878-UB</v>
          </cell>
          <cell r="B864" t="str">
            <v>Grazia Oats</v>
          </cell>
          <cell r="C864" t="str">
            <v>goatsny@live.com</v>
          </cell>
          <cell r="D864" t="str">
            <v>+1 (213) 813-1072</v>
          </cell>
          <cell r="E864" t="str">
            <v>7552 Dottie Road</v>
          </cell>
          <cell r="F864" t="str">
            <v>Los Angeles</v>
          </cell>
          <cell r="G864" t="str">
            <v>United States</v>
          </cell>
          <cell r="H864">
            <v>90030</v>
          </cell>
          <cell r="I864" t="str">
            <v>Yes</v>
          </cell>
        </row>
        <row r="865">
          <cell r="A865" t="str">
            <v>77192-72145-RG</v>
          </cell>
          <cell r="B865" t="str">
            <v>Meade Birkin</v>
          </cell>
          <cell r="C865" t="str">
            <v>mbirkinnz@java.com</v>
          </cell>
          <cell r="D865" t="str">
            <v>+1 (954) 431-7206</v>
          </cell>
          <cell r="E865" t="str">
            <v>218 Elka Trail</v>
          </cell>
          <cell r="F865" t="str">
            <v>Miami</v>
          </cell>
          <cell r="G865" t="str">
            <v>United States</v>
          </cell>
          <cell r="H865">
            <v>33169</v>
          </cell>
          <cell r="I865" t="str">
            <v>Yes</v>
          </cell>
        </row>
        <row r="866">
          <cell r="A866" t="str">
            <v>86071-79238-CX</v>
          </cell>
          <cell r="B866" t="str">
            <v>Ronda Pyson</v>
          </cell>
          <cell r="C866" t="str">
            <v>rpysono0@constantcontact.com</v>
          </cell>
          <cell r="D866" t="str">
            <v>+353 (836) 436-1472</v>
          </cell>
          <cell r="E866" t="str">
            <v>850 Jenna Court</v>
          </cell>
          <cell r="F866" t="str">
            <v>Clones</v>
          </cell>
          <cell r="G866" t="str">
            <v>Ireland</v>
          </cell>
          <cell r="H866" t="str">
            <v>H23</v>
          </cell>
          <cell r="I866" t="str">
            <v>No</v>
          </cell>
        </row>
        <row r="867">
          <cell r="A867" t="str">
            <v>13764-02913-LA</v>
          </cell>
          <cell r="B867" t="str">
            <v>Rachele Ebrall</v>
          </cell>
          <cell r="D867" t="str">
            <v>+1 (312) 585-2288</v>
          </cell>
          <cell r="E867" t="str">
            <v>709 Blackbird Crossing</v>
          </cell>
          <cell r="F867" t="str">
            <v>Chicago</v>
          </cell>
          <cell r="G867" t="str">
            <v>United States</v>
          </cell>
          <cell r="H867">
            <v>60604</v>
          </cell>
          <cell r="I867" t="str">
            <v>Yes</v>
          </cell>
        </row>
        <row r="868">
          <cell r="A868" t="str">
            <v>11212-69985-ZJ</v>
          </cell>
          <cell r="B868" t="str">
            <v>Rafaela Treacher</v>
          </cell>
          <cell r="C868" t="str">
            <v>rtreachero2@usa.gov</v>
          </cell>
          <cell r="D868" t="str">
            <v>+353 (552) 867-2244</v>
          </cell>
          <cell r="E868" t="str">
            <v>16 Prentice Court</v>
          </cell>
          <cell r="F868" t="str">
            <v>Greystones</v>
          </cell>
          <cell r="G868" t="str">
            <v>Ireland</v>
          </cell>
          <cell r="H868" t="str">
            <v>A63</v>
          </cell>
          <cell r="I868" t="str">
            <v>No</v>
          </cell>
        </row>
        <row r="869">
          <cell r="A869" t="str">
            <v>53893-01719-CL</v>
          </cell>
          <cell r="B869" t="str">
            <v>Bee Fattorini</v>
          </cell>
          <cell r="C869" t="str">
            <v>bfattorinio3@quantcast.com</v>
          </cell>
          <cell r="E869" t="str">
            <v>433 Caliangt Park</v>
          </cell>
          <cell r="F869" t="str">
            <v>Monaghan</v>
          </cell>
          <cell r="G869" t="str">
            <v>Ireland</v>
          </cell>
          <cell r="H869" t="str">
            <v>H18</v>
          </cell>
          <cell r="I869" t="str">
            <v>Yes</v>
          </cell>
        </row>
        <row r="870">
          <cell r="A870" t="str">
            <v>66028-99867-WJ</v>
          </cell>
          <cell r="B870" t="str">
            <v>Margie Palleske</v>
          </cell>
          <cell r="C870" t="str">
            <v>mpalleskeo4@nyu.edu</v>
          </cell>
          <cell r="D870" t="str">
            <v>+1 (561) 371-1596</v>
          </cell>
          <cell r="E870" t="str">
            <v>30 Dixon Trail</v>
          </cell>
          <cell r="F870" t="str">
            <v>Pompano Beach</v>
          </cell>
          <cell r="G870" t="str">
            <v>United States</v>
          </cell>
          <cell r="H870">
            <v>33064</v>
          </cell>
          <cell r="I870" t="str">
            <v>Yes</v>
          </cell>
        </row>
        <row r="871">
          <cell r="A871" t="str">
            <v>62839-56723-CH</v>
          </cell>
          <cell r="B871" t="str">
            <v>Alexina Randals</v>
          </cell>
          <cell r="D871" t="str">
            <v>+1 (916) 300-4433</v>
          </cell>
          <cell r="E871" t="str">
            <v>713 Hayes Junction</v>
          </cell>
          <cell r="F871" t="str">
            <v>Sacramento</v>
          </cell>
          <cell r="G871" t="str">
            <v>United States</v>
          </cell>
          <cell r="H871">
            <v>94297</v>
          </cell>
          <cell r="I871" t="str">
            <v>Yes</v>
          </cell>
        </row>
        <row r="872">
          <cell r="A872" t="str">
            <v>96849-52854-CR</v>
          </cell>
          <cell r="B872" t="str">
            <v>Filip Antcliffe</v>
          </cell>
          <cell r="C872" t="str">
            <v>fantcliffeo6@amazon.co.jp</v>
          </cell>
          <cell r="D872" t="str">
            <v>+353 (581) 217-6697</v>
          </cell>
          <cell r="E872" t="str">
            <v>05 Bobwhite Pass</v>
          </cell>
          <cell r="F872" t="str">
            <v>Clonskeagh</v>
          </cell>
          <cell r="G872" t="str">
            <v>Ireland</v>
          </cell>
          <cell r="H872" t="str">
            <v>D04</v>
          </cell>
          <cell r="I872" t="str">
            <v>Yes</v>
          </cell>
        </row>
        <row r="873">
          <cell r="A873" t="str">
            <v>19755-55847-VW</v>
          </cell>
          <cell r="B873" t="str">
            <v>Peyter Matignon</v>
          </cell>
          <cell r="C873" t="str">
            <v>pmatignono7@harvard.edu</v>
          </cell>
          <cell r="D873" t="str">
            <v>+44 (792) 626-3977</v>
          </cell>
          <cell r="E873" t="str">
            <v>3162 Arizona Way</v>
          </cell>
          <cell r="F873" t="str">
            <v>Kirkton</v>
          </cell>
          <cell r="G873" t="str">
            <v>United Kingdom</v>
          </cell>
          <cell r="H873" t="str">
            <v>KW10</v>
          </cell>
          <cell r="I873" t="str">
            <v>Yes</v>
          </cell>
        </row>
        <row r="874">
          <cell r="A874" t="str">
            <v>32900-82606-BO</v>
          </cell>
          <cell r="B874" t="str">
            <v>Claudie Weond</v>
          </cell>
          <cell r="C874" t="str">
            <v>cweondo8@theglobeandmail.com</v>
          </cell>
          <cell r="D874" t="str">
            <v>+1 (828) 335-1268</v>
          </cell>
          <cell r="E874" t="str">
            <v>41 Coolidge Way</v>
          </cell>
          <cell r="F874" t="str">
            <v>Asheville</v>
          </cell>
          <cell r="G874" t="str">
            <v>United States</v>
          </cell>
          <cell r="H874">
            <v>28805</v>
          </cell>
          <cell r="I874" t="str">
            <v>No</v>
          </cell>
        </row>
        <row r="875">
          <cell r="A875" t="str">
            <v>16809-16936-WF</v>
          </cell>
          <cell r="B875" t="str">
            <v>Modesty MacConnechie</v>
          </cell>
          <cell r="C875" t="str">
            <v>mmacconnechieo9@reuters.com</v>
          </cell>
          <cell r="D875" t="str">
            <v>+1 (304) 620-6008</v>
          </cell>
          <cell r="E875" t="str">
            <v>526 Onsgard Park</v>
          </cell>
          <cell r="F875" t="str">
            <v>Charleston</v>
          </cell>
          <cell r="G875" t="str">
            <v>United States</v>
          </cell>
          <cell r="H875">
            <v>25362</v>
          </cell>
          <cell r="I875" t="str">
            <v>Yes</v>
          </cell>
        </row>
        <row r="876">
          <cell r="A876" t="str">
            <v>20118-28138-QD</v>
          </cell>
          <cell r="B876" t="str">
            <v>Jaquenette Skentelbery</v>
          </cell>
          <cell r="C876" t="str">
            <v>jskentelberyoa@paypal.com</v>
          </cell>
          <cell r="D876" t="str">
            <v>+1 (713) 976-5419</v>
          </cell>
          <cell r="E876" t="str">
            <v>90235 Holy Cross Parkway</v>
          </cell>
          <cell r="F876" t="str">
            <v>Houston</v>
          </cell>
          <cell r="G876" t="str">
            <v>United States</v>
          </cell>
          <cell r="H876">
            <v>77281</v>
          </cell>
          <cell r="I876" t="str">
            <v>No</v>
          </cell>
        </row>
        <row r="877">
          <cell r="A877" t="str">
            <v>84057-45461-AH</v>
          </cell>
          <cell r="B877" t="str">
            <v>Orazio Comber</v>
          </cell>
          <cell r="C877" t="str">
            <v>ocomberob@goo.gl</v>
          </cell>
          <cell r="D877" t="str">
            <v>+353 (947) 836-2302</v>
          </cell>
          <cell r="E877" t="str">
            <v>725 Autumn Leaf Place</v>
          </cell>
          <cell r="F877" t="str">
            <v>Confey</v>
          </cell>
          <cell r="G877" t="str">
            <v>Ireland</v>
          </cell>
          <cell r="H877" t="str">
            <v>A86</v>
          </cell>
          <cell r="I877" t="str">
            <v>No</v>
          </cell>
        </row>
        <row r="878">
          <cell r="A878" t="str">
            <v>66934-67426-WC</v>
          </cell>
          <cell r="B878" t="str">
            <v>Domini Bram</v>
          </cell>
          <cell r="C878" t="str">
            <v>dbramoc@ifeng.com</v>
          </cell>
          <cell r="D878" t="str">
            <v>+1 (202) 790-0537</v>
          </cell>
          <cell r="E878" t="str">
            <v>7528 Luster Court</v>
          </cell>
          <cell r="F878" t="str">
            <v>Washington</v>
          </cell>
          <cell r="G878" t="str">
            <v>United States</v>
          </cell>
          <cell r="H878">
            <v>20575</v>
          </cell>
          <cell r="I878" t="str">
            <v>Yes</v>
          </cell>
        </row>
        <row r="879">
          <cell r="A879" t="str">
            <v>90882-88130-KQ</v>
          </cell>
          <cell r="B879" t="str">
            <v>Zachary Tramel</v>
          </cell>
          <cell r="C879" t="str">
            <v>ztramelod@netlog.com</v>
          </cell>
          <cell r="D879" t="str">
            <v>+1 (862) 925-5943</v>
          </cell>
          <cell r="E879" t="str">
            <v>28834 Wayridge Lane</v>
          </cell>
          <cell r="F879" t="str">
            <v>Newark</v>
          </cell>
          <cell r="G879" t="str">
            <v>United States</v>
          </cell>
          <cell r="H879">
            <v>7195</v>
          </cell>
          <cell r="I879" t="str">
            <v>No</v>
          </cell>
        </row>
        <row r="880">
          <cell r="A880" t="str">
            <v>21617-79890-DD</v>
          </cell>
          <cell r="B880" t="str">
            <v>Izaak Primak</v>
          </cell>
          <cell r="D880" t="str">
            <v>+1 (206) 705-3979</v>
          </cell>
          <cell r="E880" t="str">
            <v>55 Buhler Pass</v>
          </cell>
          <cell r="F880" t="str">
            <v>Seattle</v>
          </cell>
          <cell r="G880" t="str">
            <v>United States</v>
          </cell>
          <cell r="H880">
            <v>98195</v>
          </cell>
          <cell r="I880" t="str">
            <v>Yes</v>
          </cell>
        </row>
        <row r="881">
          <cell r="A881" t="str">
            <v>20256-54689-LO</v>
          </cell>
          <cell r="B881" t="str">
            <v>Brittani Thoresbie</v>
          </cell>
          <cell r="D881" t="str">
            <v>+1 (303) 606-9146</v>
          </cell>
          <cell r="E881" t="str">
            <v>643 Logan Plaza</v>
          </cell>
          <cell r="F881" t="str">
            <v>Englewood</v>
          </cell>
          <cell r="G881" t="str">
            <v>United States</v>
          </cell>
          <cell r="H881">
            <v>80150</v>
          </cell>
          <cell r="I881" t="str">
            <v>No</v>
          </cell>
        </row>
        <row r="882">
          <cell r="A882" t="str">
            <v>17572-27091-AA</v>
          </cell>
          <cell r="B882" t="str">
            <v>Constanta Hatfull</v>
          </cell>
          <cell r="C882" t="str">
            <v>chatfullog@ebay.com</v>
          </cell>
          <cell r="D882" t="str">
            <v>+1 (815) 382-1966</v>
          </cell>
          <cell r="E882" t="str">
            <v>2 Nelson Alley</v>
          </cell>
          <cell r="F882" t="str">
            <v>Rockford</v>
          </cell>
          <cell r="G882" t="str">
            <v>United States</v>
          </cell>
          <cell r="H882">
            <v>61105</v>
          </cell>
          <cell r="I882" t="str">
            <v>No</v>
          </cell>
        </row>
        <row r="883">
          <cell r="A883" t="str">
            <v>82300-88786-UE</v>
          </cell>
          <cell r="B883" t="str">
            <v>Bobbe Castagneto</v>
          </cell>
          <cell r="D883" t="str">
            <v>+1 (406) 972-9050</v>
          </cell>
          <cell r="E883" t="str">
            <v>5 Moose Terrace</v>
          </cell>
          <cell r="F883" t="str">
            <v>Billings</v>
          </cell>
          <cell r="G883" t="str">
            <v>United States</v>
          </cell>
          <cell r="H883">
            <v>59112</v>
          </cell>
          <cell r="I883" t="str">
            <v>Yes</v>
          </cell>
        </row>
        <row r="884">
          <cell r="A884" t="str">
            <v>32562-55185-DQ</v>
          </cell>
          <cell r="B884" t="str">
            <v>Chastity Swatman</v>
          </cell>
          <cell r="C884" t="str">
            <v>cswatmanoi@cbslocal.com</v>
          </cell>
          <cell r="D884" t="str">
            <v>+1 (404) 916-1168</v>
          </cell>
          <cell r="E884" t="str">
            <v>4 Eastwood Alley</v>
          </cell>
          <cell r="F884" t="str">
            <v>Atlanta</v>
          </cell>
          <cell r="G884" t="str">
            <v>United States</v>
          </cell>
          <cell r="H884">
            <v>31165</v>
          </cell>
          <cell r="I884" t="str">
            <v>No</v>
          </cell>
        </row>
        <row r="885">
          <cell r="A885" t="str">
            <v>77175-09826-SF</v>
          </cell>
          <cell r="B885" t="str">
            <v>Lindon Agnolo</v>
          </cell>
          <cell r="C885" t="str">
            <v>lagnolooj@pinterest.com</v>
          </cell>
          <cell r="D885" t="str">
            <v>+1 (918) 228-6949</v>
          </cell>
          <cell r="E885" t="str">
            <v>82499 Mallard Lane</v>
          </cell>
          <cell r="F885" t="str">
            <v>Tulsa</v>
          </cell>
          <cell r="G885" t="str">
            <v>United States</v>
          </cell>
          <cell r="H885">
            <v>74108</v>
          </cell>
          <cell r="I885" t="str">
            <v>Yes</v>
          </cell>
        </row>
        <row r="886">
          <cell r="A886" t="str">
            <v>07237-32539-NB</v>
          </cell>
          <cell r="B886" t="str">
            <v>Delainey Kiddy</v>
          </cell>
          <cell r="C886" t="str">
            <v>dkiddyok@fda.gov</v>
          </cell>
          <cell r="D886" t="str">
            <v>+1 (209) 103-3933</v>
          </cell>
          <cell r="E886" t="str">
            <v>66184 Melby Avenue</v>
          </cell>
          <cell r="F886" t="str">
            <v>Fresno</v>
          </cell>
          <cell r="G886" t="str">
            <v>United States</v>
          </cell>
          <cell r="H886">
            <v>93704</v>
          </cell>
          <cell r="I886" t="str">
            <v>Yes</v>
          </cell>
        </row>
        <row r="887">
          <cell r="A887" t="str">
            <v>54722-76431-EX</v>
          </cell>
          <cell r="B887" t="str">
            <v>Helli Petroulis</v>
          </cell>
          <cell r="C887" t="str">
            <v>hpetroulisol@state.tx.us</v>
          </cell>
          <cell r="D887" t="str">
            <v>+353 (783) 893-0842</v>
          </cell>
          <cell r="E887" t="str">
            <v>56 Hollow Ridge Circle</v>
          </cell>
          <cell r="F887" t="str">
            <v>Mullagh</v>
          </cell>
          <cell r="G887" t="str">
            <v>Ireland</v>
          </cell>
          <cell r="H887" t="str">
            <v>V31</v>
          </cell>
          <cell r="I887" t="str">
            <v>No</v>
          </cell>
        </row>
        <row r="888">
          <cell r="A888" t="str">
            <v>67847-82662-TE</v>
          </cell>
          <cell r="B888" t="str">
            <v>Marty Scholl</v>
          </cell>
          <cell r="C888" t="str">
            <v>mschollom@taobao.com</v>
          </cell>
          <cell r="D888" t="str">
            <v>+1 (415) 613-5939</v>
          </cell>
          <cell r="E888" t="str">
            <v>59992 Canary Crossing</v>
          </cell>
          <cell r="F888" t="str">
            <v>San Francisco</v>
          </cell>
          <cell r="G888" t="str">
            <v>United States</v>
          </cell>
          <cell r="H888">
            <v>94154</v>
          </cell>
          <cell r="I888" t="str">
            <v>No</v>
          </cell>
        </row>
        <row r="889">
          <cell r="A889" t="str">
            <v>51114-51191-EW</v>
          </cell>
          <cell r="B889" t="str">
            <v>Kienan Ferson</v>
          </cell>
          <cell r="C889" t="str">
            <v>kfersonon@g.co</v>
          </cell>
          <cell r="D889" t="str">
            <v>+1 (251) 291-1195</v>
          </cell>
          <cell r="E889" t="str">
            <v>72997 Annamark Plaza</v>
          </cell>
          <cell r="F889" t="str">
            <v>Mobile</v>
          </cell>
          <cell r="G889" t="str">
            <v>United States</v>
          </cell>
          <cell r="H889">
            <v>36689</v>
          </cell>
          <cell r="I889" t="str">
            <v>No</v>
          </cell>
        </row>
        <row r="890">
          <cell r="A890" t="str">
            <v>91809-58808-TV</v>
          </cell>
          <cell r="B890" t="str">
            <v>Blake Kelloway</v>
          </cell>
          <cell r="C890" t="str">
            <v>bkellowayoo@omniture.com</v>
          </cell>
          <cell r="D890" t="str">
            <v>+1 (415) 757-3377</v>
          </cell>
          <cell r="E890" t="str">
            <v>7351 Sloan Pass</v>
          </cell>
          <cell r="F890" t="str">
            <v>San Francisco</v>
          </cell>
          <cell r="G890" t="str">
            <v>United States</v>
          </cell>
          <cell r="H890">
            <v>94110</v>
          </cell>
          <cell r="I890" t="str">
            <v>Yes</v>
          </cell>
        </row>
        <row r="891">
          <cell r="A891" t="str">
            <v>84996-26826-DK</v>
          </cell>
          <cell r="B891" t="str">
            <v>Scarlett Oliffe</v>
          </cell>
          <cell r="C891" t="str">
            <v>soliffeop@yellowbook.com</v>
          </cell>
          <cell r="D891" t="str">
            <v>+1 (212) 198-9134</v>
          </cell>
          <cell r="E891" t="str">
            <v>1866 Ohio Point</v>
          </cell>
          <cell r="F891" t="str">
            <v>Jamaica</v>
          </cell>
          <cell r="G891" t="str">
            <v>United States</v>
          </cell>
          <cell r="H891">
            <v>11470</v>
          </cell>
          <cell r="I891" t="str">
            <v>Yes</v>
          </cell>
        </row>
        <row r="892">
          <cell r="A892" t="str">
            <v>65732-22589-OW</v>
          </cell>
          <cell r="B892" t="str">
            <v>Kippie Marrison</v>
          </cell>
          <cell r="C892" t="str">
            <v>kmarrisonoq@dropbox.com</v>
          </cell>
          <cell r="D892" t="str">
            <v>+1 (303) 808-6803</v>
          </cell>
          <cell r="E892" t="str">
            <v>84 Sutherland Alley</v>
          </cell>
          <cell r="F892" t="str">
            <v>Denver</v>
          </cell>
          <cell r="G892" t="str">
            <v>United States</v>
          </cell>
          <cell r="H892">
            <v>80243</v>
          </cell>
          <cell r="I892" t="str">
            <v>Yes</v>
          </cell>
        </row>
        <row r="893">
          <cell r="A893" t="str">
            <v>93676-95250-XJ</v>
          </cell>
          <cell r="B893" t="str">
            <v>Celestia Dolohunty</v>
          </cell>
          <cell r="C893" t="str">
            <v>cdolohuntyor@dailymail.co.uk</v>
          </cell>
          <cell r="D893" t="str">
            <v>+1 (619) 353-0412</v>
          </cell>
          <cell r="E893" t="str">
            <v>836 Towne Court</v>
          </cell>
          <cell r="F893" t="str">
            <v>San Diego</v>
          </cell>
          <cell r="G893" t="str">
            <v>United States</v>
          </cell>
          <cell r="H893">
            <v>92165</v>
          </cell>
          <cell r="I893" t="str">
            <v>Yes</v>
          </cell>
        </row>
        <row r="894">
          <cell r="A894" t="str">
            <v>28300-14355-GF</v>
          </cell>
          <cell r="B894" t="str">
            <v>Patsy Vasilenko</v>
          </cell>
          <cell r="C894" t="str">
            <v>pvasilenkoos@addtoany.com</v>
          </cell>
          <cell r="D894" t="str">
            <v>+44 (116) 714-6469</v>
          </cell>
          <cell r="E894" t="str">
            <v>56 Ridge Oak Point</v>
          </cell>
          <cell r="F894" t="str">
            <v>Preston</v>
          </cell>
          <cell r="G894" t="str">
            <v>United Kingdom</v>
          </cell>
          <cell r="H894" t="str">
            <v>PR1</v>
          </cell>
          <cell r="I894" t="str">
            <v>No</v>
          </cell>
        </row>
        <row r="895">
          <cell r="A895" t="str">
            <v>91190-84826-IQ</v>
          </cell>
          <cell r="B895" t="str">
            <v>Raphaela Schankelborg</v>
          </cell>
          <cell r="C895" t="str">
            <v>rschankelborgot@ameblo.jp</v>
          </cell>
          <cell r="E895" t="str">
            <v>528 Debs Terrace</v>
          </cell>
          <cell r="F895" t="str">
            <v>Pittsburgh</v>
          </cell>
          <cell r="G895" t="str">
            <v>United States</v>
          </cell>
          <cell r="H895">
            <v>15250</v>
          </cell>
          <cell r="I895" t="str">
            <v>Yes</v>
          </cell>
        </row>
        <row r="896">
          <cell r="A896" t="str">
            <v>34570-99384-AF</v>
          </cell>
          <cell r="B896" t="str">
            <v>Sharity Wickens</v>
          </cell>
          <cell r="D896" t="str">
            <v>+353 (724) 224-5556</v>
          </cell>
          <cell r="E896" t="str">
            <v>5873 Lake View Parkway</v>
          </cell>
          <cell r="F896" t="str">
            <v>Cavan</v>
          </cell>
          <cell r="G896" t="str">
            <v>Ireland</v>
          </cell>
          <cell r="H896" t="str">
            <v>H12</v>
          </cell>
          <cell r="I896" t="str">
            <v>Yes</v>
          </cell>
        </row>
        <row r="897">
          <cell r="A897" t="str">
            <v>57808-90533-UE</v>
          </cell>
          <cell r="B897" t="str">
            <v>Derick Snow</v>
          </cell>
          <cell r="D897" t="str">
            <v>+1 (718) 461-3002</v>
          </cell>
          <cell r="E897" t="str">
            <v>813 La Follette Place</v>
          </cell>
          <cell r="F897" t="str">
            <v>New York City</v>
          </cell>
          <cell r="G897" t="str">
            <v>United States</v>
          </cell>
          <cell r="H897">
            <v>10004</v>
          </cell>
          <cell r="I897" t="str">
            <v>No</v>
          </cell>
        </row>
        <row r="898">
          <cell r="A898" t="str">
            <v>76060-30540-LB</v>
          </cell>
          <cell r="B898" t="str">
            <v>Baxy Cargen</v>
          </cell>
          <cell r="C898" t="str">
            <v>bcargenow@geocities.jp</v>
          </cell>
          <cell r="D898" t="str">
            <v>+1 (253) 509-6510</v>
          </cell>
          <cell r="E898" t="str">
            <v>58 Carpenter Pass</v>
          </cell>
          <cell r="F898" t="str">
            <v>Seattle</v>
          </cell>
          <cell r="G898" t="str">
            <v>United States</v>
          </cell>
          <cell r="H898">
            <v>98148</v>
          </cell>
          <cell r="I898" t="str">
            <v>Yes</v>
          </cell>
        </row>
        <row r="899">
          <cell r="A899" t="str">
            <v>76730-63769-ND</v>
          </cell>
          <cell r="B899" t="str">
            <v>Ryann Stickler</v>
          </cell>
          <cell r="C899" t="str">
            <v>rsticklerox@printfriendly.com</v>
          </cell>
          <cell r="D899" t="str">
            <v>+44 (830) 367-6129</v>
          </cell>
          <cell r="E899" t="str">
            <v>471 Sage Center</v>
          </cell>
          <cell r="F899" t="str">
            <v>Birmingham</v>
          </cell>
          <cell r="G899" t="str">
            <v>United Kingdom</v>
          </cell>
          <cell r="H899" t="str">
            <v>B40</v>
          </cell>
          <cell r="I899" t="str">
            <v>No</v>
          </cell>
        </row>
        <row r="900">
          <cell r="A900" t="str">
            <v>96042-27290-EQ</v>
          </cell>
          <cell r="B900" t="str">
            <v>Daryn Cassius</v>
          </cell>
          <cell r="D900" t="str">
            <v>+1 (269) 398-0766</v>
          </cell>
          <cell r="E900" t="str">
            <v>19 Ridgeway Road</v>
          </cell>
          <cell r="F900" t="str">
            <v>Battle Creek</v>
          </cell>
          <cell r="G900" t="str">
            <v>United States</v>
          </cell>
          <cell r="H900">
            <v>49018</v>
          </cell>
          <cell r="I900" t="str">
            <v>No</v>
          </cell>
        </row>
        <row r="901">
          <cell r="A901" t="str">
            <v>06062-66586-TK</v>
          </cell>
          <cell r="B901" t="str">
            <v>Bud Danett</v>
          </cell>
          <cell r="C901" t="str">
            <v>bdanettoz@kickstarter.com</v>
          </cell>
          <cell r="E901" t="str">
            <v>3 Dennis Road</v>
          </cell>
          <cell r="F901" t="str">
            <v>Edgeworthstown</v>
          </cell>
          <cell r="G901" t="str">
            <v>Ireland</v>
          </cell>
          <cell r="H901" t="str">
            <v>E25</v>
          </cell>
          <cell r="I901" t="str">
            <v>Yes</v>
          </cell>
        </row>
        <row r="902">
          <cell r="A902" t="str">
            <v>51940-02669-OR</v>
          </cell>
          <cell r="B902" t="str">
            <v>Skelly Dolohunty</v>
          </cell>
          <cell r="D902" t="str">
            <v>+353 (239) 716-2717</v>
          </cell>
          <cell r="E902" t="str">
            <v>34010 Kensington Trail</v>
          </cell>
          <cell r="F902" t="str">
            <v>Ballymun</v>
          </cell>
          <cell r="G902" t="str">
            <v>Ireland</v>
          </cell>
          <cell r="H902" t="str">
            <v>D11</v>
          </cell>
          <cell r="I902" t="str">
            <v>No</v>
          </cell>
        </row>
        <row r="903">
          <cell r="A903" t="str">
            <v>99144-98314-GN</v>
          </cell>
          <cell r="B903" t="str">
            <v>Drake Jevon</v>
          </cell>
          <cell r="C903" t="str">
            <v>djevonp1@ibm.com</v>
          </cell>
          <cell r="D903" t="str">
            <v>+1 (832) 733-7027</v>
          </cell>
          <cell r="E903" t="str">
            <v>27430 Fairfield Parkway</v>
          </cell>
          <cell r="F903" t="str">
            <v>Houston</v>
          </cell>
          <cell r="G903" t="str">
            <v>United States</v>
          </cell>
          <cell r="H903">
            <v>77070</v>
          </cell>
          <cell r="I903" t="str">
            <v>Yes</v>
          </cell>
        </row>
        <row r="904">
          <cell r="A904" t="str">
            <v>16358-63919-CE</v>
          </cell>
          <cell r="B904" t="str">
            <v>Hall Ranner</v>
          </cell>
          <cell r="C904" t="str">
            <v>hrannerp2@omniture.com</v>
          </cell>
          <cell r="D904" t="str">
            <v>+1 (513) 635-0251</v>
          </cell>
          <cell r="E904" t="str">
            <v>51 Sunfield Crossing</v>
          </cell>
          <cell r="F904" t="str">
            <v>Cincinnati</v>
          </cell>
          <cell r="G904" t="str">
            <v>United States</v>
          </cell>
          <cell r="H904">
            <v>45249</v>
          </cell>
          <cell r="I904" t="str">
            <v>No</v>
          </cell>
        </row>
        <row r="905">
          <cell r="A905" t="str">
            <v>67743-54817-UT</v>
          </cell>
          <cell r="B905" t="str">
            <v>Berkly Imrie</v>
          </cell>
          <cell r="C905" t="str">
            <v>bimriep3@addtoany.com</v>
          </cell>
          <cell r="D905" t="str">
            <v>+1 (559) 761-5288</v>
          </cell>
          <cell r="E905" t="str">
            <v>1815 Annamark Way</v>
          </cell>
          <cell r="F905" t="str">
            <v>Fresno</v>
          </cell>
          <cell r="G905" t="str">
            <v>United States</v>
          </cell>
          <cell r="H905">
            <v>93704</v>
          </cell>
          <cell r="I905" t="str">
            <v>No</v>
          </cell>
        </row>
        <row r="906">
          <cell r="A906" t="str">
            <v>44601-51441-BH</v>
          </cell>
          <cell r="B906" t="str">
            <v>Dorey Sopper</v>
          </cell>
          <cell r="C906" t="str">
            <v>dsopperp4@eventbrite.com</v>
          </cell>
          <cell r="D906" t="str">
            <v>+1 (612) 870-1604</v>
          </cell>
          <cell r="E906" t="str">
            <v>0244 Northfield Place</v>
          </cell>
          <cell r="F906" t="str">
            <v>Saint Paul</v>
          </cell>
          <cell r="G906" t="str">
            <v>United States</v>
          </cell>
          <cell r="H906">
            <v>55123</v>
          </cell>
          <cell r="I906" t="str">
            <v>No</v>
          </cell>
        </row>
        <row r="907">
          <cell r="A907" t="str">
            <v>97201-58870-WB</v>
          </cell>
          <cell r="B907" t="str">
            <v>Darcy Lochran</v>
          </cell>
          <cell r="D907" t="str">
            <v>+1 (915) 776-4578</v>
          </cell>
          <cell r="E907" t="str">
            <v>7464 Nobel Way</v>
          </cell>
          <cell r="F907" t="str">
            <v>El Paso</v>
          </cell>
          <cell r="G907" t="str">
            <v>United States</v>
          </cell>
          <cell r="H907">
            <v>88519</v>
          </cell>
          <cell r="I907" t="str">
            <v>Yes</v>
          </cell>
        </row>
        <row r="908">
          <cell r="A908" t="str">
            <v>19849-12926-QF</v>
          </cell>
          <cell r="B908" t="str">
            <v>Lauritz Ledgley</v>
          </cell>
          <cell r="C908" t="str">
            <v>lledgleyp6@de.vu</v>
          </cell>
          <cell r="D908" t="str">
            <v>+1 (515) 261-2295</v>
          </cell>
          <cell r="E908" t="str">
            <v>99138 Waywood Junction</v>
          </cell>
          <cell r="F908" t="str">
            <v>Des Moines</v>
          </cell>
          <cell r="G908" t="str">
            <v>United States</v>
          </cell>
          <cell r="H908">
            <v>50981</v>
          </cell>
          <cell r="I908" t="str">
            <v>Yes</v>
          </cell>
        </row>
        <row r="909">
          <cell r="A909" t="str">
            <v>40535-56770-UM</v>
          </cell>
          <cell r="B909" t="str">
            <v>Tawnya Menary</v>
          </cell>
          <cell r="C909" t="str">
            <v>tmenaryp7@phoca.cz</v>
          </cell>
          <cell r="D909" t="str">
            <v>+1 (971) 467-6353</v>
          </cell>
          <cell r="E909" t="str">
            <v>5546 Kensington Hill</v>
          </cell>
          <cell r="F909" t="str">
            <v>Portland</v>
          </cell>
          <cell r="G909" t="str">
            <v>United States</v>
          </cell>
          <cell r="H909">
            <v>97240</v>
          </cell>
          <cell r="I909" t="str">
            <v>No</v>
          </cell>
        </row>
        <row r="910">
          <cell r="A910" t="str">
            <v>74940-09646-MU</v>
          </cell>
          <cell r="B910" t="str">
            <v>Gustaf Ciccotti</v>
          </cell>
          <cell r="C910" t="str">
            <v>gciccottip8@so-net.ne.jp</v>
          </cell>
          <cell r="D910" t="str">
            <v>+1 (832) 392-5010</v>
          </cell>
          <cell r="E910" t="str">
            <v>94417 Boyd Trail</v>
          </cell>
          <cell r="F910" t="str">
            <v>Houston</v>
          </cell>
          <cell r="G910" t="str">
            <v>United States</v>
          </cell>
          <cell r="H910">
            <v>77070</v>
          </cell>
          <cell r="I910" t="str">
            <v>No</v>
          </cell>
        </row>
        <row r="911">
          <cell r="A911" t="str">
            <v>06623-54610-HC</v>
          </cell>
          <cell r="B911" t="str">
            <v>Bobbe Renner</v>
          </cell>
          <cell r="D911" t="str">
            <v>+1 (919) 456-9860</v>
          </cell>
          <cell r="E911" t="str">
            <v>9 Westerfield Place</v>
          </cell>
          <cell r="F911" t="str">
            <v>Durham</v>
          </cell>
          <cell r="G911" t="str">
            <v>United States</v>
          </cell>
          <cell r="H911">
            <v>27705</v>
          </cell>
          <cell r="I911" t="str">
            <v>No</v>
          </cell>
        </row>
        <row r="912">
          <cell r="A912" t="str">
            <v>89490-75361-AF</v>
          </cell>
          <cell r="B912" t="str">
            <v>Wilton Jallin</v>
          </cell>
          <cell r="C912" t="str">
            <v>wjallinpa@pcworld.com</v>
          </cell>
          <cell r="D912" t="str">
            <v>+1 (617) 201-1702</v>
          </cell>
          <cell r="E912" t="str">
            <v>6511 Haas Road</v>
          </cell>
          <cell r="F912" t="str">
            <v>Boston</v>
          </cell>
          <cell r="G912" t="str">
            <v>United States</v>
          </cell>
          <cell r="H912">
            <v>2298</v>
          </cell>
          <cell r="I912" t="str">
            <v>No</v>
          </cell>
        </row>
        <row r="913">
          <cell r="A913" t="str">
            <v>94526-79230-GZ</v>
          </cell>
          <cell r="B913" t="str">
            <v>Mindy Bogey</v>
          </cell>
          <cell r="C913" t="str">
            <v>mbogeypb@thetimes.co.uk</v>
          </cell>
          <cell r="D913" t="str">
            <v>+1 (202) 479-4238</v>
          </cell>
          <cell r="E913" t="str">
            <v>7791 Westend Point</v>
          </cell>
          <cell r="F913" t="str">
            <v>Washington</v>
          </cell>
          <cell r="G913" t="str">
            <v>United States</v>
          </cell>
          <cell r="H913">
            <v>20226</v>
          </cell>
          <cell r="I913" t="str">
            <v>Yes</v>
          </cell>
        </row>
        <row r="914">
          <cell r="A914" t="str">
            <v>58559-08254-UY</v>
          </cell>
          <cell r="B914" t="str">
            <v>Paulie Fonzone</v>
          </cell>
          <cell r="D914" t="str">
            <v>+1 (518) 905-1184</v>
          </cell>
          <cell r="E914" t="str">
            <v>596 Manufacturers Alley</v>
          </cell>
          <cell r="F914" t="str">
            <v>Albany</v>
          </cell>
          <cell r="G914" t="str">
            <v>United States</v>
          </cell>
          <cell r="H914">
            <v>12205</v>
          </cell>
          <cell r="I914" t="str">
            <v>Yes</v>
          </cell>
        </row>
        <row r="915">
          <cell r="A915" t="str">
            <v>88574-37083-WX</v>
          </cell>
          <cell r="B915" t="str">
            <v>Merrile Cobbledick</v>
          </cell>
          <cell r="C915" t="str">
            <v>mcobbledickpd@ucsd.edu</v>
          </cell>
          <cell r="D915" t="str">
            <v>+1 (520) 567-8210</v>
          </cell>
          <cell r="E915" t="str">
            <v>949 Nobel Plaza</v>
          </cell>
          <cell r="F915" t="str">
            <v>Tucson</v>
          </cell>
          <cell r="G915" t="str">
            <v>United States</v>
          </cell>
          <cell r="H915">
            <v>85732</v>
          </cell>
          <cell r="I915" t="str">
            <v>No</v>
          </cell>
        </row>
        <row r="916">
          <cell r="A916" t="str">
            <v>67953-79896-AC</v>
          </cell>
          <cell r="B916" t="str">
            <v>Antonius Lewry</v>
          </cell>
          <cell r="C916" t="str">
            <v>alewrype@whitehouse.gov</v>
          </cell>
          <cell r="D916" t="str">
            <v>+1 (334) 368-9435</v>
          </cell>
          <cell r="E916" t="str">
            <v>86 Pine View Pass</v>
          </cell>
          <cell r="F916" t="str">
            <v>Montgomery</v>
          </cell>
          <cell r="G916" t="str">
            <v>United States</v>
          </cell>
          <cell r="H916">
            <v>36195</v>
          </cell>
          <cell r="I916" t="str">
            <v>No</v>
          </cell>
        </row>
        <row r="917">
          <cell r="A917" t="str">
            <v>69207-93422-CQ</v>
          </cell>
          <cell r="B917" t="str">
            <v>Isis Hessel</v>
          </cell>
          <cell r="C917" t="str">
            <v>ihesselpf@ox.ac.uk</v>
          </cell>
          <cell r="D917" t="str">
            <v>+1 (907) 873-3538</v>
          </cell>
          <cell r="E917" t="str">
            <v>2900 Pennsylvania Court</v>
          </cell>
          <cell r="F917" t="str">
            <v>Fairbanks</v>
          </cell>
          <cell r="G917" t="str">
            <v>United States</v>
          </cell>
          <cell r="H917">
            <v>99709</v>
          </cell>
          <cell r="I917" t="str">
            <v>Yes</v>
          </cell>
        </row>
        <row r="918">
          <cell r="A918" t="str">
            <v>56060-17602-RG</v>
          </cell>
          <cell r="B918" t="str">
            <v>Harland Trematick</v>
          </cell>
          <cell r="E918" t="str">
            <v>1235 Shopko Point</v>
          </cell>
          <cell r="F918" t="str">
            <v>Monasterevin</v>
          </cell>
          <cell r="G918" t="str">
            <v>Ireland</v>
          </cell>
          <cell r="H918" t="str">
            <v>W34</v>
          </cell>
          <cell r="I918" t="str">
            <v>Yes</v>
          </cell>
        </row>
        <row r="919">
          <cell r="A919" t="str">
            <v>46859-14212-FI</v>
          </cell>
          <cell r="B919" t="str">
            <v>Chloris Sorrell</v>
          </cell>
          <cell r="C919" t="str">
            <v>csorrellph@amazon.com</v>
          </cell>
          <cell r="D919" t="str">
            <v>+44 (160) 225-1993</v>
          </cell>
          <cell r="E919" t="str">
            <v>5 Scott Lane</v>
          </cell>
          <cell r="F919" t="str">
            <v>Norton</v>
          </cell>
          <cell r="G919" t="str">
            <v>United Kingdom</v>
          </cell>
          <cell r="H919" t="str">
            <v>S8</v>
          </cell>
          <cell r="I919" t="str">
            <v>No</v>
          </cell>
        </row>
        <row r="920">
          <cell r="A920" t="str">
            <v>11513-19816-IJ</v>
          </cell>
          <cell r="B920" t="str">
            <v>Odette Tocque</v>
          </cell>
          <cell r="C920" t="str">
            <v>otocquepi@abc.net.au</v>
          </cell>
          <cell r="D920" t="str">
            <v>+1 (786) 201-0196</v>
          </cell>
          <cell r="E920" t="str">
            <v>731 Anzinger Park</v>
          </cell>
          <cell r="F920" t="str">
            <v>Clearwater</v>
          </cell>
          <cell r="G920" t="str">
            <v>United States</v>
          </cell>
          <cell r="H920">
            <v>34615</v>
          </cell>
          <cell r="I920" t="str">
            <v>No</v>
          </cell>
        </row>
        <row r="921">
          <cell r="A921" t="str">
            <v>33555-01585-RP</v>
          </cell>
          <cell r="B921" t="str">
            <v>Quintina Heavyside</v>
          </cell>
          <cell r="C921" t="str">
            <v>qheavysidepj@unc.edu</v>
          </cell>
          <cell r="D921" t="str">
            <v>+1 (859) 572-4305</v>
          </cell>
          <cell r="E921" t="str">
            <v>7995 Macpherson Drive</v>
          </cell>
          <cell r="F921" t="str">
            <v>Lexington</v>
          </cell>
          <cell r="G921" t="str">
            <v>United States</v>
          </cell>
          <cell r="H921">
            <v>40515</v>
          </cell>
          <cell r="I921" t="str">
            <v>Yes</v>
          </cell>
        </row>
        <row r="922">
          <cell r="A922" t="str">
            <v>11932-85629-CU</v>
          </cell>
          <cell r="B922" t="str">
            <v>Hadley Reuven</v>
          </cell>
          <cell r="C922" t="str">
            <v>hreuvenpk@whitehouse.gov</v>
          </cell>
          <cell r="D922" t="str">
            <v>+1 (616) 851-0525</v>
          </cell>
          <cell r="E922" t="str">
            <v>227 Burning Wood Drive</v>
          </cell>
          <cell r="F922" t="str">
            <v>Grand Rapids</v>
          </cell>
          <cell r="G922" t="str">
            <v>United States</v>
          </cell>
          <cell r="H922">
            <v>49560</v>
          </cell>
          <cell r="I922" t="str">
            <v>No</v>
          </cell>
        </row>
        <row r="923">
          <cell r="A923" t="str">
            <v>36192-07175-XC</v>
          </cell>
          <cell r="B923" t="str">
            <v>Mitch Attwool</v>
          </cell>
          <cell r="C923" t="str">
            <v>mattwoolpl@nba.com</v>
          </cell>
          <cell r="D923" t="str">
            <v>+1 (515) 821-3701</v>
          </cell>
          <cell r="E923" t="str">
            <v>6229 Dawn Junction</v>
          </cell>
          <cell r="F923" t="str">
            <v>Des Moines</v>
          </cell>
          <cell r="G923" t="str">
            <v>United States</v>
          </cell>
          <cell r="H923">
            <v>50369</v>
          </cell>
          <cell r="I923" t="str">
            <v>No</v>
          </cell>
        </row>
        <row r="924">
          <cell r="A924" t="str">
            <v>46242-54946-ZW</v>
          </cell>
          <cell r="B924" t="str">
            <v>Charin Maplethorp</v>
          </cell>
          <cell r="E924" t="str">
            <v>35 Alpine Circle</v>
          </cell>
          <cell r="F924" t="str">
            <v>Wilmington</v>
          </cell>
          <cell r="G924" t="str">
            <v>United States</v>
          </cell>
          <cell r="H924">
            <v>19810</v>
          </cell>
          <cell r="I924" t="str">
            <v>Yes</v>
          </cell>
        </row>
        <row r="925">
          <cell r="A925" t="str">
            <v>95152-82155-VQ</v>
          </cell>
          <cell r="B925" t="str">
            <v>Goldie Wynes</v>
          </cell>
          <cell r="C925" t="str">
            <v>gwynespn@dagondesign.com</v>
          </cell>
          <cell r="D925" t="str">
            <v>+1 (512) 118-8603</v>
          </cell>
          <cell r="E925" t="str">
            <v>5251 Everett Way</v>
          </cell>
          <cell r="F925" t="str">
            <v>Austin</v>
          </cell>
          <cell r="G925" t="str">
            <v>United States</v>
          </cell>
          <cell r="H925">
            <v>78726</v>
          </cell>
          <cell r="I925" t="str">
            <v>No</v>
          </cell>
        </row>
        <row r="926">
          <cell r="A926" t="str">
            <v>13404-39127-WQ</v>
          </cell>
          <cell r="B926" t="str">
            <v>Celie MacCourt</v>
          </cell>
          <cell r="C926" t="str">
            <v>cmaccourtpo@amazon.com</v>
          </cell>
          <cell r="E926" t="str">
            <v>01678 4th Hill</v>
          </cell>
          <cell r="F926" t="str">
            <v>Orlando</v>
          </cell>
          <cell r="G926" t="str">
            <v>United States</v>
          </cell>
          <cell r="H926">
            <v>32835</v>
          </cell>
          <cell r="I926" t="str">
            <v>No</v>
          </cell>
        </row>
        <row r="927">
          <cell r="A927" t="str">
            <v>00841-75330-ZV</v>
          </cell>
          <cell r="B927" t="str">
            <v>Rori Ollin</v>
          </cell>
          <cell r="D927" t="str">
            <v>+1 (626) 704-3749</v>
          </cell>
          <cell r="E927" t="str">
            <v>05889 Heath Place</v>
          </cell>
          <cell r="F927" t="str">
            <v>Pasadena</v>
          </cell>
          <cell r="G927" t="str">
            <v>United States</v>
          </cell>
          <cell r="H927">
            <v>91199</v>
          </cell>
          <cell r="I927" t="str">
            <v>Yes</v>
          </cell>
        </row>
        <row r="928">
          <cell r="A928" t="str">
            <v>40226-52317-IO</v>
          </cell>
          <cell r="B928" t="str">
            <v>Evy Wilsone</v>
          </cell>
          <cell r="C928" t="str">
            <v>ewilsonepq@eepurl.com</v>
          </cell>
          <cell r="D928" t="str">
            <v>+1 (202) 969-6382</v>
          </cell>
          <cell r="E928" t="str">
            <v>13130 Heffernan Point</v>
          </cell>
          <cell r="F928" t="str">
            <v>Washington</v>
          </cell>
          <cell r="G928" t="str">
            <v>United States</v>
          </cell>
          <cell r="H928">
            <v>20238</v>
          </cell>
          <cell r="I928" t="str">
            <v>Yes</v>
          </cell>
        </row>
        <row r="929">
          <cell r="A929" t="str">
            <v>34419-18068-AG</v>
          </cell>
          <cell r="B929" t="str">
            <v>Dolores Duffie</v>
          </cell>
          <cell r="C929" t="str">
            <v>dduffiepr@time.com</v>
          </cell>
          <cell r="D929" t="str">
            <v>+1 (971) 936-3214</v>
          </cell>
          <cell r="E929" t="str">
            <v>3 Jenifer Circle</v>
          </cell>
          <cell r="F929" t="str">
            <v>Portland</v>
          </cell>
          <cell r="G929" t="str">
            <v>United States</v>
          </cell>
          <cell r="H929">
            <v>97271</v>
          </cell>
          <cell r="I929" t="str">
            <v>No</v>
          </cell>
        </row>
        <row r="930">
          <cell r="A930" t="str">
            <v>51738-61457-RS</v>
          </cell>
          <cell r="B930" t="str">
            <v>Mathilda Matiasek</v>
          </cell>
          <cell r="C930" t="str">
            <v>mmatiasekps@ucoz.ru</v>
          </cell>
          <cell r="E930" t="str">
            <v>30867 Magdeline Way</v>
          </cell>
          <cell r="F930" t="str">
            <v>New York City</v>
          </cell>
          <cell r="G930" t="str">
            <v>United States</v>
          </cell>
          <cell r="H930">
            <v>10004</v>
          </cell>
          <cell r="I930" t="str">
            <v>Yes</v>
          </cell>
        </row>
        <row r="931">
          <cell r="A931" t="str">
            <v>86757-52367-ON</v>
          </cell>
          <cell r="B931" t="str">
            <v>Jarred Camillo</v>
          </cell>
          <cell r="C931" t="str">
            <v>jcamillopt@shinystat.com</v>
          </cell>
          <cell r="D931" t="str">
            <v>+1 (202) 572-0994</v>
          </cell>
          <cell r="E931" t="str">
            <v>48965 Mesta Lane</v>
          </cell>
          <cell r="F931" t="str">
            <v>Washington</v>
          </cell>
          <cell r="G931" t="str">
            <v>United States</v>
          </cell>
          <cell r="H931">
            <v>20404</v>
          </cell>
          <cell r="I931" t="str">
            <v>Yes</v>
          </cell>
        </row>
        <row r="932">
          <cell r="A932" t="str">
            <v>28158-93383-CK</v>
          </cell>
          <cell r="B932" t="str">
            <v>Kameko Philbrick</v>
          </cell>
          <cell r="C932" t="str">
            <v>kphilbrickpu@cdc.gov</v>
          </cell>
          <cell r="E932" t="str">
            <v>987 Westridge Terrace</v>
          </cell>
          <cell r="F932" t="str">
            <v>Washington</v>
          </cell>
          <cell r="G932" t="str">
            <v>United States</v>
          </cell>
          <cell r="H932">
            <v>20067</v>
          </cell>
          <cell r="I932" t="str">
            <v>Yes</v>
          </cell>
        </row>
        <row r="933">
          <cell r="A933" t="str">
            <v>44799-09711-XW</v>
          </cell>
          <cell r="B933" t="str">
            <v>Mallory Shrimpling</v>
          </cell>
          <cell r="E933" t="str">
            <v>40 Declaration Point</v>
          </cell>
          <cell r="F933" t="str">
            <v>Allentown</v>
          </cell>
          <cell r="G933" t="str">
            <v>United States</v>
          </cell>
          <cell r="H933">
            <v>18105</v>
          </cell>
          <cell r="I933" t="str">
            <v>Yes</v>
          </cell>
        </row>
        <row r="934">
          <cell r="A934" t="str">
            <v>53667-91553-LT</v>
          </cell>
          <cell r="B934" t="str">
            <v>Barnett Sillis</v>
          </cell>
          <cell r="C934" t="str">
            <v>bsillispw@istockphoto.com</v>
          </cell>
          <cell r="D934" t="str">
            <v>+1 (305) 267-4961</v>
          </cell>
          <cell r="E934" t="str">
            <v>53 Shasta Plaza</v>
          </cell>
          <cell r="F934" t="str">
            <v>Miami</v>
          </cell>
          <cell r="G934" t="str">
            <v>United States</v>
          </cell>
          <cell r="H934">
            <v>33169</v>
          </cell>
          <cell r="I934" t="str">
            <v>No</v>
          </cell>
        </row>
        <row r="935">
          <cell r="A935" t="str">
            <v>86579-92122-OC</v>
          </cell>
          <cell r="B935" t="str">
            <v>Brenn Dundredge</v>
          </cell>
          <cell r="D935" t="str">
            <v>+1 (405) 369-5173</v>
          </cell>
          <cell r="E935" t="str">
            <v>5 Morrow Street</v>
          </cell>
          <cell r="F935" t="str">
            <v>Oklahoma City</v>
          </cell>
          <cell r="G935" t="str">
            <v>United States</v>
          </cell>
          <cell r="H935">
            <v>73129</v>
          </cell>
          <cell r="I935" t="str">
            <v>Yes</v>
          </cell>
        </row>
        <row r="936">
          <cell r="A936" t="str">
            <v>01474-63436-TP</v>
          </cell>
          <cell r="B936" t="str">
            <v>Read Cutts</v>
          </cell>
          <cell r="C936" t="str">
            <v>rcuttspy@techcrunch.com</v>
          </cell>
          <cell r="D936" t="str">
            <v>+1 (815) 758-8653</v>
          </cell>
          <cell r="E936" t="str">
            <v>820 Reinke Pass</v>
          </cell>
          <cell r="F936" t="str">
            <v>Rockford</v>
          </cell>
          <cell r="G936" t="str">
            <v>United States</v>
          </cell>
          <cell r="H936">
            <v>61105</v>
          </cell>
          <cell r="I936" t="str">
            <v>No</v>
          </cell>
        </row>
        <row r="937">
          <cell r="A937" t="str">
            <v>90533-82440-EE</v>
          </cell>
          <cell r="B937" t="str">
            <v>Michale Delves</v>
          </cell>
          <cell r="C937" t="str">
            <v>mdelvespz@nature.com</v>
          </cell>
          <cell r="D937" t="str">
            <v>+1 (334) 881-9178</v>
          </cell>
          <cell r="E937" t="str">
            <v>670 Shoshone Circle</v>
          </cell>
          <cell r="F937" t="str">
            <v>Montgomery</v>
          </cell>
          <cell r="G937" t="str">
            <v>United States</v>
          </cell>
          <cell r="H937">
            <v>36177</v>
          </cell>
          <cell r="I937" t="str">
            <v>Yes</v>
          </cell>
        </row>
        <row r="938">
          <cell r="A938" t="str">
            <v>48553-69225-VX</v>
          </cell>
          <cell r="B938" t="str">
            <v>Devland Gritton</v>
          </cell>
          <cell r="C938" t="str">
            <v>dgrittonq0@nydailynews.com</v>
          </cell>
          <cell r="D938" t="str">
            <v>+1 (626) 968-5148</v>
          </cell>
          <cell r="E938" t="str">
            <v>095 Jenna Junction</v>
          </cell>
          <cell r="F938" t="str">
            <v>Pasadena</v>
          </cell>
          <cell r="G938" t="str">
            <v>United States</v>
          </cell>
          <cell r="H938">
            <v>91117</v>
          </cell>
          <cell r="I938" t="str">
            <v>Yes</v>
          </cell>
        </row>
        <row r="939">
          <cell r="A939" t="str">
            <v>91240-83405-ZQ</v>
          </cell>
          <cell r="B939" t="str">
            <v>Caitlin Cattermull</v>
          </cell>
          <cell r="C939" t="str">
            <v>ccattermullq1@columbia.edu</v>
          </cell>
          <cell r="D939" t="str">
            <v>+1 (312) 880-3388</v>
          </cell>
          <cell r="E939" t="str">
            <v>1 Gina Street</v>
          </cell>
          <cell r="F939" t="str">
            <v>Chicago</v>
          </cell>
          <cell r="G939" t="str">
            <v>United States</v>
          </cell>
          <cell r="H939">
            <v>60624</v>
          </cell>
          <cell r="I939" t="str">
            <v>No</v>
          </cell>
        </row>
        <row r="940">
          <cell r="A940" t="str">
            <v>52374-27313-IV</v>
          </cell>
          <cell r="B940" t="str">
            <v>Dell Gut</v>
          </cell>
          <cell r="C940" t="str">
            <v>dgutq2@umich.edu</v>
          </cell>
          <cell r="D940" t="str">
            <v>+1 (281) 648-9915</v>
          </cell>
          <cell r="E940" t="str">
            <v>30506 Bowman Avenue</v>
          </cell>
          <cell r="F940" t="str">
            <v>Houston</v>
          </cell>
          <cell r="G940" t="str">
            <v>United States</v>
          </cell>
          <cell r="H940">
            <v>77293</v>
          </cell>
          <cell r="I940" t="str">
            <v>Yes</v>
          </cell>
        </row>
        <row r="941">
          <cell r="A941" t="str">
            <v>14264-41252-SL</v>
          </cell>
          <cell r="B941" t="str">
            <v>Willy Pummery</v>
          </cell>
          <cell r="C941" t="str">
            <v>wpummeryq3@topsy.com</v>
          </cell>
          <cell r="D941" t="str">
            <v>+1 (231) 416-9594</v>
          </cell>
          <cell r="E941" t="str">
            <v>9795 Acker Plaza</v>
          </cell>
          <cell r="F941" t="str">
            <v>Muskegon</v>
          </cell>
          <cell r="G941" t="str">
            <v>United States</v>
          </cell>
          <cell r="H941">
            <v>49444</v>
          </cell>
          <cell r="I941" t="str">
            <v>No</v>
          </cell>
        </row>
        <row r="942">
          <cell r="A942" t="str">
            <v>35367-50483-AR</v>
          </cell>
          <cell r="B942" t="str">
            <v>Geoffrey Siuda</v>
          </cell>
          <cell r="C942" t="str">
            <v>gsiudaq4@nytimes.com</v>
          </cell>
          <cell r="D942" t="str">
            <v>+1 (202) 315-8135</v>
          </cell>
          <cell r="E942" t="str">
            <v>64284 Pearson Parkway</v>
          </cell>
          <cell r="F942" t="str">
            <v>Washington</v>
          </cell>
          <cell r="G942" t="str">
            <v>United States</v>
          </cell>
          <cell r="H942">
            <v>20380</v>
          </cell>
          <cell r="I942" t="str">
            <v>Yes</v>
          </cell>
        </row>
        <row r="943">
          <cell r="A943" t="str">
            <v>69443-77665-QW</v>
          </cell>
          <cell r="B943" t="str">
            <v>Henderson Crowne</v>
          </cell>
          <cell r="C943" t="str">
            <v>hcrowneq5@wufoo.com</v>
          </cell>
          <cell r="D943" t="str">
            <v>+353 (476) 525-5512</v>
          </cell>
          <cell r="E943" t="str">
            <v>706 Eagan Lane</v>
          </cell>
          <cell r="F943" t="str">
            <v>Sallins</v>
          </cell>
          <cell r="G943" t="str">
            <v>Ireland</v>
          </cell>
          <cell r="H943" t="str">
            <v>W91</v>
          </cell>
          <cell r="I943" t="str">
            <v>Yes</v>
          </cell>
        </row>
        <row r="944">
          <cell r="A944" t="str">
            <v>63411-51758-QC</v>
          </cell>
          <cell r="B944" t="str">
            <v>Vernor Pawsey</v>
          </cell>
          <cell r="C944" t="str">
            <v>vpawseyq6@tiny.cc</v>
          </cell>
          <cell r="D944" t="str">
            <v>+1 (478) 568-4944</v>
          </cell>
          <cell r="E944" t="str">
            <v>883 Eagan Point</v>
          </cell>
          <cell r="F944" t="str">
            <v>Macon</v>
          </cell>
          <cell r="G944" t="str">
            <v>United States</v>
          </cell>
          <cell r="H944">
            <v>31205</v>
          </cell>
          <cell r="I944" t="str">
            <v>No</v>
          </cell>
        </row>
        <row r="945">
          <cell r="A945" t="str">
            <v>68605-21835-UF</v>
          </cell>
          <cell r="B945" t="str">
            <v>Augustin Waterhouse</v>
          </cell>
          <cell r="C945" t="str">
            <v>awaterhouseq7@istockphoto.com</v>
          </cell>
          <cell r="D945" t="str">
            <v>+1 (318) 129-0806</v>
          </cell>
          <cell r="E945" t="str">
            <v>23530 Lake View Trail</v>
          </cell>
          <cell r="F945" t="str">
            <v>Shreveport</v>
          </cell>
          <cell r="G945" t="str">
            <v>United States</v>
          </cell>
          <cell r="H945">
            <v>71105</v>
          </cell>
          <cell r="I945" t="str">
            <v>No</v>
          </cell>
        </row>
        <row r="946">
          <cell r="A946" t="str">
            <v>34786-30419-XY</v>
          </cell>
          <cell r="B946" t="str">
            <v>Fanchon Haughian</v>
          </cell>
          <cell r="C946" t="str">
            <v>fhaughianq8@1688.com</v>
          </cell>
          <cell r="D946" t="str">
            <v>+1 (253) 974-5538</v>
          </cell>
          <cell r="E946" t="str">
            <v>2017 Ronald Regan Trail</v>
          </cell>
          <cell r="F946" t="str">
            <v>Tacoma</v>
          </cell>
          <cell r="G946" t="str">
            <v>United States</v>
          </cell>
          <cell r="H946">
            <v>98405</v>
          </cell>
          <cell r="I946" t="str">
            <v>No</v>
          </cell>
        </row>
        <row r="947">
          <cell r="A947" t="str">
            <v>15456-29250-RU</v>
          </cell>
          <cell r="B947" t="str">
            <v>Jaimie Hatz</v>
          </cell>
          <cell r="D947" t="str">
            <v>+1 (915) 920-9318</v>
          </cell>
          <cell r="E947" t="str">
            <v>3 Atwood Avenue</v>
          </cell>
          <cell r="F947" t="str">
            <v>El Paso</v>
          </cell>
          <cell r="G947" t="str">
            <v>United States</v>
          </cell>
          <cell r="H947">
            <v>79934</v>
          </cell>
          <cell r="I947" t="str">
            <v>No</v>
          </cell>
        </row>
        <row r="948">
          <cell r="A948" t="str">
            <v>00886-35803-FG</v>
          </cell>
          <cell r="B948" t="str">
            <v>Edeline Edney</v>
          </cell>
          <cell r="D948" t="str">
            <v>+1 (205) 866-7629</v>
          </cell>
          <cell r="E948" t="str">
            <v>43 Crest Line Road</v>
          </cell>
          <cell r="F948" t="str">
            <v>Birmingham</v>
          </cell>
          <cell r="G948" t="str">
            <v>United States</v>
          </cell>
          <cell r="H948">
            <v>35263</v>
          </cell>
          <cell r="I948" t="str">
            <v>No</v>
          </cell>
        </row>
        <row r="949">
          <cell r="A949" t="str">
            <v>31599-82152-AD</v>
          </cell>
          <cell r="B949" t="str">
            <v>Rickie Faltin</v>
          </cell>
          <cell r="C949" t="str">
            <v>rfaltinqb@topsy.com</v>
          </cell>
          <cell r="E949" t="str">
            <v>2 Laurel Drive</v>
          </cell>
          <cell r="F949" t="str">
            <v>Portumna</v>
          </cell>
          <cell r="G949" t="str">
            <v>Ireland</v>
          </cell>
          <cell r="H949" t="str">
            <v>V31</v>
          </cell>
          <cell r="I949" t="str">
            <v>No</v>
          </cell>
        </row>
        <row r="950">
          <cell r="A950" t="str">
            <v>76209-39601-ZR</v>
          </cell>
          <cell r="B950" t="str">
            <v>Gnni Cheeke</v>
          </cell>
          <cell r="C950" t="str">
            <v>gcheekeqc@sitemeter.com</v>
          </cell>
          <cell r="D950" t="str">
            <v>+44 (677) 694-1404</v>
          </cell>
          <cell r="E950" t="str">
            <v>934 Loomis Junction</v>
          </cell>
          <cell r="F950" t="str">
            <v>London</v>
          </cell>
          <cell r="G950" t="str">
            <v>United Kingdom</v>
          </cell>
          <cell r="H950" t="str">
            <v>EC3M</v>
          </cell>
          <cell r="I950" t="str">
            <v>Yes</v>
          </cell>
        </row>
        <row r="951">
          <cell r="A951" t="str">
            <v>15064-65241-HB</v>
          </cell>
          <cell r="B951" t="str">
            <v>Gwenni Ratt</v>
          </cell>
          <cell r="C951" t="str">
            <v>grattqd@phpbb.com</v>
          </cell>
          <cell r="D951" t="str">
            <v>+353 (878) 618-9723</v>
          </cell>
          <cell r="E951" t="str">
            <v>55 Montana Road</v>
          </cell>
          <cell r="F951" t="str">
            <v>Castlemartyr</v>
          </cell>
          <cell r="G951" t="str">
            <v>Ireland</v>
          </cell>
          <cell r="H951" t="str">
            <v>H71</v>
          </cell>
          <cell r="I951" t="str">
            <v>No</v>
          </cell>
        </row>
        <row r="952">
          <cell r="A952" t="str">
            <v>69215-90789-DL</v>
          </cell>
          <cell r="B952" t="str">
            <v>Johnath Fairebrother</v>
          </cell>
          <cell r="D952" t="str">
            <v>+1 (302) 159-1841</v>
          </cell>
          <cell r="E952" t="str">
            <v>05 Bluestem Street</v>
          </cell>
          <cell r="F952" t="str">
            <v>Wilmington</v>
          </cell>
          <cell r="G952" t="str">
            <v>United States</v>
          </cell>
          <cell r="H952">
            <v>19810</v>
          </cell>
          <cell r="I952" t="str">
            <v>Yes</v>
          </cell>
        </row>
        <row r="953">
          <cell r="A953" t="str">
            <v>04317-46176-TB</v>
          </cell>
          <cell r="B953" t="str">
            <v>Ingamar Eberlein</v>
          </cell>
          <cell r="C953" t="str">
            <v>ieberleinqf@hc360.com</v>
          </cell>
          <cell r="D953" t="str">
            <v>+1 (717) 323-3451</v>
          </cell>
          <cell r="E953" t="str">
            <v>8 Delaware Circle</v>
          </cell>
          <cell r="F953" t="str">
            <v>Harrisburg</v>
          </cell>
          <cell r="G953" t="str">
            <v>United States</v>
          </cell>
          <cell r="H953">
            <v>17121</v>
          </cell>
          <cell r="I953" t="str">
            <v>No</v>
          </cell>
        </row>
        <row r="954">
          <cell r="A954" t="str">
            <v>04713-57765-KR</v>
          </cell>
          <cell r="B954" t="str">
            <v>Jilly Dreng</v>
          </cell>
          <cell r="C954" t="str">
            <v>jdrengqg@uiuc.edu</v>
          </cell>
          <cell r="D954" t="str">
            <v>+353 (350) 974-1489</v>
          </cell>
          <cell r="E954" t="str">
            <v>0 Cardinal Park</v>
          </cell>
          <cell r="F954" t="str">
            <v>Sallins</v>
          </cell>
          <cell r="G954" t="str">
            <v>Ireland</v>
          </cell>
          <cell r="H954" t="str">
            <v>W91</v>
          </cell>
          <cell r="I954" t="str">
            <v>Yes</v>
          </cell>
        </row>
        <row r="955">
          <cell r="A955" t="str">
            <v>47723-84396-MT</v>
          </cell>
          <cell r="B955" t="str">
            <v>Jillane Jedrzej</v>
          </cell>
          <cell r="C955" t="str">
            <v>jjedrzejqh@dailymail.co.uk</v>
          </cell>
          <cell r="D955" t="str">
            <v>+1 (915) 844-8777</v>
          </cell>
          <cell r="E955" t="str">
            <v>8 Melby Hill</v>
          </cell>
          <cell r="F955" t="str">
            <v>El Paso</v>
          </cell>
          <cell r="G955" t="str">
            <v>United States</v>
          </cell>
          <cell r="H955">
            <v>79940</v>
          </cell>
          <cell r="I955" t="str">
            <v>Yes</v>
          </cell>
        </row>
        <row r="956">
          <cell r="A956" t="str">
            <v>48392-32021-EC</v>
          </cell>
          <cell r="B956" t="str">
            <v>Correy Lampel</v>
          </cell>
          <cell r="C956" t="str">
            <v>clampelqi@jimdo.com</v>
          </cell>
          <cell r="D956" t="str">
            <v>+1 (314) 143-0842</v>
          </cell>
          <cell r="E956" t="str">
            <v>445 Brown Way</v>
          </cell>
          <cell r="F956" t="str">
            <v>Saint Louis</v>
          </cell>
          <cell r="G956" t="str">
            <v>United States</v>
          </cell>
          <cell r="H956">
            <v>63136</v>
          </cell>
          <cell r="I956" t="str">
            <v>Yes</v>
          </cell>
        </row>
        <row r="957">
          <cell r="A957" t="str">
            <v>65786-21069-IP</v>
          </cell>
          <cell r="B957" t="str">
            <v>Dulcie Mapowder</v>
          </cell>
          <cell r="C957" t="str">
            <v>dmapowderqj@free.fr</v>
          </cell>
          <cell r="D957" t="str">
            <v>+1 (479) 381-2689</v>
          </cell>
          <cell r="E957" t="str">
            <v>557 Kipling Crossing</v>
          </cell>
          <cell r="F957" t="str">
            <v>Fort Smith</v>
          </cell>
          <cell r="G957" t="str">
            <v>United States</v>
          </cell>
          <cell r="H957">
            <v>72905</v>
          </cell>
          <cell r="I957" t="str">
            <v>Yes</v>
          </cell>
        </row>
        <row r="958">
          <cell r="A958" t="str">
            <v>89074-09459-KV</v>
          </cell>
          <cell r="B958" t="str">
            <v>Eward Dearman</v>
          </cell>
          <cell r="C958" t="str">
            <v>edearmanqk@redcross.org</v>
          </cell>
          <cell r="D958" t="str">
            <v>+1 (615) 958-6287</v>
          </cell>
          <cell r="E958" t="str">
            <v>22585 Monument Plaza</v>
          </cell>
          <cell r="F958" t="str">
            <v>Nashville</v>
          </cell>
          <cell r="G958" t="str">
            <v>United States</v>
          </cell>
          <cell r="H958">
            <v>37245</v>
          </cell>
          <cell r="I958" t="str">
            <v>No</v>
          </cell>
        </row>
        <row r="959">
          <cell r="A959" t="str">
            <v>44330-33172-IT</v>
          </cell>
          <cell r="B959" t="str">
            <v>Dominique Lenard</v>
          </cell>
          <cell r="C959" t="str">
            <v>dlenardql@bizjournals.com</v>
          </cell>
          <cell r="D959" t="str">
            <v>+1 (202) 883-2832</v>
          </cell>
          <cell r="E959" t="str">
            <v>6300 Evergreen Drive</v>
          </cell>
          <cell r="F959" t="str">
            <v>Washington</v>
          </cell>
          <cell r="G959" t="str">
            <v>United States</v>
          </cell>
          <cell r="H959">
            <v>20088</v>
          </cell>
          <cell r="I959" t="str">
            <v>Yes</v>
          </cell>
        </row>
        <row r="960">
          <cell r="A960" t="str">
            <v>63349-66809-NF</v>
          </cell>
          <cell r="B960" t="str">
            <v>Lloyd Toffano</v>
          </cell>
          <cell r="C960" t="str">
            <v>ltoffanoqm@tripadvisor.com</v>
          </cell>
          <cell r="E960" t="str">
            <v>31039 Fieldstone Alley</v>
          </cell>
          <cell r="F960" t="str">
            <v>Inglewood</v>
          </cell>
          <cell r="G960" t="str">
            <v>United States</v>
          </cell>
          <cell r="H960">
            <v>90305</v>
          </cell>
          <cell r="I960" t="str">
            <v>Yes</v>
          </cell>
        </row>
        <row r="961">
          <cell r="A961" t="str">
            <v>40959-32642-DN</v>
          </cell>
          <cell r="B961" t="str">
            <v>Rhodie Strathern</v>
          </cell>
          <cell r="C961" t="str">
            <v>rstrathernqn@devhub.com</v>
          </cell>
          <cell r="E961" t="str">
            <v>63071 Warner Terrace</v>
          </cell>
          <cell r="F961" t="str">
            <v>Little Rock</v>
          </cell>
          <cell r="G961" t="str">
            <v>United States</v>
          </cell>
          <cell r="H961">
            <v>72215</v>
          </cell>
          <cell r="I961" t="str">
            <v>Yes</v>
          </cell>
        </row>
        <row r="962">
          <cell r="A962" t="str">
            <v>77746-08153-PM</v>
          </cell>
          <cell r="B962" t="str">
            <v>Chad Miguel</v>
          </cell>
          <cell r="C962" t="str">
            <v>cmiguelqo@exblog.jp</v>
          </cell>
          <cell r="D962" t="str">
            <v>+1 (240) 449-8992</v>
          </cell>
          <cell r="E962" t="str">
            <v>83 Sauthoff Junction</v>
          </cell>
          <cell r="F962" t="str">
            <v>Hagerstown</v>
          </cell>
          <cell r="G962" t="str">
            <v>United States</v>
          </cell>
          <cell r="H962">
            <v>21747</v>
          </cell>
          <cell r="I962" t="str">
            <v>Yes</v>
          </cell>
        </row>
        <row r="963">
          <cell r="A963" t="str">
            <v>49667-96708-JL</v>
          </cell>
          <cell r="B963" t="str">
            <v>Florinda Matusovsky</v>
          </cell>
          <cell r="D963" t="str">
            <v>+1 (518) 618-9919</v>
          </cell>
          <cell r="E963" t="str">
            <v>2 Moland Court</v>
          </cell>
          <cell r="F963" t="str">
            <v>Albany</v>
          </cell>
          <cell r="G963" t="str">
            <v>United States</v>
          </cell>
          <cell r="H963">
            <v>12205</v>
          </cell>
          <cell r="I963" t="str">
            <v>Yes</v>
          </cell>
        </row>
        <row r="964">
          <cell r="A964" t="str">
            <v>24155-79322-EQ</v>
          </cell>
          <cell r="B964" t="str">
            <v>Morly Rocks</v>
          </cell>
          <cell r="C964" t="str">
            <v>mrocksqq@exblog.jp</v>
          </cell>
          <cell r="D964" t="str">
            <v>+353 (731) 124-0228</v>
          </cell>
          <cell r="E964" t="str">
            <v>21 Spenser Court</v>
          </cell>
          <cell r="F964" t="str">
            <v>Crossmolina</v>
          </cell>
          <cell r="G964" t="str">
            <v>Ireland</v>
          </cell>
          <cell r="H964" t="str">
            <v>A98</v>
          </cell>
          <cell r="I964" t="str">
            <v>Yes</v>
          </cell>
        </row>
        <row r="965">
          <cell r="A965" t="str">
            <v>95342-88311-SF</v>
          </cell>
          <cell r="B965" t="str">
            <v>Yuri Burrells</v>
          </cell>
          <cell r="C965" t="str">
            <v>yburrellsqr@vinaora.com</v>
          </cell>
          <cell r="D965" t="str">
            <v>+1 (859) 101-4742</v>
          </cell>
          <cell r="E965" t="str">
            <v>4 Brickson Park Court</v>
          </cell>
          <cell r="F965" t="str">
            <v>Lexington</v>
          </cell>
          <cell r="G965" t="str">
            <v>United States</v>
          </cell>
          <cell r="H965">
            <v>40510</v>
          </cell>
          <cell r="I965" t="str">
            <v>Yes</v>
          </cell>
        </row>
        <row r="966">
          <cell r="A966" t="str">
            <v>69374-08133-RI</v>
          </cell>
          <cell r="B966" t="str">
            <v>Cleopatra Goodrum</v>
          </cell>
          <cell r="C966" t="str">
            <v>cgoodrumqs@goodreads.com</v>
          </cell>
          <cell r="D966" t="str">
            <v>+1 (619) 944-5888</v>
          </cell>
          <cell r="E966" t="str">
            <v>94 Roxbury Road</v>
          </cell>
          <cell r="F966" t="str">
            <v>San Diego</v>
          </cell>
          <cell r="G966" t="str">
            <v>United States</v>
          </cell>
          <cell r="H966">
            <v>92165</v>
          </cell>
          <cell r="I966" t="str">
            <v>No</v>
          </cell>
        </row>
        <row r="967">
          <cell r="A967" t="str">
            <v>83844-95908-RX</v>
          </cell>
          <cell r="B967" t="str">
            <v>Joey Jefferys</v>
          </cell>
          <cell r="C967" t="str">
            <v>jjefferysqt@blog.com</v>
          </cell>
          <cell r="E967" t="str">
            <v>526 Helena Crossing</v>
          </cell>
          <cell r="F967" t="str">
            <v>Los Angeles</v>
          </cell>
          <cell r="G967" t="str">
            <v>United States</v>
          </cell>
          <cell r="H967">
            <v>90040</v>
          </cell>
          <cell r="I967" t="str">
            <v>Yes</v>
          </cell>
        </row>
        <row r="968">
          <cell r="A968" t="str">
            <v>09667-09231-YM</v>
          </cell>
          <cell r="B968" t="str">
            <v>Bearnard Wardell</v>
          </cell>
          <cell r="C968" t="str">
            <v>bwardellqu@adobe.com</v>
          </cell>
          <cell r="D968" t="str">
            <v>+1 (347) 311-2289</v>
          </cell>
          <cell r="E968" t="str">
            <v>57299 Tennessee Hill</v>
          </cell>
          <cell r="F968" t="str">
            <v>Brooklyn</v>
          </cell>
          <cell r="G968" t="str">
            <v>United States</v>
          </cell>
          <cell r="H968">
            <v>11210</v>
          </cell>
          <cell r="I968" t="str">
            <v>Yes</v>
          </cell>
        </row>
        <row r="969">
          <cell r="A969" t="str">
            <v>55427-08059-DF</v>
          </cell>
          <cell r="B969" t="str">
            <v>Zeke Walisiak</v>
          </cell>
          <cell r="C969" t="str">
            <v>zwalisiakqv@ucsd.edu</v>
          </cell>
          <cell r="D969" t="str">
            <v>+353 (848) 172-8155</v>
          </cell>
          <cell r="E969" t="str">
            <v>7 Birchwood Street</v>
          </cell>
          <cell r="F969" t="str">
            <v>Booterstown</v>
          </cell>
          <cell r="G969" t="str">
            <v>Ireland</v>
          </cell>
          <cell r="H969" t="str">
            <v>D04</v>
          </cell>
          <cell r="I969" t="str">
            <v>Yes</v>
          </cell>
        </row>
        <row r="970">
          <cell r="A970" t="str">
            <v>06624-54037-BQ</v>
          </cell>
          <cell r="B970" t="str">
            <v>Wiley Leopold</v>
          </cell>
          <cell r="C970" t="str">
            <v>wleopoldqw@blogspot.com</v>
          </cell>
          <cell r="D970" t="str">
            <v>+1 (352) 173-9191</v>
          </cell>
          <cell r="E970" t="str">
            <v>5 Elmside Terrace</v>
          </cell>
          <cell r="F970" t="str">
            <v>Gainesville</v>
          </cell>
          <cell r="G970" t="str">
            <v>United States</v>
          </cell>
          <cell r="H970">
            <v>32627</v>
          </cell>
          <cell r="I970" t="str">
            <v>No</v>
          </cell>
        </row>
        <row r="971">
          <cell r="A971" t="str">
            <v>48544-90737-AZ</v>
          </cell>
          <cell r="B971" t="str">
            <v>Chiarra Shalders</v>
          </cell>
          <cell r="C971" t="str">
            <v>cshaldersqx@cisco.com</v>
          </cell>
          <cell r="D971" t="str">
            <v>+1 (305) 787-2810</v>
          </cell>
          <cell r="E971" t="str">
            <v>445 Heath Terrace</v>
          </cell>
          <cell r="F971" t="str">
            <v>Clearwater</v>
          </cell>
          <cell r="G971" t="str">
            <v>United States</v>
          </cell>
          <cell r="H971">
            <v>34620</v>
          </cell>
          <cell r="I971" t="str">
            <v>Yes</v>
          </cell>
        </row>
        <row r="972">
          <cell r="A972" t="str">
            <v>79463-01597-FQ</v>
          </cell>
          <cell r="B972" t="str">
            <v>Sharl Southerill</v>
          </cell>
          <cell r="D972" t="str">
            <v>+1 (865) 959-4075</v>
          </cell>
          <cell r="E972" t="str">
            <v>39 Nelson Pass</v>
          </cell>
          <cell r="F972" t="str">
            <v>Amarillo</v>
          </cell>
          <cell r="G972" t="str">
            <v>United States</v>
          </cell>
          <cell r="H972">
            <v>79165</v>
          </cell>
          <cell r="I972" t="str">
            <v>No</v>
          </cell>
        </row>
        <row r="973">
          <cell r="A973" t="str">
            <v>27702-50024-XC</v>
          </cell>
          <cell r="B973" t="str">
            <v>Noni Furber</v>
          </cell>
          <cell r="C973" t="str">
            <v>nfurberqz@jugem.jp</v>
          </cell>
          <cell r="D973" t="str">
            <v>+1 (817) 813-2784</v>
          </cell>
          <cell r="E973" t="str">
            <v>565 Sloan Avenue</v>
          </cell>
          <cell r="F973" t="str">
            <v>Fort Worth</v>
          </cell>
          <cell r="G973" t="str">
            <v>United States</v>
          </cell>
          <cell r="H973">
            <v>76121</v>
          </cell>
          <cell r="I973" t="str">
            <v>No</v>
          </cell>
        </row>
        <row r="974">
          <cell r="A974" t="str">
            <v>57360-46846-NS</v>
          </cell>
          <cell r="B974" t="str">
            <v>Dinah Crutcher</v>
          </cell>
          <cell r="D974" t="str">
            <v>+353 (706) 448-6304</v>
          </cell>
          <cell r="E974" t="str">
            <v>89147 Northport Trail</v>
          </cell>
          <cell r="F974" t="str">
            <v>Lusk</v>
          </cell>
          <cell r="G974" t="str">
            <v>Ireland</v>
          </cell>
          <cell r="H974" t="str">
            <v>K45</v>
          </cell>
          <cell r="I974" t="str">
            <v>Yes</v>
          </cell>
        </row>
        <row r="975">
          <cell r="A975" t="str">
            <v>84045-66771-SL</v>
          </cell>
          <cell r="B975" t="str">
            <v>Charlean Keave</v>
          </cell>
          <cell r="C975" t="str">
            <v>ckeaver1@ucoz.com</v>
          </cell>
          <cell r="D975" t="str">
            <v>+1 (850) 410-9647</v>
          </cell>
          <cell r="E975" t="str">
            <v>08019 Fairfield Pass</v>
          </cell>
          <cell r="F975" t="str">
            <v>Pensacola</v>
          </cell>
          <cell r="G975" t="str">
            <v>United States</v>
          </cell>
          <cell r="H975">
            <v>32575</v>
          </cell>
          <cell r="I975" t="str">
            <v>No</v>
          </cell>
        </row>
        <row r="976">
          <cell r="A976" t="str">
            <v>46885-00260-TL</v>
          </cell>
          <cell r="B976" t="str">
            <v>Sada Roseborough</v>
          </cell>
          <cell r="C976" t="str">
            <v>sroseboroughr2@virginia.edu</v>
          </cell>
          <cell r="D976" t="str">
            <v>+1 (253) 735-5179</v>
          </cell>
          <cell r="E976" t="str">
            <v>779 Memorial Avenue</v>
          </cell>
          <cell r="F976" t="str">
            <v>Tacoma</v>
          </cell>
          <cell r="G976" t="str">
            <v>United States</v>
          </cell>
          <cell r="H976">
            <v>98405</v>
          </cell>
          <cell r="I976" t="str">
            <v>Yes</v>
          </cell>
        </row>
        <row r="977">
          <cell r="A977" t="str">
            <v>96446-62142-EN</v>
          </cell>
          <cell r="B977" t="str">
            <v>Clayton Kingwell</v>
          </cell>
          <cell r="C977" t="str">
            <v>ckingwellr3@squarespace.com</v>
          </cell>
          <cell r="D977" t="str">
            <v>+353 (182) 469-0985</v>
          </cell>
          <cell r="E977" t="str">
            <v>947 Burrows Park</v>
          </cell>
          <cell r="F977" t="str">
            <v>Rathnew</v>
          </cell>
          <cell r="G977" t="str">
            <v>Ireland</v>
          </cell>
          <cell r="H977" t="str">
            <v>R35</v>
          </cell>
          <cell r="I977" t="str">
            <v>Yes</v>
          </cell>
        </row>
        <row r="978">
          <cell r="A978" t="str">
            <v>07756-71018-GU</v>
          </cell>
          <cell r="B978" t="str">
            <v>Kacy Canto</v>
          </cell>
          <cell r="C978" t="str">
            <v>kcantor4@gmpg.org</v>
          </cell>
          <cell r="D978" t="str">
            <v>+1 (260) 735-9621</v>
          </cell>
          <cell r="E978" t="str">
            <v>43 Doe Crossing Center</v>
          </cell>
          <cell r="F978" t="str">
            <v>Fort Wayne</v>
          </cell>
          <cell r="G978" t="str">
            <v>United States</v>
          </cell>
          <cell r="H978">
            <v>46896</v>
          </cell>
          <cell r="I978" t="str">
            <v>Yes</v>
          </cell>
        </row>
        <row r="979">
          <cell r="A979" t="str">
            <v>92048-47813-QB</v>
          </cell>
          <cell r="B979" t="str">
            <v>Mab Blakemore</v>
          </cell>
          <cell r="C979" t="str">
            <v>mblakemorer5@nsw.gov.au</v>
          </cell>
          <cell r="D979" t="str">
            <v>+1 (806) 227-6812</v>
          </cell>
          <cell r="E979" t="str">
            <v>70 Crescent Oaks Junction</v>
          </cell>
          <cell r="F979" t="str">
            <v>Amarillo</v>
          </cell>
          <cell r="G979" t="str">
            <v>United States</v>
          </cell>
          <cell r="H979">
            <v>79105</v>
          </cell>
          <cell r="I979" t="str">
            <v>No</v>
          </cell>
        </row>
        <row r="980">
          <cell r="A980" t="str">
            <v>58408-27638-IB</v>
          </cell>
          <cell r="B980" t="str">
            <v>Dedie Gooderridge</v>
          </cell>
          <cell r="C980" t="str">
            <v>dgooderridger6@lycos.com</v>
          </cell>
          <cell r="D980" t="str">
            <v>+1 (202) 793-3951</v>
          </cell>
          <cell r="E980" t="str">
            <v>181 Londonderry Circle</v>
          </cell>
          <cell r="F980" t="str">
            <v>Washington</v>
          </cell>
          <cell r="G980" t="str">
            <v>United States</v>
          </cell>
          <cell r="H980">
            <v>20436</v>
          </cell>
          <cell r="I980" t="str">
            <v>Yes</v>
          </cell>
        </row>
        <row r="981">
          <cell r="A981" t="str">
            <v>28699-16256-XV</v>
          </cell>
          <cell r="B981" t="str">
            <v>Javier Causnett</v>
          </cell>
          <cell r="D981" t="str">
            <v>+1 (301) 396-9701</v>
          </cell>
          <cell r="E981" t="str">
            <v>511 Rowland Alley</v>
          </cell>
          <cell r="F981" t="str">
            <v>Silver Spring</v>
          </cell>
          <cell r="G981" t="str">
            <v>United States</v>
          </cell>
          <cell r="H981">
            <v>20910</v>
          </cell>
          <cell r="I981" t="str">
            <v>No</v>
          </cell>
        </row>
        <row r="982">
          <cell r="A982" t="str">
            <v>98476-63654-CG</v>
          </cell>
          <cell r="B982" t="str">
            <v>Demetris Micheli</v>
          </cell>
          <cell r="D982" t="str">
            <v>+1 (608) 138-8374</v>
          </cell>
          <cell r="E982" t="str">
            <v>33123 Rigney Pass</v>
          </cell>
          <cell r="F982" t="str">
            <v>Madison</v>
          </cell>
          <cell r="G982" t="str">
            <v>United States</v>
          </cell>
          <cell r="H982">
            <v>53726</v>
          </cell>
          <cell r="I982" t="str">
            <v>Yes</v>
          </cell>
        </row>
        <row r="983">
          <cell r="A983" t="str">
            <v>55409-07759-YG</v>
          </cell>
          <cell r="B983" t="str">
            <v>Chloette Bernardot</v>
          </cell>
          <cell r="C983" t="str">
            <v>cbernardotr9@wix.com</v>
          </cell>
          <cell r="D983" t="str">
            <v>+1 (936) 783-5732</v>
          </cell>
          <cell r="E983" t="str">
            <v>6672 Cordelia Point</v>
          </cell>
          <cell r="F983" t="str">
            <v>Conroe</v>
          </cell>
          <cell r="G983" t="str">
            <v>United States</v>
          </cell>
          <cell r="H983">
            <v>77305</v>
          </cell>
          <cell r="I983" t="str">
            <v>Yes</v>
          </cell>
        </row>
        <row r="984">
          <cell r="A984" t="str">
            <v>06136-65250-PG</v>
          </cell>
          <cell r="B984" t="str">
            <v>Kim Kemery</v>
          </cell>
          <cell r="C984" t="str">
            <v>kkemeryra@t.co</v>
          </cell>
          <cell r="D984" t="str">
            <v>+1 (817) 407-3513</v>
          </cell>
          <cell r="E984" t="str">
            <v>95 Delladonna Parkway</v>
          </cell>
          <cell r="F984" t="str">
            <v>Denton</v>
          </cell>
          <cell r="G984" t="str">
            <v>United States</v>
          </cell>
          <cell r="H984">
            <v>76205</v>
          </cell>
          <cell r="I984" t="str">
            <v>Yes</v>
          </cell>
        </row>
        <row r="985">
          <cell r="A985" t="str">
            <v>08405-33165-BS</v>
          </cell>
          <cell r="B985" t="str">
            <v>Fanchette Parlot</v>
          </cell>
          <cell r="C985" t="str">
            <v>fparlotrb@forbes.com</v>
          </cell>
          <cell r="D985" t="str">
            <v>+1 (614) 706-1246</v>
          </cell>
          <cell r="E985" t="str">
            <v>7765 Westridge Lane</v>
          </cell>
          <cell r="F985" t="str">
            <v>Columbus</v>
          </cell>
          <cell r="G985" t="str">
            <v>United States</v>
          </cell>
          <cell r="H985">
            <v>43231</v>
          </cell>
          <cell r="I985" t="str">
            <v>Yes</v>
          </cell>
        </row>
        <row r="986">
          <cell r="A986" t="str">
            <v>66070-30559-WI</v>
          </cell>
          <cell r="B986" t="str">
            <v>Ramon Cheak</v>
          </cell>
          <cell r="C986" t="str">
            <v>rcheakrc@tripadvisor.com</v>
          </cell>
          <cell r="E986" t="str">
            <v>23 Paget Point</v>
          </cell>
          <cell r="F986" t="str">
            <v>Bundoran</v>
          </cell>
          <cell r="G986" t="str">
            <v>Ireland</v>
          </cell>
          <cell r="H986" t="str">
            <v>F94</v>
          </cell>
          <cell r="I986" t="str">
            <v>Yes</v>
          </cell>
        </row>
        <row r="987">
          <cell r="A987" t="str">
            <v>01282-28364-RZ</v>
          </cell>
          <cell r="B987" t="str">
            <v>Koressa O'Geneay</v>
          </cell>
          <cell r="C987" t="str">
            <v>kogeneayrd@utexas.edu</v>
          </cell>
          <cell r="D987" t="str">
            <v>+1 (303) 637-0326</v>
          </cell>
          <cell r="E987" t="str">
            <v>77 Rigney Hill</v>
          </cell>
          <cell r="F987" t="str">
            <v>Aurora</v>
          </cell>
          <cell r="G987" t="str">
            <v>United States</v>
          </cell>
          <cell r="H987">
            <v>80045</v>
          </cell>
          <cell r="I987" t="str">
            <v>No</v>
          </cell>
        </row>
        <row r="988">
          <cell r="A988" t="str">
            <v>51277-93873-RP</v>
          </cell>
          <cell r="B988" t="str">
            <v>Claudell Ayre</v>
          </cell>
          <cell r="C988" t="str">
            <v>cayrere@symantec.com</v>
          </cell>
          <cell r="D988" t="str">
            <v>+1 (386) 573-2575</v>
          </cell>
          <cell r="E988" t="str">
            <v>5645 Lotheville Crossing</v>
          </cell>
          <cell r="F988" t="str">
            <v>Daytona Beach</v>
          </cell>
          <cell r="G988" t="str">
            <v>United States</v>
          </cell>
          <cell r="H988">
            <v>32128</v>
          </cell>
          <cell r="I988" t="str">
            <v>No</v>
          </cell>
        </row>
        <row r="989">
          <cell r="A989" t="str">
            <v>84405-83364-DG</v>
          </cell>
          <cell r="B989" t="str">
            <v>Lorianne Kyneton</v>
          </cell>
          <cell r="C989" t="str">
            <v>lkynetonrf@macromedia.com</v>
          </cell>
          <cell r="D989" t="str">
            <v>+44 (618) 634-9365</v>
          </cell>
          <cell r="E989" t="str">
            <v>1926 3rd Center</v>
          </cell>
          <cell r="F989" t="str">
            <v>Seaton</v>
          </cell>
          <cell r="G989" t="str">
            <v>United Kingdom</v>
          </cell>
          <cell r="H989" t="str">
            <v>LE15</v>
          </cell>
          <cell r="I989" t="str">
            <v>Yes</v>
          </cell>
        </row>
        <row r="990">
          <cell r="A990" t="str">
            <v>83731-53280-YC</v>
          </cell>
          <cell r="B990" t="str">
            <v>Adele McFayden</v>
          </cell>
          <cell r="D990" t="str">
            <v>+44 (123) 755-7484</v>
          </cell>
          <cell r="E990" t="str">
            <v>28 Darwin Terrace</v>
          </cell>
          <cell r="F990" t="str">
            <v>Wirral</v>
          </cell>
          <cell r="G990" t="str">
            <v>United Kingdom</v>
          </cell>
          <cell r="H990" t="str">
            <v>CH48</v>
          </cell>
          <cell r="I990" t="str">
            <v>Yes</v>
          </cell>
        </row>
        <row r="991">
          <cell r="A991" t="str">
            <v>03917-13632-KC</v>
          </cell>
          <cell r="B991" t="str">
            <v>Herta Layne</v>
          </cell>
          <cell r="D991" t="str">
            <v>+1 (636) 143-8338</v>
          </cell>
          <cell r="E991" t="str">
            <v>5495 Talisman Plaza</v>
          </cell>
          <cell r="F991" t="str">
            <v>Saint Louis</v>
          </cell>
          <cell r="G991" t="str">
            <v>United States</v>
          </cell>
          <cell r="H991">
            <v>63131</v>
          </cell>
          <cell r="I991" t="str">
            <v>Yes</v>
          </cell>
        </row>
        <row r="992">
          <cell r="A992" t="str">
            <v>98051-37183-SK</v>
          </cell>
          <cell r="B992" t="str">
            <v>Dierdre Scrigmour</v>
          </cell>
          <cell r="C992" t="str">
            <v>dscrigmourri@cnbc.com</v>
          </cell>
          <cell r="D992" t="str">
            <v>+1 (858) 976-1767</v>
          </cell>
          <cell r="E992" t="str">
            <v>018 Luster Pass</v>
          </cell>
          <cell r="F992" t="str">
            <v>Oceanside</v>
          </cell>
          <cell r="G992" t="str">
            <v>United States</v>
          </cell>
          <cell r="H992">
            <v>92056</v>
          </cell>
          <cell r="I992" t="str">
            <v>No</v>
          </cell>
        </row>
        <row r="993">
          <cell r="A993" t="str">
            <v>48689-81852-DT</v>
          </cell>
          <cell r="B993" t="str">
            <v>Romy Whittlesea</v>
          </cell>
          <cell r="D993" t="str">
            <v>+1 (423) 297-8063</v>
          </cell>
          <cell r="E993" t="str">
            <v>65 Reinke Point</v>
          </cell>
          <cell r="F993" t="str">
            <v>Chattanooga</v>
          </cell>
          <cell r="G993" t="str">
            <v>United States</v>
          </cell>
          <cell r="H993">
            <v>37416</v>
          </cell>
          <cell r="I993" t="str">
            <v>Yes</v>
          </cell>
        </row>
        <row r="994">
          <cell r="A994" t="str">
            <v>70567-65133-CN</v>
          </cell>
          <cell r="B994" t="str">
            <v>Desdemona Eye</v>
          </cell>
          <cell r="D994" t="str">
            <v>+353 (252) 896-2096</v>
          </cell>
          <cell r="E994" t="str">
            <v>191 Manitowish Crossing</v>
          </cell>
          <cell r="F994" t="str">
            <v>Bagenalstown</v>
          </cell>
          <cell r="G994" t="str">
            <v>Ireland</v>
          </cell>
          <cell r="H994" t="str">
            <v>R21</v>
          </cell>
          <cell r="I994" t="str">
            <v>No</v>
          </cell>
        </row>
        <row r="995">
          <cell r="A995" t="str">
            <v>77869-81373-AY</v>
          </cell>
          <cell r="B995" t="str">
            <v>Margarette Sterland</v>
          </cell>
          <cell r="D995" t="str">
            <v>+1 (215) 872-6809</v>
          </cell>
          <cell r="E995" t="str">
            <v>5 Kenwood Pass</v>
          </cell>
          <cell r="F995" t="str">
            <v>Philadelphia</v>
          </cell>
          <cell r="G995" t="str">
            <v>United States</v>
          </cell>
          <cell r="H995">
            <v>19125</v>
          </cell>
          <cell r="I995" t="str">
            <v>No</v>
          </cell>
        </row>
        <row r="996">
          <cell r="A996" t="str">
            <v>38536-98293-JZ</v>
          </cell>
          <cell r="B996" t="str">
            <v>Catharine Scoines</v>
          </cell>
          <cell r="D996" t="str">
            <v>+353 (693) 290-4775</v>
          </cell>
          <cell r="E996" t="str">
            <v>39192 Glendale Hill</v>
          </cell>
          <cell r="F996" t="str">
            <v>Watergrasshill</v>
          </cell>
          <cell r="G996" t="str">
            <v>Ireland</v>
          </cell>
          <cell r="H996" t="str">
            <v>T56</v>
          </cell>
          <cell r="I996" t="str">
            <v>No</v>
          </cell>
        </row>
        <row r="997">
          <cell r="A997" t="str">
            <v>43014-53743-XK</v>
          </cell>
          <cell r="B997" t="str">
            <v>Jennica Tewelson</v>
          </cell>
          <cell r="C997" t="str">
            <v>jtewelsonrn@samsung.com</v>
          </cell>
          <cell r="D997" t="str">
            <v>+1 (469) 573-8379</v>
          </cell>
          <cell r="E997" t="str">
            <v>4040 Hoard Junction</v>
          </cell>
          <cell r="F997" t="str">
            <v>Dallas</v>
          </cell>
          <cell r="G997" t="str">
            <v>United States</v>
          </cell>
          <cell r="H997">
            <v>75210</v>
          </cell>
          <cell r="I997" t="str">
            <v>No</v>
          </cell>
        </row>
        <row r="998">
          <cell r="A998" t="str">
            <v>62494-09113-RP</v>
          </cell>
          <cell r="B998" t="str">
            <v>Marguerite Graves</v>
          </cell>
          <cell r="D998" t="str">
            <v>+1 (479) 204-9111</v>
          </cell>
          <cell r="E998" t="str">
            <v>91413 Scott Way</v>
          </cell>
          <cell r="F998" t="str">
            <v>Fort Smith</v>
          </cell>
          <cell r="G998" t="str">
            <v>United States</v>
          </cell>
          <cell r="H998">
            <v>72905</v>
          </cell>
          <cell r="I998" t="str">
            <v>No</v>
          </cell>
        </row>
        <row r="999">
          <cell r="A999" t="str">
            <v>10940-42739-ET</v>
          </cell>
          <cell r="B999" t="str">
            <v>Etan Featenby</v>
          </cell>
          <cell r="D999" t="str">
            <v>+1 (719) 416-9560</v>
          </cell>
          <cell r="E999" t="str">
            <v>885 Toban Plaza</v>
          </cell>
          <cell r="F999" t="str">
            <v>Colorado Springs</v>
          </cell>
          <cell r="G999" t="str">
            <v>United States</v>
          </cell>
          <cell r="H999">
            <v>80920</v>
          </cell>
          <cell r="I999" t="str">
            <v>Yes</v>
          </cell>
        </row>
        <row r="1000">
          <cell r="A1000" t="str">
            <v>64965-78386-MY</v>
          </cell>
          <cell r="B1000" t="str">
            <v>Nicolina Jenny</v>
          </cell>
          <cell r="C1000" t="str">
            <v>njennyrq@bigcartel.com</v>
          </cell>
          <cell r="D1000" t="str">
            <v>+1 (562) 679-4750</v>
          </cell>
          <cell r="E1000" t="str">
            <v>6099 American Ash Court</v>
          </cell>
          <cell r="F1000" t="str">
            <v>Whittier</v>
          </cell>
          <cell r="G1000" t="str">
            <v>United States</v>
          </cell>
          <cell r="H1000">
            <v>90610</v>
          </cell>
          <cell r="I1000" t="str">
            <v>No</v>
          </cell>
        </row>
        <row r="1001">
          <cell r="A1001" t="str">
            <v>77131-58092-GE</v>
          </cell>
          <cell r="B1001" t="str">
            <v>Vidovic Antonelli</v>
          </cell>
          <cell r="D1001" t="str">
            <v>+44 (810) 927-9266</v>
          </cell>
          <cell r="E1001" t="str">
            <v>3242 Corscot Pass</v>
          </cell>
          <cell r="F1001" t="str">
            <v>London</v>
          </cell>
          <cell r="G1001" t="str">
            <v>United Kingdom</v>
          </cell>
          <cell r="H1001" t="str">
            <v>EC1V</v>
          </cell>
          <cell r="I1001" t="str">
            <v>Yes</v>
          </cell>
        </row>
      </sheetData>
      <sheetData sheetId="3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A0E7AA-5AD5-436D-AEB4-92BBD799C0A3}" name="Table1" displayName="Table1" ref="E1:Q1001" totalsRowShown="0" headerRowDxfId="15" dataDxfId="14" tableBorderDxfId="13">
  <autoFilter ref="E1:Q1001" xr:uid="{5A21FAA3-8CF8-410F-ADDF-3BD88246AF4F}"/>
  <tableColumns count="13">
    <tableColumn id="1" xr3:uid="{BFF881F6-ADCD-443C-B0F7-E0C115738F4B}" name="Quantity" dataDxfId="12"/>
    <tableColumn id="2" xr3:uid="{B5B28E49-BE87-4609-9C07-6646116ECCF5}" name="Customer name" dataDxfId="11">
      <calculatedColumnFormula>VLOOKUP(C2,[1]customers!$A$1:$I$1001, 2, FALSE)</calculatedColumnFormula>
    </tableColumn>
    <tableColumn id="3" xr3:uid="{B67591C3-4E5D-482D-BEBB-B2DF22DC91E3}" name="Email" dataDxfId="10">
      <calculatedColumnFormula>VLOOKUP(orders!C2,[1]customers!$A$1:$I$1001, 3, FALSE)</calculatedColumnFormula>
    </tableColumn>
    <tableColumn id="4" xr3:uid="{0D28015B-81BA-4233-A767-CEC6A4D03ED2}" name="Country" dataDxfId="9">
      <calculatedColumnFormula>VLOOKUP(C2, [1]customers!$A$1:$I$1001, 7, FALSE)</calculatedColumnFormula>
    </tableColumn>
    <tableColumn id="5" xr3:uid="{1279EEE0-8631-40C6-927B-82B69C8E32F7}" name="Coffee Type" dataDxfId="8">
      <calculatedColumnFormula>VLOOKUP(orders!D2,[1]products!$A$1:$G$49, 2,FALSE)</calculatedColumnFormula>
    </tableColumn>
    <tableColumn id="6" xr3:uid="{1F39F31B-EDEA-4BFA-A9C9-9B920B412F35}" name="Roast Type" dataDxfId="7">
      <calculatedColumnFormula>VLOOKUP(orders!D2,[1]products!$A$1:$G$49, 3,FALSE)</calculatedColumnFormula>
    </tableColumn>
    <tableColumn id="7" xr3:uid="{0B3DFACD-F879-461F-8D6A-7269A8A946A4}" name="Size" dataDxfId="6">
      <calculatedColumnFormula>VLOOKUP(orders!D2,[1]products!$A$1:$G$49, 4,FALSE)</calculatedColumnFormula>
    </tableColumn>
    <tableColumn id="8" xr3:uid="{2C411ADF-4309-4DB6-88D2-2FDDF6F9690E}" name="Unit Price" dataDxfId="5">
      <calculatedColumnFormula>VLOOKUP(orders!D2,[1]products!$A$1:$G$49, 5,FALSE)</calculatedColumnFormula>
    </tableColumn>
    <tableColumn id="9" xr3:uid="{AA6F878C-35A7-47C6-8827-1354D2F5D1F7}" name="Sales" dataDxfId="4">
      <calculatedColumnFormula>PRODUCT(orders!$E2,orders!$L2)</calculatedColumnFormula>
    </tableColumn>
    <tableColumn id="10" xr3:uid="{D265EBED-7E91-4C31-A8FF-684C80FAD0B0}" name="Month" dataDxfId="3">
      <calculatedColumnFormula>TEXT(B2, "mmmm")</calculatedColumnFormula>
    </tableColumn>
    <tableColumn id="11" xr3:uid="{42CDDB2D-950E-4D10-A506-FD01A995EAF6}" name="Year" dataDxfId="2">
      <calculatedColumnFormula>YEAR(B2)</calculatedColumnFormula>
    </tableColumn>
    <tableColumn id="12" xr3:uid="{EB881EDF-7F10-435F-B2BC-2CFCE844FF20}" name="Day" dataDxfId="1">
      <calculatedColumnFormula>TEXT(orders!$B2, "DDD")</calculatedColumnFormula>
    </tableColumn>
    <tableColumn id="13" xr3:uid="{742E8260-AD5B-4F34-8EC6-90A26E8138B2}" name="City" dataDxfId="0">
      <calculatedColumnFormula>VLOOKUP(orders!C2,[1]customers!$A$1:$I$1001, 6,FALSE)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A5F0-4A9C-4006-9F42-49013BFDD99F}">
  <dimension ref="A1:Q1001"/>
  <sheetViews>
    <sheetView tabSelected="1" topLeftCell="D1" zoomScale="115" zoomScaleNormal="115" workbookViewId="0">
      <selection activeCell="G12" sqref="G12"/>
    </sheetView>
  </sheetViews>
  <sheetFormatPr defaultRowHeight="14.4" x14ac:dyDescent="0.3"/>
  <cols>
    <col min="1" max="1" width="16.5546875" customWidth="1"/>
    <col min="2" max="2" width="11.88671875" style="28" customWidth="1"/>
    <col min="3" max="3" width="17.44140625" customWidth="1"/>
    <col min="4" max="4" width="11.33203125" customWidth="1"/>
    <col min="5" max="5" width="9.77734375" customWidth="1"/>
    <col min="6" max="6" width="16.6640625" customWidth="1"/>
    <col min="7" max="7" width="36" customWidth="1"/>
    <col min="8" max="8" width="11.88671875" customWidth="1"/>
    <col min="9" max="9" width="12.6640625" customWidth="1"/>
    <col min="10" max="10" width="11.6640625" customWidth="1"/>
    <col min="11" max="11" width="5.77734375" style="29" customWidth="1"/>
    <col min="12" max="12" width="10.77734375" style="29" customWidth="1"/>
    <col min="13" max="13" width="8.33203125" style="30" customWidth="1"/>
    <col min="14" max="14" width="9.88671875" customWidth="1"/>
    <col min="16" max="16" width="10.5546875" customWidth="1"/>
    <col min="17" max="17" width="19.33203125" customWidth="1"/>
  </cols>
  <sheetData>
    <row r="1" spans="1:17" x14ac:dyDescent="0.3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3">
      <c r="A2" s="7" t="s">
        <v>17</v>
      </c>
      <c r="B2" s="8">
        <v>43713</v>
      </c>
      <c r="C2" s="9" t="s">
        <v>18</v>
      </c>
      <c r="D2" s="10" t="s">
        <v>19</v>
      </c>
      <c r="E2" s="9">
        <v>2</v>
      </c>
      <c r="F2" s="9" t="str">
        <f>VLOOKUP(C2,[1]customers!$A$1:$I$1001, 2, FALSE)</f>
        <v>Aloisia Allner</v>
      </c>
      <c r="G2" s="9" t="str">
        <f>VLOOKUP(orders!C2,[1]customers!$A$1:$I$1001, 3, FALSE)</f>
        <v>aallner0@lulu.com</v>
      </c>
      <c r="H2" s="9" t="str">
        <f>VLOOKUP(C2, [1]customers!$A$1:$I$1001, 7, FALSE)</f>
        <v>United States</v>
      </c>
      <c r="I2" s="11" t="str">
        <f>VLOOKUP(orders!D2,[1]products!$A$1:$G$49, 2,FALSE)</f>
        <v>Rob</v>
      </c>
      <c r="J2" s="11" t="str">
        <f>VLOOKUP(orders!D2,[1]products!$A$1:$G$49, 3,FALSE)</f>
        <v>M</v>
      </c>
      <c r="K2" s="12">
        <f>VLOOKUP(orders!D2,[1]products!$A$1:$G$49, 4,FALSE)</f>
        <v>1</v>
      </c>
      <c r="L2" s="12">
        <f>VLOOKUP(orders!D2,[1]products!$A$1:$G$49, 5,FALSE) * K2</f>
        <v>9.9499999999999993</v>
      </c>
      <c r="M2" s="13">
        <f>PRODUCT(orders!$E2,orders!$L2)</f>
        <v>19.899999999999999</v>
      </c>
      <c r="N2" s="11" t="str">
        <f t="shared" ref="N2:N65" si="0">TEXT(B2, "mmmm")</f>
        <v>September</v>
      </c>
      <c r="O2" s="11">
        <f t="shared" ref="O2:O65" si="1">YEAR(B2)</f>
        <v>2019</v>
      </c>
      <c r="P2" s="11" t="str">
        <f>TEXT(orders!$B2, "DDD")</f>
        <v>Thu</v>
      </c>
      <c r="Q2" s="11" t="str">
        <f>VLOOKUP(orders!C2,[1]customers!$A$1:$I$1001, 6,FALSE)</f>
        <v>Paterson</v>
      </c>
    </row>
    <row r="3" spans="1:17" x14ac:dyDescent="0.3">
      <c r="A3" s="14" t="s">
        <v>17</v>
      </c>
      <c r="B3" s="15">
        <v>43713</v>
      </c>
      <c r="C3" s="16" t="s">
        <v>18</v>
      </c>
      <c r="D3" s="17" t="s">
        <v>20</v>
      </c>
      <c r="E3" s="16">
        <v>5</v>
      </c>
      <c r="F3" s="9" t="str">
        <f>VLOOKUP(C3,[1]customers!$A$1:$I$1001, 2, FALSE)</f>
        <v>Aloisia Allner</v>
      </c>
      <c r="G3" s="16" t="str">
        <f>VLOOKUP(orders!C3,[1]customers!$A$1:$I$1001, 3, FALSE)</f>
        <v>aallner0@lulu.com</v>
      </c>
      <c r="H3" s="16" t="str">
        <f>VLOOKUP(C3, [1]customers!$A$1:$I$1001, 7, FALSE)</f>
        <v>United States</v>
      </c>
      <c r="I3" s="18" t="str">
        <f>VLOOKUP(orders!D3,[1]products!$A$1:$G$49, 2,FALSE)</f>
        <v>Exc</v>
      </c>
      <c r="J3" s="18" t="str">
        <f>VLOOKUP(orders!D3,[1]products!$A$1:$G$49, 3,FALSE)</f>
        <v>M</v>
      </c>
      <c r="K3" s="19">
        <f>VLOOKUP(orders!D3,[1]products!$A$1:$G$49, 4,FALSE)</f>
        <v>0.5</v>
      </c>
      <c r="L3" s="19">
        <f>VLOOKUP(orders!D3,[1]products!$A$1:$G$49, 5,FALSE)</f>
        <v>8.25</v>
      </c>
      <c r="M3" s="13">
        <f>PRODUCT(orders!$E3,orders!$L3)</f>
        <v>41.25</v>
      </c>
      <c r="N3" s="18" t="str">
        <f t="shared" si="0"/>
        <v>September</v>
      </c>
      <c r="O3" s="18">
        <f t="shared" si="1"/>
        <v>2019</v>
      </c>
      <c r="P3" s="11" t="str">
        <f>TEXT(orders!$B3, "DDD")</f>
        <v>Thu</v>
      </c>
      <c r="Q3" s="11" t="str">
        <f>VLOOKUP(orders!C3,[1]customers!$A$1:$I$1001, 6,FALSE)</f>
        <v>Paterson</v>
      </c>
    </row>
    <row r="4" spans="1:17" x14ac:dyDescent="0.3">
      <c r="A4" s="7" t="s">
        <v>21</v>
      </c>
      <c r="B4" s="8">
        <v>44364</v>
      </c>
      <c r="C4" s="9" t="s">
        <v>22</v>
      </c>
      <c r="D4" s="10" t="s">
        <v>23</v>
      </c>
      <c r="E4" s="9">
        <v>1</v>
      </c>
      <c r="F4" s="9" t="str">
        <f>VLOOKUP(C4,[1]customers!$A$1:$I$1001, 2, FALSE)</f>
        <v>Jami Redholes</v>
      </c>
      <c r="G4" s="9" t="str">
        <f>VLOOKUP(orders!C4,[1]customers!$A$1:$I$1001, 3, FALSE)</f>
        <v>jredholes2@tmall.com</v>
      </c>
      <c r="H4" s="9" t="str">
        <f>VLOOKUP(C4, [1]customers!$A$1:$I$1001, 7, FALSE)</f>
        <v>United States</v>
      </c>
      <c r="I4" s="11" t="str">
        <f>VLOOKUP(orders!D4,[1]products!$A$1:$G$49, 2,FALSE)</f>
        <v>Ara</v>
      </c>
      <c r="J4" s="11" t="str">
        <f>VLOOKUP(orders!D4,[1]products!$A$1:$G$49, 3,FALSE)</f>
        <v>L</v>
      </c>
      <c r="K4" s="12">
        <f>VLOOKUP(orders!D4,[1]products!$A$1:$G$49, 4,FALSE)</f>
        <v>1</v>
      </c>
      <c r="L4" s="12">
        <f>VLOOKUP(orders!D4,[1]products!$A$1:$G$49, 5,FALSE)</f>
        <v>12.95</v>
      </c>
      <c r="M4" s="13">
        <f>PRODUCT(orders!$E4,orders!$L4)</f>
        <v>12.95</v>
      </c>
      <c r="N4" s="11" t="str">
        <f t="shared" si="0"/>
        <v>June</v>
      </c>
      <c r="O4" s="11">
        <f t="shared" si="1"/>
        <v>2021</v>
      </c>
      <c r="P4" s="11" t="str">
        <f>TEXT(orders!$B4, "DDD")</f>
        <v>Thu</v>
      </c>
      <c r="Q4" s="11" t="str">
        <f>VLOOKUP(orders!C4,[1]customers!$A$1:$I$1001, 6,FALSE)</f>
        <v>San Antonio</v>
      </c>
    </row>
    <row r="5" spans="1:17" x14ac:dyDescent="0.3">
      <c r="A5" s="14" t="s">
        <v>24</v>
      </c>
      <c r="B5" s="15">
        <v>44392</v>
      </c>
      <c r="C5" s="16" t="s">
        <v>25</v>
      </c>
      <c r="D5" s="17" t="s">
        <v>26</v>
      </c>
      <c r="E5" s="16">
        <v>2</v>
      </c>
      <c r="F5" s="9" t="str">
        <f>VLOOKUP(C5,[1]customers!$A$1:$I$1001, 2, FALSE)</f>
        <v>Christoffer O' Shea</v>
      </c>
      <c r="G5" s="16">
        <f>VLOOKUP(orders!C5,[1]customers!$A$1:$I$1001, 3, FALSE)</f>
        <v>0</v>
      </c>
      <c r="H5" s="16" t="str">
        <f>VLOOKUP(C5, [1]customers!$A$1:$I$1001, 7, FALSE)</f>
        <v>Ireland</v>
      </c>
      <c r="I5" s="18" t="str">
        <f>VLOOKUP(orders!D5,[1]products!$A$1:$G$49, 2,FALSE)</f>
        <v>Exc</v>
      </c>
      <c r="J5" s="18" t="str">
        <f>VLOOKUP(orders!D5,[1]products!$A$1:$G$49, 3,FALSE)</f>
        <v>M</v>
      </c>
      <c r="K5" s="19">
        <f>VLOOKUP(orders!D5,[1]products!$A$1:$G$49, 4,FALSE)</f>
        <v>1</v>
      </c>
      <c r="L5" s="19">
        <f>VLOOKUP(orders!D5,[1]products!$A$1:$G$49, 5,FALSE)</f>
        <v>13.75</v>
      </c>
      <c r="M5" s="13">
        <f>PRODUCT(orders!$E5,orders!$L5)</f>
        <v>27.5</v>
      </c>
      <c r="N5" s="18" t="str">
        <f t="shared" si="0"/>
        <v>July</v>
      </c>
      <c r="O5" s="18">
        <f t="shared" si="1"/>
        <v>2021</v>
      </c>
      <c r="P5" s="11" t="str">
        <f>TEXT(orders!$B5, "DDD")</f>
        <v>Thu</v>
      </c>
      <c r="Q5" s="11" t="str">
        <f>VLOOKUP(orders!C5,[1]customers!$A$1:$I$1001, 6,FALSE)</f>
        <v>Cill Airne</v>
      </c>
    </row>
    <row r="6" spans="1:17" x14ac:dyDescent="0.3">
      <c r="A6" s="7" t="s">
        <v>24</v>
      </c>
      <c r="B6" s="8">
        <v>44392</v>
      </c>
      <c r="C6" s="9" t="s">
        <v>25</v>
      </c>
      <c r="D6" s="10" t="s">
        <v>27</v>
      </c>
      <c r="E6" s="9">
        <v>2</v>
      </c>
      <c r="F6" s="9" t="str">
        <f>VLOOKUP(C6,[1]customers!$A$1:$I$1001, 2, FALSE)</f>
        <v>Christoffer O' Shea</v>
      </c>
      <c r="G6" s="9">
        <f>VLOOKUP(orders!C6,[1]customers!$A$1:$I$1001, 3, FALSE)</f>
        <v>0</v>
      </c>
      <c r="H6" s="9" t="str">
        <f>VLOOKUP(C6, [1]customers!$A$1:$I$1001, 7, FALSE)</f>
        <v>Ireland</v>
      </c>
      <c r="I6" s="11" t="str">
        <f>VLOOKUP(orders!D6,[1]products!$A$1:$G$49, 2,FALSE)</f>
        <v>Rob</v>
      </c>
      <c r="J6" s="11" t="str">
        <f>VLOOKUP(orders!D6,[1]products!$A$1:$G$49, 3,FALSE)</f>
        <v>L</v>
      </c>
      <c r="K6" s="12">
        <f>VLOOKUP(orders!D6,[1]products!$A$1:$G$49, 4,FALSE)</f>
        <v>2.5</v>
      </c>
      <c r="L6" s="12">
        <f>VLOOKUP(orders!D6,[1]products!$A$1:$G$49, 5,FALSE)</f>
        <v>27.484999999999996</v>
      </c>
      <c r="M6" s="13">
        <f>PRODUCT(orders!$E6,orders!$L6)</f>
        <v>54.969999999999992</v>
      </c>
      <c r="N6" s="11" t="str">
        <f t="shared" si="0"/>
        <v>July</v>
      </c>
      <c r="O6" s="11">
        <f t="shared" si="1"/>
        <v>2021</v>
      </c>
      <c r="P6" s="11" t="str">
        <f>TEXT(orders!$B6, "DDD")</f>
        <v>Thu</v>
      </c>
      <c r="Q6" s="11" t="str">
        <f>VLOOKUP(orders!C6,[1]customers!$A$1:$I$1001, 6,FALSE)</f>
        <v>Cill Airne</v>
      </c>
    </row>
    <row r="7" spans="1:17" x14ac:dyDescent="0.3">
      <c r="A7" s="14" t="s">
        <v>28</v>
      </c>
      <c r="B7" s="15">
        <v>44412</v>
      </c>
      <c r="C7" s="16" t="s">
        <v>29</v>
      </c>
      <c r="D7" s="17" t="s">
        <v>30</v>
      </c>
      <c r="E7" s="16">
        <v>3</v>
      </c>
      <c r="F7" s="9" t="str">
        <f>VLOOKUP(C7,[1]customers!$A$1:$I$1001, 2, FALSE)</f>
        <v>Beryle Cottier</v>
      </c>
      <c r="G7" s="16">
        <f>VLOOKUP(orders!C7,[1]customers!$A$1:$I$1001, 3, FALSE)</f>
        <v>0</v>
      </c>
      <c r="H7" s="16" t="str">
        <f>VLOOKUP(C7, [1]customers!$A$1:$I$1001, 7, FALSE)</f>
        <v>United States</v>
      </c>
      <c r="I7" s="18" t="str">
        <f>VLOOKUP(orders!D7,[1]products!$A$1:$G$49, 2,FALSE)</f>
        <v>Lib</v>
      </c>
      <c r="J7" s="18" t="str">
        <f>VLOOKUP(orders!D7,[1]products!$A$1:$G$49, 3,FALSE)</f>
        <v>D</v>
      </c>
      <c r="K7" s="19">
        <f>VLOOKUP(orders!D7,[1]products!$A$1:$G$49, 4,FALSE)</f>
        <v>1</v>
      </c>
      <c r="L7" s="19">
        <f>VLOOKUP(orders!D7,[1]products!$A$1:$G$49, 5,FALSE)</f>
        <v>12.95</v>
      </c>
      <c r="M7" s="13">
        <f>PRODUCT(orders!$E7,orders!$L7)</f>
        <v>38.849999999999994</v>
      </c>
      <c r="N7" s="18" t="str">
        <f t="shared" si="0"/>
        <v>August</v>
      </c>
      <c r="O7" s="18">
        <f t="shared" si="1"/>
        <v>2021</v>
      </c>
      <c r="P7" s="11" t="str">
        <f>TEXT(orders!$B7, "DDD")</f>
        <v>Wed</v>
      </c>
      <c r="Q7" s="11" t="str">
        <f>VLOOKUP(orders!C7,[1]customers!$A$1:$I$1001, 6,FALSE)</f>
        <v>Scranton</v>
      </c>
    </row>
    <row r="8" spans="1:17" x14ac:dyDescent="0.3">
      <c r="A8" s="7" t="s">
        <v>31</v>
      </c>
      <c r="B8" s="8">
        <v>44582</v>
      </c>
      <c r="C8" s="9" t="s">
        <v>32</v>
      </c>
      <c r="D8" s="10" t="s">
        <v>33</v>
      </c>
      <c r="E8" s="9">
        <v>3</v>
      </c>
      <c r="F8" s="9" t="str">
        <f>VLOOKUP(C8,[1]customers!$A$1:$I$1001, 2, FALSE)</f>
        <v>Shaylynn Lobe</v>
      </c>
      <c r="G8" s="9" t="str">
        <f>VLOOKUP(orders!C8,[1]customers!$A$1:$I$1001, 3, FALSE)</f>
        <v>slobe6@nifty.com</v>
      </c>
      <c r="H8" s="9" t="str">
        <f>VLOOKUP(C8, [1]customers!$A$1:$I$1001, 7, FALSE)</f>
        <v>United States</v>
      </c>
      <c r="I8" s="11" t="str">
        <f>VLOOKUP(orders!D8,[1]products!$A$1:$G$49, 2,FALSE)</f>
        <v>Exc</v>
      </c>
      <c r="J8" s="11" t="str">
        <f>VLOOKUP(orders!D8,[1]products!$A$1:$G$49, 3,FALSE)</f>
        <v>D</v>
      </c>
      <c r="K8" s="12">
        <f>VLOOKUP(orders!D8,[1]products!$A$1:$G$49, 4,FALSE)</f>
        <v>0.5</v>
      </c>
      <c r="L8" s="12">
        <f>VLOOKUP(orders!D8,[1]products!$A$1:$G$49, 5,FALSE)</f>
        <v>7.29</v>
      </c>
      <c r="M8" s="13">
        <f>PRODUCT(orders!$E8,orders!$L8)</f>
        <v>21.87</v>
      </c>
      <c r="N8" s="11" t="str">
        <f t="shared" si="0"/>
        <v>January</v>
      </c>
      <c r="O8" s="11">
        <f t="shared" si="1"/>
        <v>2022</v>
      </c>
      <c r="P8" s="11" t="str">
        <f>TEXT(orders!$B8, "DDD")</f>
        <v>Fri</v>
      </c>
      <c r="Q8" s="11" t="str">
        <f>VLOOKUP(orders!C8,[1]customers!$A$1:$I$1001, 6,FALSE)</f>
        <v>Dayton</v>
      </c>
    </row>
    <row r="9" spans="1:17" x14ac:dyDescent="0.3">
      <c r="A9" s="14" t="s">
        <v>34</v>
      </c>
      <c r="B9" s="15">
        <v>44701</v>
      </c>
      <c r="C9" s="16" t="s">
        <v>35</v>
      </c>
      <c r="D9" s="17" t="s">
        <v>36</v>
      </c>
      <c r="E9" s="16">
        <v>1</v>
      </c>
      <c r="F9" s="9" t="str">
        <f>VLOOKUP(C9,[1]customers!$A$1:$I$1001, 2, FALSE)</f>
        <v>Melvin Wharfe</v>
      </c>
      <c r="G9" s="16">
        <f>VLOOKUP(orders!C9,[1]customers!$A$1:$I$1001, 3, FALSE)</f>
        <v>0</v>
      </c>
      <c r="H9" s="16" t="str">
        <f>VLOOKUP(C9, [1]customers!$A$1:$I$1001, 7, FALSE)</f>
        <v>Ireland</v>
      </c>
      <c r="I9" s="18" t="str">
        <f>VLOOKUP(orders!D9,[1]products!$A$1:$G$49, 2,FALSE)</f>
        <v>Lib</v>
      </c>
      <c r="J9" s="18" t="str">
        <f>VLOOKUP(orders!D9,[1]products!$A$1:$G$49, 3,FALSE)</f>
        <v>L</v>
      </c>
      <c r="K9" s="19">
        <f>VLOOKUP(orders!D9,[1]products!$A$1:$G$49, 4,FALSE)</f>
        <v>0.2</v>
      </c>
      <c r="L9" s="19">
        <f>VLOOKUP(orders!D9,[1]products!$A$1:$G$49, 5,FALSE)</f>
        <v>4.7549999999999999</v>
      </c>
      <c r="M9" s="13">
        <f>PRODUCT(orders!$E9,orders!$L9)</f>
        <v>4.7549999999999999</v>
      </c>
      <c r="N9" s="18" t="str">
        <f t="shared" si="0"/>
        <v>May</v>
      </c>
      <c r="O9" s="18">
        <f t="shared" si="1"/>
        <v>2022</v>
      </c>
      <c r="P9" s="11" t="str">
        <f>TEXT(orders!$B9, "DDD")</f>
        <v>Fri</v>
      </c>
      <c r="Q9" s="11" t="str">
        <f>VLOOKUP(orders!C9,[1]customers!$A$1:$I$1001, 6,FALSE)</f>
        <v>Kill</v>
      </c>
    </row>
    <row r="10" spans="1:17" x14ac:dyDescent="0.3">
      <c r="A10" s="7" t="s">
        <v>37</v>
      </c>
      <c r="B10" s="8">
        <v>43467</v>
      </c>
      <c r="C10" s="9" t="s">
        <v>38</v>
      </c>
      <c r="D10" s="10" t="s">
        <v>39</v>
      </c>
      <c r="E10" s="9">
        <v>3</v>
      </c>
      <c r="F10" s="9" t="str">
        <f>VLOOKUP(C10,[1]customers!$A$1:$I$1001, 2, FALSE)</f>
        <v>Guthrey Petracci</v>
      </c>
      <c r="G10" s="9" t="str">
        <f>VLOOKUP(orders!C10,[1]customers!$A$1:$I$1001, 3, FALSE)</f>
        <v>gpetracci8@livejournal.com</v>
      </c>
      <c r="H10" s="9" t="str">
        <f>VLOOKUP(C10, [1]customers!$A$1:$I$1001, 7, FALSE)</f>
        <v>United States</v>
      </c>
      <c r="I10" s="11" t="str">
        <f>VLOOKUP(orders!D10,[1]products!$A$1:$G$49, 2,FALSE)</f>
        <v>Rob</v>
      </c>
      <c r="J10" s="11" t="str">
        <f>VLOOKUP(orders!D10,[1]products!$A$1:$G$49, 3,FALSE)</f>
        <v>M</v>
      </c>
      <c r="K10" s="12">
        <f>VLOOKUP(orders!D10,[1]products!$A$1:$G$49, 4,FALSE)</f>
        <v>0.5</v>
      </c>
      <c r="L10" s="12">
        <f>VLOOKUP(orders!D10,[1]products!$A$1:$G$49, 5,FALSE)</f>
        <v>5.97</v>
      </c>
      <c r="M10" s="13">
        <f>PRODUCT(orders!$E10,orders!$L10)</f>
        <v>17.91</v>
      </c>
      <c r="N10" s="11" t="str">
        <f t="shared" si="0"/>
        <v>January</v>
      </c>
      <c r="O10" s="11">
        <f t="shared" si="1"/>
        <v>2019</v>
      </c>
      <c r="P10" s="11" t="str">
        <f>TEXT(orders!$B10, "DDD")</f>
        <v>Wed</v>
      </c>
      <c r="Q10" s="11" t="str">
        <f>VLOOKUP(orders!C10,[1]customers!$A$1:$I$1001, 6,FALSE)</f>
        <v>Los Angeles</v>
      </c>
    </row>
    <row r="11" spans="1:17" x14ac:dyDescent="0.3">
      <c r="A11" s="14" t="s">
        <v>40</v>
      </c>
      <c r="B11" s="15">
        <v>43713</v>
      </c>
      <c r="C11" s="16" t="s">
        <v>41</v>
      </c>
      <c r="D11" s="17" t="s">
        <v>39</v>
      </c>
      <c r="E11" s="16">
        <v>1</v>
      </c>
      <c r="F11" s="9" t="str">
        <f>VLOOKUP(C11,[1]customers!$A$1:$I$1001, 2, FALSE)</f>
        <v>Rodger Raven</v>
      </c>
      <c r="G11" s="16" t="str">
        <f>VLOOKUP(orders!C11,[1]customers!$A$1:$I$1001, 3, FALSE)</f>
        <v>rraven9@ed.gov</v>
      </c>
      <c r="H11" s="16" t="str">
        <f>VLOOKUP(C11, [1]customers!$A$1:$I$1001, 7, FALSE)</f>
        <v>United States</v>
      </c>
      <c r="I11" s="18" t="str">
        <f>VLOOKUP(orders!D11,[1]products!$A$1:$G$49, 2,FALSE)</f>
        <v>Rob</v>
      </c>
      <c r="J11" s="18" t="str">
        <f>VLOOKUP(orders!D11,[1]products!$A$1:$G$49, 3,FALSE)</f>
        <v>M</v>
      </c>
      <c r="K11" s="19">
        <f>VLOOKUP(orders!D11,[1]products!$A$1:$G$49, 4,FALSE)</f>
        <v>0.5</v>
      </c>
      <c r="L11" s="19">
        <f>VLOOKUP(orders!D11,[1]products!$A$1:$G$49, 5,FALSE)</f>
        <v>5.97</v>
      </c>
      <c r="M11" s="13">
        <f>PRODUCT(orders!$E11,orders!$L11)</f>
        <v>5.97</v>
      </c>
      <c r="N11" s="18" t="str">
        <f t="shared" si="0"/>
        <v>September</v>
      </c>
      <c r="O11" s="18">
        <f t="shared" si="1"/>
        <v>2019</v>
      </c>
      <c r="P11" s="11" t="str">
        <f>TEXT(orders!$B11, "DDD")</f>
        <v>Thu</v>
      </c>
      <c r="Q11" s="11" t="str">
        <f>VLOOKUP(orders!C11,[1]customers!$A$1:$I$1001, 6,FALSE)</f>
        <v>Los Angeles</v>
      </c>
    </row>
    <row r="12" spans="1:17" x14ac:dyDescent="0.3">
      <c r="A12" s="7" t="s">
        <v>42</v>
      </c>
      <c r="B12" s="8">
        <v>44263</v>
      </c>
      <c r="C12" s="9" t="s">
        <v>43</v>
      </c>
      <c r="D12" s="10" t="s">
        <v>44</v>
      </c>
      <c r="E12" s="9">
        <v>4</v>
      </c>
      <c r="F12" s="9" t="str">
        <f>VLOOKUP(C12,[1]customers!$A$1:$I$1001, 2, FALSE)</f>
        <v>Ferrell Ferber</v>
      </c>
      <c r="G12" s="9" t="str">
        <f>VLOOKUP(orders!C12,[1]customers!$A$1:$I$1001, 3, FALSE)</f>
        <v>fferbera@businesswire.com</v>
      </c>
      <c r="H12" s="9" t="str">
        <f>VLOOKUP(C12, [1]customers!$A$1:$I$1001, 7, FALSE)</f>
        <v>United States</v>
      </c>
      <c r="I12" s="11" t="str">
        <f>VLOOKUP(orders!D12,[1]products!$A$1:$G$49, 2,FALSE)</f>
        <v>Ara</v>
      </c>
      <c r="J12" s="11" t="str">
        <f>VLOOKUP(orders!D12,[1]products!$A$1:$G$49, 3,FALSE)</f>
        <v>D</v>
      </c>
      <c r="K12" s="12">
        <f>VLOOKUP(orders!D12,[1]products!$A$1:$G$49, 4,FALSE)</f>
        <v>1</v>
      </c>
      <c r="L12" s="12">
        <f>VLOOKUP(orders!D12,[1]products!$A$1:$G$49, 5,FALSE)</f>
        <v>9.9499999999999993</v>
      </c>
      <c r="M12" s="13">
        <f>PRODUCT(orders!$E12,orders!$L12)</f>
        <v>39.799999999999997</v>
      </c>
      <c r="N12" s="11" t="str">
        <f t="shared" si="0"/>
        <v>March</v>
      </c>
      <c r="O12" s="11">
        <f t="shared" si="1"/>
        <v>2021</v>
      </c>
      <c r="P12" s="11" t="str">
        <f>TEXT(orders!$B12, "DDD")</f>
        <v>Mon</v>
      </c>
      <c r="Q12" s="11" t="str">
        <f>VLOOKUP(orders!C12,[1]customers!$A$1:$I$1001, 6,FALSE)</f>
        <v>San Jose</v>
      </c>
    </row>
    <row r="13" spans="1:17" x14ac:dyDescent="0.3">
      <c r="A13" s="14" t="s">
        <v>45</v>
      </c>
      <c r="B13" s="15">
        <v>44132</v>
      </c>
      <c r="C13" s="16" t="s">
        <v>46</v>
      </c>
      <c r="D13" s="17" t="s">
        <v>47</v>
      </c>
      <c r="E13" s="16">
        <v>5</v>
      </c>
      <c r="F13" s="9" t="str">
        <f>VLOOKUP(C13,[1]customers!$A$1:$I$1001, 2, FALSE)</f>
        <v>Duky Phizackerly</v>
      </c>
      <c r="G13" s="16" t="str">
        <f>VLOOKUP(orders!C13,[1]customers!$A$1:$I$1001, 3, FALSE)</f>
        <v>dphizackerlyb@utexas.edu</v>
      </c>
      <c r="H13" s="16" t="str">
        <f>VLOOKUP(C13, [1]customers!$A$1:$I$1001, 7, FALSE)</f>
        <v>United States</v>
      </c>
      <c r="I13" s="18" t="str">
        <f>VLOOKUP(orders!D13,[1]products!$A$1:$G$49, 2,FALSE)</f>
        <v>Exc</v>
      </c>
      <c r="J13" s="18" t="str">
        <f>VLOOKUP(orders!D13,[1]products!$A$1:$G$49, 3,FALSE)</f>
        <v>L</v>
      </c>
      <c r="K13" s="19">
        <f>VLOOKUP(orders!D13,[1]products!$A$1:$G$49, 4,FALSE)</f>
        <v>2.5</v>
      </c>
      <c r="L13" s="19">
        <f>VLOOKUP(orders!D13,[1]products!$A$1:$G$49, 5,FALSE)</f>
        <v>34.154999999999994</v>
      </c>
      <c r="M13" s="13">
        <f>PRODUCT(orders!$E13,orders!$L13)</f>
        <v>170.77499999999998</v>
      </c>
      <c r="N13" s="18" t="str">
        <f t="shared" si="0"/>
        <v>October</v>
      </c>
      <c r="O13" s="18">
        <f t="shared" si="1"/>
        <v>2020</v>
      </c>
      <c r="P13" s="11" t="str">
        <f>TEXT(orders!$B13, "DDD")</f>
        <v>Wed</v>
      </c>
      <c r="Q13" s="11" t="str">
        <f>VLOOKUP(orders!C13,[1]customers!$A$1:$I$1001, 6,FALSE)</f>
        <v>San Jose</v>
      </c>
    </row>
    <row r="14" spans="1:17" x14ac:dyDescent="0.3">
      <c r="A14" s="7" t="s">
        <v>48</v>
      </c>
      <c r="B14" s="8">
        <v>44744</v>
      </c>
      <c r="C14" s="9" t="s">
        <v>49</v>
      </c>
      <c r="D14" s="10" t="s">
        <v>19</v>
      </c>
      <c r="E14" s="9">
        <v>5</v>
      </c>
      <c r="F14" s="9" t="str">
        <f>VLOOKUP(C14,[1]customers!$A$1:$I$1001, 2, FALSE)</f>
        <v>Rosaleen Scholar</v>
      </c>
      <c r="G14" s="9" t="str">
        <f>VLOOKUP(orders!C14,[1]customers!$A$1:$I$1001, 3, FALSE)</f>
        <v>rscholarc@nyu.edu</v>
      </c>
      <c r="H14" s="9" t="str">
        <f>VLOOKUP(C14, [1]customers!$A$1:$I$1001, 7, FALSE)</f>
        <v>United States</v>
      </c>
      <c r="I14" s="11" t="str">
        <f>VLOOKUP(orders!D14,[1]products!$A$1:$G$49, 2,FALSE)</f>
        <v>Rob</v>
      </c>
      <c r="J14" s="11" t="str">
        <f>VLOOKUP(orders!D14,[1]products!$A$1:$G$49, 3,FALSE)</f>
        <v>M</v>
      </c>
      <c r="K14" s="12">
        <f>VLOOKUP(orders!D14,[1]products!$A$1:$G$49, 4,FALSE)</f>
        <v>1</v>
      </c>
      <c r="L14" s="12">
        <f>VLOOKUP(orders!D14,[1]products!$A$1:$G$49, 5,FALSE)</f>
        <v>9.9499999999999993</v>
      </c>
      <c r="M14" s="13">
        <f>PRODUCT(orders!$E14,orders!$L14)</f>
        <v>49.75</v>
      </c>
      <c r="N14" s="11" t="str">
        <f t="shared" si="0"/>
        <v>July</v>
      </c>
      <c r="O14" s="11">
        <f t="shared" si="1"/>
        <v>2022</v>
      </c>
      <c r="P14" s="11" t="str">
        <f>TEXT(orders!$B14, "DDD")</f>
        <v>Sat</v>
      </c>
      <c r="Q14" s="11" t="str">
        <f>VLOOKUP(orders!C14,[1]customers!$A$1:$I$1001, 6,FALSE)</f>
        <v>Richmond</v>
      </c>
    </row>
    <row r="15" spans="1:17" x14ac:dyDescent="0.3">
      <c r="A15" s="14" t="s">
        <v>50</v>
      </c>
      <c r="B15" s="15">
        <v>43973</v>
      </c>
      <c r="C15" s="16" t="s">
        <v>51</v>
      </c>
      <c r="D15" s="17" t="s">
        <v>52</v>
      </c>
      <c r="E15" s="16">
        <v>2</v>
      </c>
      <c r="F15" s="9" t="str">
        <f>VLOOKUP(C15,[1]customers!$A$1:$I$1001, 2, FALSE)</f>
        <v>Terence Vanyutin</v>
      </c>
      <c r="G15" s="16" t="str">
        <f>VLOOKUP(orders!C15,[1]customers!$A$1:$I$1001, 3, FALSE)</f>
        <v>tvanyutind@wix.com</v>
      </c>
      <c r="H15" s="16" t="str">
        <f>VLOOKUP(C15, [1]customers!$A$1:$I$1001, 7, FALSE)</f>
        <v>United States</v>
      </c>
      <c r="I15" s="18" t="str">
        <f>VLOOKUP(orders!D15,[1]products!$A$1:$G$49, 2,FALSE)</f>
        <v>Rob</v>
      </c>
      <c r="J15" s="18" t="str">
        <f>VLOOKUP(orders!D15,[1]products!$A$1:$G$49, 3,FALSE)</f>
        <v>D</v>
      </c>
      <c r="K15" s="19">
        <f>VLOOKUP(orders!D15,[1]products!$A$1:$G$49, 4,FALSE)</f>
        <v>2.5</v>
      </c>
      <c r="L15" s="19">
        <f>VLOOKUP(orders!D15,[1]products!$A$1:$G$49, 5,FALSE)</f>
        <v>20.584999999999997</v>
      </c>
      <c r="M15" s="13">
        <f>PRODUCT(orders!$E15,orders!$L15)</f>
        <v>41.169999999999995</v>
      </c>
      <c r="N15" s="18" t="str">
        <f t="shared" si="0"/>
        <v>May</v>
      </c>
      <c r="O15" s="18">
        <f t="shared" si="1"/>
        <v>2020</v>
      </c>
      <c r="P15" s="11" t="str">
        <f>TEXT(orders!$B15, "DDD")</f>
        <v>Fri</v>
      </c>
      <c r="Q15" s="11" t="str">
        <f>VLOOKUP(orders!C15,[1]customers!$A$1:$I$1001, 6,FALSE)</f>
        <v>Migrate</v>
      </c>
    </row>
    <row r="16" spans="1:17" x14ac:dyDescent="0.3">
      <c r="A16" s="7" t="s">
        <v>53</v>
      </c>
      <c r="B16" s="8">
        <v>44656</v>
      </c>
      <c r="C16" s="9" t="s">
        <v>54</v>
      </c>
      <c r="D16" s="10" t="s">
        <v>55</v>
      </c>
      <c r="E16" s="9">
        <v>3</v>
      </c>
      <c r="F16" s="9" t="str">
        <f>VLOOKUP(C16,[1]customers!$A$1:$I$1001, 2, FALSE)</f>
        <v>Patrice Trobe</v>
      </c>
      <c r="G16" s="9" t="str">
        <f>VLOOKUP(orders!C16,[1]customers!$A$1:$I$1001, 3, FALSE)</f>
        <v>ptrobee@wunderground.com</v>
      </c>
      <c r="H16" s="9" t="str">
        <f>VLOOKUP(C16, [1]customers!$A$1:$I$1001, 7, FALSE)</f>
        <v>United States</v>
      </c>
      <c r="I16" s="11" t="str">
        <f>VLOOKUP(orders!D16,[1]products!$A$1:$G$49, 2,FALSE)</f>
        <v>Lib</v>
      </c>
      <c r="J16" s="11" t="str">
        <f>VLOOKUP(orders!D16,[1]products!$A$1:$G$49, 3,FALSE)</f>
        <v>D</v>
      </c>
      <c r="K16" s="12">
        <f>VLOOKUP(orders!D16,[1]products!$A$1:$G$49, 4,FALSE)</f>
        <v>0.2</v>
      </c>
      <c r="L16" s="12">
        <f>VLOOKUP(orders!D16,[1]products!$A$1:$G$49, 5,FALSE)</f>
        <v>3.8849999999999998</v>
      </c>
      <c r="M16" s="13">
        <f>PRODUCT(orders!$E16,orders!$L16)</f>
        <v>11.654999999999999</v>
      </c>
      <c r="N16" s="11" t="str">
        <f t="shared" si="0"/>
        <v>April</v>
      </c>
      <c r="O16" s="11">
        <f t="shared" si="1"/>
        <v>2022</v>
      </c>
      <c r="P16" s="11" t="str">
        <f>TEXT(orders!$B16, "DDD")</f>
        <v>Tue</v>
      </c>
      <c r="Q16" s="11" t="str">
        <f>VLOOKUP(orders!C16,[1]customers!$A$1:$I$1001, 6,FALSE)</f>
        <v>Saint Louis</v>
      </c>
    </row>
    <row r="17" spans="1:17" x14ac:dyDescent="0.3">
      <c r="A17" s="14" t="s">
        <v>56</v>
      </c>
      <c r="B17" s="15">
        <v>44719</v>
      </c>
      <c r="C17" s="16" t="s">
        <v>57</v>
      </c>
      <c r="D17" s="17" t="s">
        <v>58</v>
      </c>
      <c r="E17" s="16">
        <v>5</v>
      </c>
      <c r="F17" s="9" t="str">
        <f>VLOOKUP(C17,[1]customers!$A$1:$I$1001, 2, FALSE)</f>
        <v>Llywellyn Oscroft</v>
      </c>
      <c r="G17" s="16" t="str">
        <f>VLOOKUP(orders!C17,[1]customers!$A$1:$I$1001, 3, FALSE)</f>
        <v>loscroftf@ebay.co.uk</v>
      </c>
      <c r="H17" s="16" t="str">
        <f>VLOOKUP(C17, [1]customers!$A$1:$I$1001, 7, FALSE)</f>
        <v>United States</v>
      </c>
      <c r="I17" s="18" t="str">
        <f>VLOOKUP(orders!D17,[1]products!$A$1:$G$49, 2,FALSE)</f>
        <v>Rob</v>
      </c>
      <c r="J17" s="18" t="str">
        <f>VLOOKUP(orders!D17,[1]products!$A$1:$G$49, 3,FALSE)</f>
        <v>M</v>
      </c>
      <c r="K17" s="19">
        <f>VLOOKUP(orders!D17,[1]products!$A$1:$G$49, 4,FALSE)</f>
        <v>2.5</v>
      </c>
      <c r="L17" s="19">
        <f>VLOOKUP(orders!D17,[1]products!$A$1:$G$49, 5,FALSE)</f>
        <v>22.884999999999998</v>
      </c>
      <c r="M17" s="13">
        <f>PRODUCT(orders!$E17,orders!$L17)</f>
        <v>114.42499999999998</v>
      </c>
      <c r="N17" s="18" t="str">
        <f t="shared" si="0"/>
        <v>June</v>
      </c>
      <c r="O17" s="18">
        <f t="shared" si="1"/>
        <v>2022</v>
      </c>
      <c r="P17" s="11" t="str">
        <f>TEXT(orders!$B17, "DDD")</f>
        <v>Tue</v>
      </c>
      <c r="Q17" s="11" t="str">
        <f>VLOOKUP(orders!C17,[1]customers!$A$1:$I$1001, 6,FALSE)</f>
        <v>Philadelphia</v>
      </c>
    </row>
    <row r="18" spans="1:17" x14ac:dyDescent="0.3">
      <c r="A18" s="7" t="s">
        <v>59</v>
      </c>
      <c r="B18" s="8">
        <v>43544</v>
      </c>
      <c r="C18" s="9" t="s">
        <v>60</v>
      </c>
      <c r="D18" s="10" t="s">
        <v>61</v>
      </c>
      <c r="E18" s="9">
        <v>6</v>
      </c>
      <c r="F18" s="9" t="str">
        <f>VLOOKUP(C18,[1]customers!$A$1:$I$1001, 2, FALSE)</f>
        <v>Minni Alabaster</v>
      </c>
      <c r="G18" s="9" t="str">
        <f>VLOOKUP(orders!C18,[1]customers!$A$1:$I$1001, 3, FALSE)</f>
        <v>malabasterg@hexun.com</v>
      </c>
      <c r="H18" s="9" t="str">
        <f>VLOOKUP(C18, [1]customers!$A$1:$I$1001, 7, FALSE)</f>
        <v>United States</v>
      </c>
      <c r="I18" s="11" t="str">
        <f>VLOOKUP(orders!D18,[1]products!$A$1:$G$49, 2,FALSE)</f>
        <v>Ara</v>
      </c>
      <c r="J18" s="11" t="str">
        <f>VLOOKUP(orders!D18,[1]products!$A$1:$G$49, 3,FALSE)</f>
        <v>M</v>
      </c>
      <c r="K18" s="12">
        <f>VLOOKUP(orders!D18,[1]products!$A$1:$G$49, 4,FALSE)</f>
        <v>0.2</v>
      </c>
      <c r="L18" s="12">
        <f>VLOOKUP(orders!D18,[1]products!$A$1:$G$49, 5,FALSE)</f>
        <v>3.375</v>
      </c>
      <c r="M18" s="13">
        <f>PRODUCT(orders!$E18,orders!$L18)</f>
        <v>20.25</v>
      </c>
      <c r="N18" s="11" t="str">
        <f t="shared" si="0"/>
        <v>March</v>
      </c>
      <c r="O18" s="11">
        <f t="shared" si="1"/>
        <v>2019</v>
      </c>
      <c r="P18" s="11" t="str">
        <f>TEXT(orders!$B18, "DDD")</f>
        <v>Wed</v>
      </c>
      <c r="Q18" s="11" t="str">
        <f>VLOOKUP(orders!C18,[1]customers!$A$1:$I$1001, 6,FALSE)</f>
        <v>Portland</v>
      </c>
    </row>
    <row r="19" spans="1:17" x14ac:dyDescent="0.3">
      <c r="A19" s="14" t="s">
        <v>62</v>
      </c>
      <c r="B19" s="15">
        <v>43757</v>
      </c>
      <c r="C19" s="16" t="s">
        <v>63</v>
      </c>
      <c r="D19" s="17" t="s">
        <v>23</v>
      </c>
      <c r="E19" s="16">
        <v>6</v>
      </c>
      <c r="F19" s="9" t="str">
        <f>VLOOKUP(C19,[1]customers!$A$1:$I$1001, 2, FALSE)</f>
        <v>Rhianon Broxup</v>
      </c>
      <c r="G19" s="16" t="str">
        <f>VLOOKUP(orders!C19,[1]customers!$A$1:$I$1001, 3, FALSE)</f>
        <v>rbroxuph@jimdo.com</v>
      </c>
      <c r="H19" s="16" t="str">
        <f>VLOOKUP(C19, [1]customers!$A$1:$I$1001, 7, FALSE)</f>
        <v>United States</v>
      </c>
      <c r="I19" s="18" t="str">
        <f>VLOOKUP(orders!D19,[1]products!$A$1:$G$49, 2,FALSE)</f>
        <v>Ara</v>
      </c>
      <c r="J19" s="18" t="str">
        <f>VLOOKUP(orders!D19,[1]products!$A$1:$G$49, 3,FALSE)</f>
        <v>L</v>
      </c>
      <c r="K19" s="19">
        <f>VLOOKUP(orders!D19,[1]products!$A$1:$G$49, 4,FALSE)</f>
        <v>1</v>
      </c>
      <c r="L19" s="19">
        <f>VLOOKUP(orders!D19,[1]products!$A$1:$G$49, 5,FALSE)</f>
        <v>12.95</v>
      </c>
      <c r="M19" s="13">
        <f>PRODUCT(orders!$E19,orders!$L19)</f>
        <v>77.699999999999989</v>
      </c>
      <c r="N19" s="18" t="str">
        <f t="shared" si="0"/>
        <v>October</v>
      </c>
      <c r="O19" s="18">
        <f t="shared" si="1"/>
        <v>2019</v>
      </c>
      <c r="P19" s="11" t="str">
        <f>TEXT(orders!$B19, "DDD")</f>
        <v>Sat</v>
      </c>
      <c r="Q19" s="11" t="str">
        <f>VLOOKUP(orders!C19,[1]customers!$A$1:$I$1001, 6,FALSE)</f>
        <v>Houston</v>
      </c>
    </row>
    <row r="20" spans="1:17" x14ac:dyDescent="0.3">
      <c r="A20" s="7" t="s">
        <v>64</v>
      </c>
      <c r="B20" s="8">
        <v>43629</v>
      </c>
      <c r="C20" s="9" t="s">
        <v>65</v>
      </c>
      <c r="D20" s="10" t="s">
        <v>52</v>
      </c>
      <c r="E20" s="9">
        <v>4</v>
      </c>
      <c r="F20" s="9" t="str">
        <f>VLOOKUP(C20,[1]customers!$A$1:$I$1001, 2, FALSE)</f>
        <v>Pall Redford</v>
      </c>
      <c r="G20" s="9" t="str">
        <f>VLOOKUP(orders!C20,[1]customers!$A$1:$I$1001, 3, FALSE)</f>
        <v>predfordi@ow.ly</v>
      </c>
      <c r="H20" s="9" t="str">
        <f>VLOOKUP(C20, [1]customers!$A$1:$I$1001, 7, FALSE)</f>
        <v>Ireland</v>
      </c>
      <c r="I20" s="11" t="str">
        <f>VLOOKUP(orders!D20,[1]products!$A$1:$G$49, 2,FALSE)</f>
        <v>Rob</v>
      </c>
      <c r="J20" s="11" t="str">
        <f>VLOOKUP(orders!D20,[1]products!$A$1:$G$49, 3,FALSE)</f>
        <v>D</v>
      </c>
      <c r="K20" s="12">
        <f>VLOOKUP(orders!D20,[1]products!$A$1:$G$49, 4,FALSE)</f>
        <v>2.5</v>
      </c>
      <c r="L20" s="12">
        <f>VLOOKUP(orders!D20,[1]products!$A$1:$G$49, 5,FALSE)</f>
        <v>20.584999999999997</v>
      </c>
      <c r="M20" s="13">
        <f>PRODUCT(orders!$E20,orders!$L20)</f>
        <v>82.339999999999989</v>
      </c>
      <c r="N20" s="11" t="str">
        <f t="shared" si="0"/>
        <v>June</v>
      </c>
      <c r="O20" s="11">
        <f t="shared" si="1"/>
        <v>2019</v>
      </c>
      <c r="P20" s="11" t="str">
        <f>TEXT(orders!$B20, "DDD")</f>
        <v>Thu</v>
      </c>
      <c r="Q20" s="11" t="str">
        <f>VLOOKUP(orders!C20,[1]customers!$A$1:$I$1001, 6,FALSE)</f>
        <v>Caherconlish</v>
      </c>
    </row>
    <row r="21" spans="1:17" x14ac:dyDescent="0.3">
      <c r="A21" s="14" t="s">
        <v>66</v>
      </c>
      <c r="B21" s="15">
        <v>44169</v>
      </c>
      <c r="C21" s="16" t="s">
        <v>67</v>
      </c>
      <c r="D21" s="17" t="s">
        <v>61</v>
      </c>
      <c r="E21" s="16">
        <v>5</v>
      </c>
      <c r="F21" s="9" t="str">
        <f>VLOOKUP(C21,[1]customers!$A$1:$I$1001, 2, FALSE)</f>
        <v>Aurea Corradino</v>
      </c>
      <c r="G21" s="16" t="str">
        <f>VLOOKUP(orders!C21,[1]customers!$A$1:$I$1001, 3, FALSE)</f>
        <v>acorradinoj@harvard.edu</v>
      </c>
      <c r="H21" s="16" t="str">
        <f>VLOOKUP(C21, [1]customers!$A$1:$I$1001, 7, FALSE)</f>
        <v>United States</v>
      </c>
      <c r="I21" s="18" t="str">
        <f>VLOOKUP(orders!D21,[1]products!$A$1:$G$49, 2,FALSE)</f>
        <v>Ara</v>
      </c>
      <c r="J21" s="18" t="str">
        <f>VLOOKUP(orders!D21,[1]products!$A$1:$G$49, 3,FALSE)</f>
        <v>M</v>
      </c>
      <c r="K21" s="19">
        <f>VLOOKUP(orders!D21,[1]products!$A$1:$G$49, 4,FALSE)</f>
        <v>0.2</v>
      </c>
      <c r="L21" s="19">
        <f>VLOOKUP(orders!D21,[1]products!$A$1:$G$49, 5,FALSE)</f>
        <v>3.375</v>
      </c>
      <c r="M21" s="13">
        <f>PRODUCT(orders!$E21,orders!$L21)</f>
        <v>16.875</v>
      </c>
      <c r="N21" s="18" t="str">
        <f t="shared" si="0"/>
        <v>December</v>
      </c>
      <c r="O21" s="18">
        <f t="shared" si="1"/>
        <v>2020</v>
      </c>
      <c r="P21" s="11" t="str">
        <f>TEXT(orders!$B21, "DDD")</f>
        <v>Fri</v>
      </c>
      <c r="Q21" s="11" t="str">
        <f>VLOOKUP(orders!C21,[1]customers!$A$1:$I$1001, 6,FALSE)</f>
        <v>New York City</v>
      </c>
    </row>
    <row r="22" spans="1:17" x14ac:dyDescent="0.3">
      <c r="A22" s="7" t="s">
        <v>66</v>
      </c>
      <c r="B22" s="8">
        <v>44169</v>
      </c>
      <c r="C22" s="9" t="s">
        <v>67</v>
      </c>
      <c r="D22" s="10" t="s">
        <v>68</v>
      </c>
      <c r="E22" s="9">
        <v>4</v>
      </c>
      <c r="F22" s="9" t="str">
        <f>VLOOKUP(C22,[1]customers!$A$1:$I$1001, 2, FALSE)</f>
        <v>Aurea Corradino</v>
      </c>
      <c r="G22" s="9" t="str">
        <f>VLOOKUP(orders!C22,[1]customers!$A$1:$I$1001, 3, FALSE)</f>
        <v>acorradinoj@harvard.edu</v>
      </c>
      <c r="H22" s="9" t="str">
        <f>VLOOKUP(C22, [1]customers!$A$1:$I$1001, 7, FALSE)</f>
        <v>United States</v>
      </c>
      <c r="I22" s="11" t="str">
        <f>VLOOKUP(orders!D22,[1]products!$A$1:$G$49, 2,FALSE)</f>
        <v>Exc</v>
      </c>
      <c r="J22" s="11" t="str">
        <f>VLOOKUP(orders!D22,[1]products!$A$1:$G$49, 3,FALSE)</f>
        <v>D</v>
      </c>
      <c r="K22" s="12">
        <f>VLOOKUP(orders!D22,[1]products!$A$1:$G$49, 4,FALSE)</f>
        <v>0.2</v>
      </c>
      <c r="L22" s="12">
        <f>VLOOKUP(orders!D22,[1]products!$A$1:$G$49, 5,FALSE)</f>
        <v>3.645</v>
      </c>
      <c r="M22" s="13">
        <f>PRODUCT(orders!$E22,orders!$L22)</f>
        <v>14.58</v>
      </c>
      <c r="N22" s="11" t="str">
        <f t="shared" si="0"/>
        <v>December</v>
      </c>
      <c r="O22" s="11">
        <f t="shared" si="1"/>
        <v>2020</v>
      </c>
      <c r="P22" s="11" t="str">
        <f>TEXT(orders!$B22, "DDD")</f>
        <v>Fri</v>
      </c>
      <c r="Q22" s="11" t="str">
        <f>VLOOKUP(orders!C22,[1]customers!$A$1:$I$1001, 6,FALSE)</f>
        <v>New York City</v>
      </c>
    </row>
    <row r="23" spans="1:17" x14ac:dyDescent="0.3">
      <c r="A23" s="14" t="s">
        <v>69</v>
      </c>
      <c r="B23" s="15">
        <v>44169</v>
      </c>
      <c r="C23" s="16" t="s">
        <v>70</v>
      </c>
      <c r="D23" s="17" t="s">
        <v>71</v>
      </c>
      <c r="E23" s="16">
        <v>6</v>
      </c>
      <c r="F23" s="9" t="str">
        <f>VLOOKUP(C23,[1]customers!$A$1:$I$1001, 2, FALSE)</f>
        <v>Avrit Davidowsky</v>
      </c>
      <c r="G23" s="16" t="str">
        <f>VLOOKUP(orders!C23,[1]customers!$A$1:$I$1001, 3, FALSE)</f>
        <v>adavidowskyl@netvibes.com</v>
      </c>
      <c r="H23" s="16" t="str">
        <f>VLOOKUP(C23, [1]customers!$A$1:$I$1001, 7, FALSE)</f>
        <v>United States</v>
      </c>
      <c r="I23" s="18" t="str">
        <f>VLOOKUP(orders!D23,[1]products!$A$1:$G$49, 2,FALSE)</f>
        <v>Ara</v>
      </c>
      <c r="J23" s="18" t="str">
        <f>VLOOKUP(orders!D23,[1]products!$A$1:$G$49, 3,FALSE)</f>
        <v>D</v>
      </c>
      <c r="K23" s="19">
        <f>VLOOKUP(orders!D23,[1]products!$A$1:$G$49, 4,FALSE)</f>
        <v>0.2</v>
      </c>
      <c r="L23" s="19">
        <f>VLOOKUP(orders!D23,[1]products!$A$1:$G$49, 5,FALSE)</f>
        <v>2.9849999999999999</v>
      </c>
      <c r="M23" s="13">
        <f>PRODUCT(orders!$E23,orders!$L23)</f>
        <v>17.91</v>
      </c>
      <c r="N23" s="18" t="str">
        <f t="shared" si="0"/>
        <v>December</v>
      </c>
      <c r="O23" s="18">
        <f t="shared" si="1"/>
        <v>2020</v>
      </c>
      <c r="P23" s="11" t="str">
        <f>TEXT(orders!$B23, "DDD")</f>
        <v>Fri</v>
      </c>
      <c r="Q23" s="11" t="str">
        <f>VLOOKUP(orders!C23,[1]customers!$A$1:$I$1001, 6,FALSE)</f>
        <v>Grand Rapids</v>
      </c>
    </row>
    <row r="24" spans="1:17" x14ac:dyDescent="0.3">
      <c r="A24" s="7" t="s">
        <v>72</v>
      </c>
      <c r="B24" s="8">
        <v>44218</v>
      </c>
      <c r="C24" s="9" t="s">
        <v>73</v>
      </c>
      <c r="D24" s="10" t="s">
        <v>58</v>
      </c>
      <c r="E24" s="9">
        <v>4</v>
      </c>
      <c r="F24" s="9" t="str">
        <f>VLOOKUP(C24,[1]customers!$A$1:$I$1001, 2, FALSE)</f>
        <v>Annabel Antuk</v>
      </c>
      <c r="G24" s="9" t="str">
        <f>VLOOKUP(orders!C24,[1]customers!$A$1:$I$1001, 3, FALSE)</f>
        <v>aantukm@kickstarter.com</v>
      </c>
      <c r="H24" s="9" t="str">
        <f>VLOOKUP(C24, [1]customers!$A$1:$I$1001, 7, FALSE)</f>
        <v>United States</v>
      </c>
      <c r="I24" s="11" t="str">
        <f>VLOOKUP(orders!D24,[1]products!$A$1:$G$49, 2,FALSE)</f>
        <v>Rob</v>
      </c>
      <c r="J24" s="11" t="str">
        <f>VLOOKUP(orders!D24,[1]products!$A$1:$G$49, 3,FALSE)</f>
        <v>M</v>
      </c>
      <c r="K24" s="12">
        <f>VLOOKUP(orders!D24,[1]products!$A$1:$G$49, 4,FALSE)</f>
        <v>2.5</v>
      </c>
      <c r="L24" s="12">
        <f>VLOOKUP(orders!D24,[1]products!$A$1:$G$49, 5,FALSE)</f>
        <v>22.884999999999998</v>
      </c>
      <c r="M24" s="13">
        <f>PRODUCT(orders!$E24,orders!$L24)</f>
        <v>91.539999999999992</v>
      </c>
      <c r="N24" s="11" t="str">
        <f t="shared" si="0"/>
        <v>January</v>
      </c>
      <c r="O24" s="11">
        <f t="shared" si="1"/>
        <v>2021</v>
      </c>
      <c r="P24" s="11" t="str">
        <f>TEXT(orders!$B24, "DDD")</f>
        <v>Fri</v>
      </c>
      <c r="Q24" s="11" t="str">
        <f>VLOOKUP(orders!C24,[1]customers!$A$1:$I$1001, 6,FALSE)</f>
        <v>Punta Gorda</v>
      </c>
    </row>
    <row r="25" spans="1:17" x14ac:dyDescent="0.3">
      <c r="A25" s="14" t="s">
        <v>74</v>
      </c>
      <c r="B25" s="15">
        <v>44603</v>
      </c>
      <c r="C25" s="16" t="s">
        <v>75</v>
      </c>
      <c r="D25" s="17" t="s">
        <v>71</v>
      </c>
      <c r="E25" s="16">
        <v>4</v>
      </c>
      <c r="F25" s="9" t="str">
        <f>VLOOKUP(C25,[1]customers!$A$1:$I$1001, 2, FALSE)</f>
        <v>Iorgo Kleinert</v>
      </c>
      <c r="G25" s="16" t="str">
        <f>VLOOKUP(orders!C25,[1]customers!$A$1:$I$1001, 3, FALSE)</f>
        <v>ikleinertn@timesonline.co.uk</v>
      </c>
      <c r="H25" s="16" t="str">
        <f>VLOOKUP(C25, [1]customers!$A$1:$I$1001, 7, FALSE)</f>
        <v>United States</v>
      </c>
      <c r="I25" s="18" t="str">
        <f>VLOOKUP(orders!D25,[1]products!$A$1:$G$49, 2,FALSE)</f>
        <v>Ara</v>
      </c>
      <c r="J25" s="18" t="str">
        <f>VLOOKUP(orders!D25,[1]products!$A$1:$G$49, 3,FALSE)</f>
        <v>D</v>
      </c>
      <c r="K25" s="19">
        <f>VLOOKUP(orders!D25,[1]products!$A$1:$G$49, 4,FALSE)</f>
        <v>0.2</v>
      </c>
      <c r="L25" s="19">
        <f>VLOOKUP(orders!D25,[1]products!$A$1:$G$49, 5,FALSE)</f>
        <v>2.9849999999999999</v>
      </c>
      <c r="M25" s="13">
        <f>PRODUCT(orders!$E25,orders!$L25)</f>
        <v>11.94</v>
      </c>
      <c r="N25" s="18" t="str">
        <f t="shared" si="0"/>
        <v>February</v>
      </c>
      <c r="O25" s="18">
        <f t="shared" si="1"/>
        <v>2022</v>
      </c>
      <c r="P25" s="11" t="str">
        <f>TEXT(orders!$B25, "DDD")</f>
        <v>Fri</v>
      </c>
      <c r="Q25" s="11" t="str">
        <f>VLOOKUP(orders!C25,[1]customers!$A$1:$I$1001, 6,FALSE)</f>
        <v>Vancouver</v>
      </c>
    </row>
    <row r="26" spans="1:17" x14ac:dyDescent="0.3">
      <c r="A26" s="7" t="s">
        <v>76</v>
      </c>
      <c r="B26" s="8">
        <v>44454</v>
      </c>
      <c r="C26" s="9" t="s">
        <v>77</v>
      </c>
      <c r="D26" s="10" t="s">
        <v>78</v>
      </c>
      <c r="E26" s="9">
        <v>1</v>
      </c>
      <c r="F26" s="9" t="str">
        <f>VLOOKUP(C26,[1]customers!$A$1:$I$1001, 2, FALSE)</f>
        <v>Chrisy Blofeld</v>
      </c>
      <c r="G26" s="9" t="str">
        <f>VLOOKUP(orders!C26,[1]customers!$A$1:$I$1001, 3, FALSE)</f>
        <v>cblofeldo@amazon.co.uk</v>
      </c>
      <c r="H26" s="9" t="str">
        <f>VLOOKUP(C26, [1]customers!$A$1:$I$1001, 7, FALSE)</f>
        <v>United States</v>
      </c>
      <c r="I26" s="11" t="str">
        <f>VLOOKUP(orders!D26,[1]products!$A$1:$G$49, 2,FALSE)</f>
        <v>Ara</v>
      </c>
      <c r="J26" s="11" t="str">
        <f>VLOOKUP(orders!D26,[1]products!$A$1:$G$49, 3,FALSE)</f>
        <v>M</v>
      </c>
      <c r="K26" s="12">
        <f>VLOOKUP(orders!D26,[1]products!$A$1:$G$49, 4,FALSE)</f>
        <v>1</v>
      </c>
      <c r="L26" s="12">
        <f>VLOOKUP(orders!D26,[1]products!$A$1:$G$49, 5,FALSE)</f>
        <v>11.25</v>
      </c>
      <c r="M26" s="13">
        <f>PRODUCT(orders!$E26,orders!$L26)</f>
        <v>11.25</v>
      </c>
      <c r="N26" s="11" t="str">
        <f t="shared" si="0"/>
        <v>September</v>
      </c>
      <c r="O26" s="11">
        <f t="shared" si="1"/>
        <v>2021</v>
      </c>
      <c r="P26" s="11" t="str">
        <f>TEXT(orders!$B26, "DDD")</f>
        <v>Wed</v>
      </c>
      <c r="Q26" s="11" t="str">
        <f>VLOOKUP(orders!C26,[1]customers!$A$1:$I$1001, 6,FALSE)</f>
        <v>Englewood</v>
      </c>
    </row>
    <row r="27" spans="1:17" x14ac:dyDescent="0.3">
      <c r="A27" s="14" t="s">
        <v>79</v>
      </c>
      <c r="B27" s="15">
        <v>44128</v>
      </c>
      <c r="C27" s="16" t="s">
        <v>80</v>
      </c>
      <c r="D27" s="17" t="s">
        <v>81</v>
      </c>
      <c r="E27" s="16">
        <v>3</v>
      </c>
      <c r="F27" s="9" t="str">
        <f>VLOOKUP(C27,[1]customers!$A$1:$I$1001, 2, FALSE)</f>
        <v>Culley Farris</v>
      </c>
      <c r="G27" s="16">
        <f>VLOOKUP(orders!C27,[1]customers!$A$1:$I$1001, 3, FALSE)</f>
        <v>0</v>
      </c>
      <c r="H27" s="16" t="str">
        <f>VLOOKUP(C27, [1]customers!$A$1:$I$1001, 7, FALSE)</f>
        <v>United States</v>
      </c>
      <c r="I27" s="18" t="str">
        <f>VLOOKUP(orders!D27,[1]products!$A$1:$G$49, 2,FALSE)</f>
        <v>Exc</v>
      </c>
      <c r="J27" s="18" t="str">
        <f>VLOOKUP(orders!D27,[1]products!$A$1:$G$49, 3,FALSE)</f>
        <v>M</v>
      </c>
      <c r="K27" s="19">
        <f>VLOOKUP(orders!D27,[1]products!$A$1:$G$49, 4,FALSE)</f>
        <v>0.2</v>
      </c>
      <c r="L27" s="19">
        <f>VLOOKUP(orders!D27,[1]products!$A$1:$G$49, 5,FALSE)</f>
        <v>4.125</v>
      </c>
      <c r="M27" s="13">
        <f>PRODUCT(orders!$E27,orders!$L27)</f>
        <v>12.375</v>
      </c>
      <c r="N27" s="18" t="str">
        <f t="shared" si="0"/>
        <v>October</v>
      </c>
      <c r="O27" s="18">
        <f t="shared" si="1"/>
        <v>2020</v>
      </c>
      <c r="P27" s="11" t="str">
        <f>TEXT(orders!$B27, "DDD")</f>
        <v>Sat</v>
      </c>
      <c r="Q27" s="11" t="str">
        <f>VLOOKUP(orders!C27,[1]customers!$A$1:$I$1001, 6,FALSE)</f>
        <v>Punta Gorda</v>
      </c>
    </row>
    <row r="28" spans="1:17" x14ac:dyDescent="0.3">
      <c r="A28" s="7" t="s">
        <v>82</v>
      </c>
      <c r="B28" s="8">
        <v>43516</v>
      </c>
      <c r="C28" s="9" t="s">
        <v>83</v>
      </c>
      <c r="D28" s="10" t="s">
        <v>84</v>
      </c>
      <c r="E28" s="9">
        <v>4</v>
      </c>
      <c r="F28" s="9" t="str">
        <f>VLOOKUP(C28,[1]customers!$A$1:$I$1001, 2, FALSE)</f>
        <v>Selene Shales</v>
      </c>
      <c r="G28" s="9" t="str">
        <f>VLOOKUP(orders!C28,[1]customers!$A$1:$I$1001, 3, FALSE)</f>
        <v>sshalesq@umich.edu</v>
      </c>
      <c r="H28" s="9" t="str">
        <f>VLOOKUP(C28, [1]customers!$A$1:$I$1001, 7, FALSE)</f>
        <v>United States</v>
      </c>
      <c r="I28" s="11" t="str">
        <f>VLOOKUP(orders!D28,[1]products!$A$1:$G$49, 2,FALSE)</f>
        <v>Ara</v>
      </c>
      <c r="J28" s="11" t="str">
        <f>VLOOKUP(orders!D28,[1]products!$A$1:$G$49, 3,FALSE)</f>
        <v>M</v>
      </c>
      <c r="K28" s="12">
        <f>VLOOKUP(orders!D28,[1]products!$A$1:$G$49, 4,FALSE)</f>
        <v>0.5</v>
      </c>
      <c r="L28" s="12">
        <f>VLOOKUP(orders!D28,[1]products!$A$1:$G$49, 5,FALSE)</f>
        <v>6.75</v>
      </c>
      <c r="M28" s="13">
        <f>PRODUCT(orders!$E28,orders!$L28)</f>
        <v>27</v>
      </c>
      <c r="N28" s="11" t="str">
        <f t="shared" si="0"/>
        <v>February</v>
      </c>
      <c r="O28" s="11">
        <f t="shared" si="1"/>
        <v>2019</v>
      </c>
      <c r="P28" s="11" t="str">
        <f>TEXT(orders!$B28, "DDD")</f>
        <v>Wed</v>
      </c>
      <c r="Q28" s="11" t="str">
        <f>VLOOKUP(orders!C28,[1]customers!$A$1:$I$1001, 6,FALSE)</f>
        <v>Petaluma</v>
      </c>
    </row>
    <row r="29" spans="1:17" x14ac:dyDescent="0.3">
      <c r="A29" s="14" t="s">
        <v>85</v>
      </c>
      <c r="B29" s="15">
        <v>43746</v>
      </c>
      <c r="C29" s="16" t="s">
        <v>86</v>
      </c>
      <c r="D29" s="17" t="s">
        <v>61</v>
      </c>
      <c r="E29" s="16">
        <v>5</v>
      </c>
      <c r="F29" s="9" t="str">
        <f>VLOOKUP(C29,[1]customers!$A$1:$I$1001, 2, FALSE)</f>
        <v>Vivie Danneil</v>
      </c>
      <c r="G29" s="16" t="str">
        <f>VLOOKUP(orders!C29,[1]customers!$A$1:$I$1001, 3, FALSE)</f>
        <v>vdanneilr@mtv.com</v>
      </c>
      <c r="H29" s="16" t="str">
        <f>VLOOKUP(C29, [1]customers!$A$1:$I$1001, 7, FALSE)</f>
        <v>Ireland</v>
      </c>
      <c r="I29" s="18" t="str">
        <f>VLOOKUP(orders!D29,[1]products!$A$1:$G$49, 2,FALSE)</f>
        <v>Ara</v>
      </c>
      <c r="J29" s="18" t="str">
        <f>VLOOKUP(orders!D29,[1]products!$A$1:$G$49, 3,FALSE)</f>
        <v>M</v>
      </c>
      <c r="K29" s="19">
        <f>VLOOKUP(orders!D29,[1]products!$A$1:$G$49, 4,FALSE)</f>
        <v>0.2</v>
      </c>
      <c r="L29" s="19">
        <f>VLOOKUP(orders!D29,[1]products!$A$1:$G$49, 5,FALSE)</f>
        <v>3.375</v>
      </c>
      <c r="M29" s="13">
        <f>PRODUCT(orders!$E29,orders!$L29)</f>
        <v>16.875</v>
      </c>
      <c r="N29" s="18" t="str">
        <f t="shared" si="0"/>
        <v>October</v>
      </c>
      <c r="O29" s="18">
        <f t="shared" si="1"/>
        <v>2019</v>
      </c>
      <c r="P29" s="11" t="str">
        <f>TEXT(orders!$B29, "DDD")</f>
        <v>Tue</v>
      </c>
      <c r="Q29" s="11" t="str">
        <f>VLOOKUP(orders!C29,[1]customers!$A$1:$I$1001, 6,FALSE)</f>
        <v>Tralee</v>
      </c>
    </row>
    <row r="30" spans="1:17" x14ac:dyDescent="0.3">
      <c r="A30" s="7" t="s">
        <v>87</v>
      </c>
      <c r="B30" s="8">
        <v>44775</v>
      </c>
      <c r="C30" s="9" t="s">
        <v>88</v>
      </c>
      <c r="D30" s="10" t="s">
        <v>89</v>
      </c>
      <c r="E30" s="9">
        <v>3</v>
      </c>
      <c r="F30" s="9" t="str">
        <f>VLOOKUP(C30,[1]customers!$A$1:$I$1001, 2, FALSE)</f>
        <v>Theresita Newbury</v>
      </c>
      <c r="G30" s="9" t="str">
        <f>VLOOKUP(orders!C30,[1]customers!$A$1:$I$1001, 3, FALSE)</f>
        <v>tnewburys@usda.gov</v>
      </c>
      <c r="H30" s="9" t="str">
        <f>VLOOKUP(C30, [1]customers!$A$1:$I$1001, 7, FALSE)</f>
        <v>Ireland</v>
      </c>
      <c r="I30" s="11" t="str">
        <f>VLOOKUP(orders!D30,[1]products!$A$1:$G$49, 2,FALSE)</f>
        <v>Ara</v>
      </c>
      <c r="J30" s="11" t="str">
        <f>VLOOKUP(orders!D30,[1]products!$A$1:$G$49, 3,FALSE)</f>
        <v>D</v>
      </c>
      <c r="K30" s="12">
        <f>VLOOKUP(orders!D30,[1]products!$A$1:$G$49, 4,FALSE)</f>
        <v>0.5</v>
      </c>
      <c r="L30" s="12">
        <f>VLOOKUP(orders!D30,[1]products!$A$1:$G$49, 5,FALSE)</f>
        <v>5.97</v>
      </c>
      <c r="M30" s="13">
        <f>PRODUCT(orders!$E30,orders!$L30)</f>
        <v>17.91</v>
      </c>
      <c r="N30" s="11" t="str">
        <f t="shared" si="0"/>
        <v>August</v>
      </c>
      <c r="O30" s="11">
        <f t="shared" si="1"/>
        <v>2022</v>
      </c>
      <c r="P30" s="11" t="str">
        <f>TEXT(orders!$B30, "DDD")</f>
        <v>Tue</v>
      </c>
      <c r="Q30" s="11" t="str">
        <f>VLOOKUP(orders!C30,[1]customers!$A$1:$I$1001, 6,FALSE)</f>
        <v>Clonskeagh</v>
      </c>
    </row>
    <row r="31" spans="1:17" x14ac:dyDescent="0.3">
      <c r="A31" s="14" t="s">
        <v>90</v>
      </c>
      <c r="B31" s="15">
        <v>43516</v>
      </c>
      <c r="C31" s="16" t="s">
        <v>91</v>
      </c>
      <c r="D31" s="17" t="s">
        <v>44</v>
      </c>
      <c r="E31" s="16">
        <v>4</v>
      </c>
      <c r="F31" s="9" t="str">
        <f>VLOOKUP(C31,[1]customers!$A$1:$I$1001, 2, FALSE)</f>
        <v>Mozelle Calcutt</v>
      </c>
      <c r="G31" s="16" t="str">
        <f>VLOOKUP(orders!C31,[1]customers!$A$1:$I$1001, 3, FALSE)</f>
        <v>mcalcuttt@baidu.com</v>
      </c>
      <c r="H31" s="16" t="str">
        <f>VLOOKUP(C31, [1]customers!$A$1:$I$1001, 7, FALSE)</f>
        <v>Ireland</v>
      </c>
      <c r="I31" s="18" t="str">
        <f>VLOOKUP(orders!D31,[1]products!$A$1:$G$49, 2,FALSE)</f>
        <v>Ara</v>
      </c>
      <c r="J31" s="18" t="str">
        <f>VLOOKUP(orders!D31,[1]products!$A$1:$G$49, 3,FALSE)</f>
        <v>D</v>
      </c>
      <c r="K31" s="19">
        <f>VLOOKUP(orders!D31,[1]products!$A$1:$G$49, 4,FALSE)</f>
        <v>1</v>
      </c>
      <c r="L31" s="19">
        <f>VLOOKUP(orders!D31,[1]products!$A$1:$G$49, 5,FALSE)</f>
        <v>9.9499999999999993</v>
      </c>
      <c r="M31" s="13">
        <f>PRODUCT(orders!$E31,orders!$L31)</f>
        <v>39.799999999999997</v>
      </c>
      <c r="N31" s="18" t="str">
        <f t="shared" si="0"/>
        <v>February</v>
      </c>
      <c r="O31" s="18">
        <f t="shared" si="1"/>
        <v>2019</v>
      </c>
      <c r="P31" s="11" t="str">
        <f>TEXT(orders!$B31, "DDD")</f>
        <v>Wed</v>
      </c>
      <c r="Q31" s="11" t="str">
        <f>VLOOKUP(orders!C31,[1]customers!$A$1:$I$1001, 6,FALSE)</f>
        <v>Rathwire</v>
      </c>
    </row>
    <row r="32" spans="1:17" x14ac:dyDescent="0.3">
      <c r="A32" s="7" t="s">
        <v>92</v>
      </c>
      <c r="B32" s="8">
        <v>44464</v>
      </c>
      <c r="C32" s="9" t="s">
        <v>93</v>
      </c>
      <c r="D32" s="10" t="s">
        <v>94</v>
      </c>
      <c r="E32" s="9">
        <v>5</v>
      </c>
      <c r="F32" s="9" t="str">
        <f>VLOOKUP(C32,[1]customers!$A$1:$I$1001, 2, FALSE)</f>
        <v>Adrian Swaine</v>
      </c>
      <c r="G32" s="9">
        <f>VLOOKUP(orders!C32,[1]customers!$A$1:$I$1001, 3, FALSE)</f>
        <v>0</v>
      </c>
      <c r="H32" s="9" t="str">
        <f>VLOOKUP(C32, [1]customers!$A$1:$I$1001, 7, FALSE)</f>
        <v>United States</v>
      </c>
      <c r="I32" s="11" t="str">
        <f>VLOOKUP(orders!D32,[1]products!$A$1:$G$49, 2,FALSE)</f>
        <v>Lib</v>
      </c>
      <c r="J32" s="11" t="str">
        <f>VLOOKUP(orders!D32,[1]products!$A$1:$G$49, 3,FALSE)</f>
        <v>M</v>
      </c>
      <c r="K32" s="12">
        <f>VLOOKUP(orders!D32,[1]products!$A$1:$G$49, 4,FALSE)</f>
        <v>0.2</v>
      </c>
      <c r="L32" s="12">
        <f>VLOOKUP(orders!D32,[1]products!$A$1:$G$49, 5,FALSE)</f>
        <v>4.3650000000000002</v>
      </c>
      <c r="M32" s="13">
        <f>PRODUCT(orders!$E32,orders!$L32)</f>
        <v>21.825000000000003</v>
      </c>
      <c r="N32" s="11" t="str">
        <f t="shared" si="0"/>
        <v>September</v>
      </c>
      <c r="O32" s="11">
        <f t="shared" si="1"/>
        <v>2021</v>
      </c>
      <c r="P32" s="11" t="str">
        <f>TEXT(orders!$B32, "DDD")</f>
        <v>Sat</v>
      </c>
      <c r="Q32" s="11" t="str">
        <f>VLOOKUP(orders!C32,[1]customers!$A$1:$I$1001, 6,FALSE)</f>
        <v>Aurora</v>
      </c>
    </row>
    <row r="33" spans="1:17" x14ac:dyDescent="0.3">
      <c r="A33" s="14" t="s">
        <v>92</v>
      </c>
      <c r="B33" s="15">
        <v>44464</v>
      </c>
      <c r="C33" s="16" t="s">
        <v>93</v>
      </c>
      <c r="D33" s="17" t="s">
        <v>89</v>
      </c>
      <c r="E33" s="16">
        <v>6</v>
      </c>
      <c r="F33" s="9" t="str">
        <f>VLOOKUP(C33,[1]customers!$A$1:$I$1001, 2, FALSE)</f>
        <v>Adrian Swaine</v>
      </c>
      <c r="G33" s="16">
        <f>VLOOKUP(orders!C33,[1]customers!$A$1:$I$1001, 3, FALSE)</f>
        <v>0</v>
      </c>
      <c r="H33" s="16" t="str">
        <f>VLOOKUP(C33, [1]customers!$A$1:$I$1001, 7, FALSE)</f>
        <v>United States</v>
      </c>
      <c r="I33" s="18" t="str">
        <f>VLOOKUP(orders!D33,[1]products!$A$1:$G$49, 2,FALSE)</f>
        <v>Ara</v>
      </c>
      <c r="J33" s="18" t="str">
        <f>VLOOKUP(orders!D33,[1]products!$A$1:$G$49, 3,FALSE)</f>
        <v>D</v>
      </c>
      <c r="K33" s="19">
        <f>VLOOKUP(orders!D33,[1]products!$A$1:$G$49, 4,FALSE)</f>
        <v>0.5</v>
      </c>
      <c r="L33" s="19">
        <f>VLOOKUP(orders!D33,[1]products!$A$1:$G$49, 5,FALSE)</f>
        <v>5.97</v>
      </c>
      <c r="M33" s="13">
        <f>PRODUCT(orders!$E33,orders!$L33)</f>
        <v>35.82</v>
      </c>
      <c r="N33" s="18" t="str">
        <f t="shared" si="0"/>
        <v>September</v>
      </c>
      <c r="O33" s="18">
        <f t="shared" si="1"/>
        <v>2021</v>
      </c>
      <c r="P33" s="11" t="str">
        <f>TEXT(orders!$B33, "DDD")</f>
        <v>Sat</v>
      </c>
      <c r="Q33" s="11" t="str">
        <f>VLOOKUP(orders!C33,[1]customers!$A$1:$I$1001, 6,FALSE)</f>
        <v>Aurora</v>
      </c>
    </row>
    <row r="34" spans="1:17" x14ac:dyDescent="0.3">
      <c r="A34" s="7" t="s">
        <v>92</v>
      </c>
      <c r="B34" s="8">
        <v>44464</v>
      </c>
      <c r="C34" s="9" t="s">
        <v>93</v>
      </c>
      <c r="D34" s="10" t="s">
        <v>95</v>
      </c>
      <c r="E34" s="9">
        <v>6</v>
      </c>
      <c r="F34" s="9" t="str">
        <f>VLOOKUP(C34,[1]customers!$A$1:$I$1001, 2, FALSE)</f>
        <v>Adrian Swaine</v>
      </c>
      <c r="G34" s="9">
        <f>VLOOKUP(orders!C34,[1]customers!$A$1:$I$1001, 3, FALSE)</f>
        <v>0</v>
      </c>
      <c r="H34" s="9" t="str">
        <f>VLOOKUP(C34, [1]customers!$A$1:$I$1001, 7, FALSE)</f>
        <v>United States</v>
      </c>
      <c r="I34" s="11" t="str">
        <f>VLOOKUP(orders!D34,[1]products!$A$1:$G$49, 2,FALSE)</f>
        <v>Lib</v>
      </c>
      <c r="J34" s="11" t="str">
        <f>VLOOKUP(orders!D34,[1]products!$A$1:$G$49, 3,FALSE)</f>
        <v>M</v>
      </c>
      <c r="K34" s="12">
        <f>VLOOKUP(orders!D34,[1]products!$A$1:$G$49, 4,FALSE)</f>
        <v>0.5</v>
      </c>
      <c r="L34" s="12">
        <f>VLOOKUP(orders!D34,[1]products!$A$1:$G$49, 5,FALSE)</f>
        <v>8.73</v>
      </c>
      <c r="M34" s="13">
        <f>PRODUCT(orders!$E34,orders!$L34)</f>
        <v>52.38</v>
      </c>
      <c r="N34" s="11" t="str">
        <f t="shared" si="0"/>
        <v>September</v>
      </c>
      <c r="O34" s="11">
        <f t="shared" si="1"/>
        <v>2021</v>
      </c>
      <c r="P34" s="11" t="str">
        <f>TEXT(orders!$B34, "DDD")</f>
        <v>Sat</v>
      </c>
      <c r="Q34" s="11" t="str">
        <f>VLOOKUP(orders!C34,[1]customers!$A$1:$I$1001, 6,FALSE)</f>
        <v>Aurora</v>
      </c>
    </row>
    <row r="35" spans="1:17" x14ac:dyDescent="0.3">
      <c r="A35" s="14" t="s">
        <v>96</v>
      </c>
      <c r="B35" s="15">
        <v>44394</v>
      </c>
      <c r="C35" s="16" t="s">
        <v>97</v>
      </c>
      <c r="D35" s="17" t="s">
        <v>36</v>
      </c>
      <c r="E35" s="16">
        <v>5</v>
      </c>
      <c r="F35" s="9" t="str">
        <f>VLOOKUP(C35,[1]customers!$A$1:$I$1001, 2, FALSE)</f>
        <v>Gallard Gatheral</v>
      </c>
      <c r="G35" s="16" t="str">
        <f>VLOOKUP(orders!C35,[1]customers!$A$1:$I$1001, 3, FALSE)</f>
        <v>ggatheralx@123-reg.co.uk</v>
      </c>
      <c r="H35" s="16" t="str">
        <f>VLOOKUP(C35, [1]customers!$A$1:$I$1001, 7, FALSE)</f>
        <v>United States</v>
      </c>
      <c r="I35" s="18" t="str">
        <f>VLOOKUP(orders!D35,[1]products!$A$1:$G$49, 2,FALSE)</f>
        <v>Lib</v>
      </c>
      <c r="J35" s="18" t="str">
        <f>VLOOKUP(orders!D35,[1]products!$A$1:$G$49, 3,FALSE)</f>
        <v>L</v>
      </c>
      <c r="K35" s="19">
        <f>VLOOKUP(orders!D35,[1]products!$A$1:$G$49, 4,FALSE)</f>
        <v>0.2</v>
      </c>
      <c r="L35" s="19">
        <f>VLOOKUP(orders!D35,[1]products!$A$1:$G$49, 5,FALSE)</f>
        <v>4.7549999999999999</v>
      </c>
      <c r="M35" s="13">
        <f>PRODUCT(orders!$E35,orders!$L35)</f>
        <v>23.774999999999999</v>
      </c>
      <c r="N35" s="18" t="str">
        <f t="shared" si="0"/>
        <v>July</v>
      </c>
      <c r="O35" s="18">
        <f t="shared" si="1"/>
        <v>2021</v>
      </c>
      <c r="P35" s="11" t="str">
        <f>TEXT(orders!$B35, "DDD")</f>
        <v>Sat</v>
      </c>
      <c r="Q35" s="11" t="str">
        <f>VLOOKUP(orders!C35,[1]customers!$A$1:$I$1001, 6,FALSE)</f>
        <v>Grand Forks</v>
      </c>
    </row>
    <row r="36" spans="1:17" x14ac:dyDescent="0.3">
      <c r="A36" s="7" t="s">
        <v>98</v>
      </c>
      <c r="B36" s="8">
        <v>44011</v>
      </c>
      <c r="C36" s="9" t="s">
        <v>99</v>
      </c>
      <c r="D36" s="10" t="s">
        <v>100</v>
      </c>
      <c r="E36" s="9">
        <v>6</v>
      </c>
      <c r="F36" s="9" t="str">
        <f>VLOOKUP(C36,[1]customers!$A$1:$I$1001, 2, FALSE)</f>
        <v>Una Welberry</v>
      </c>
      <c r="G36" s="9" t="str">
        <f>VLOOKUP(orders!C36,[1]customers!$A$1:$I$1001, 3, FALSE)</f>
        <v>uwelberryy@ebay.co.uk</v>
      </c>
      <c r="H36" s="9" t="str">
        <f>VLOOKUP(C36, [1]customers!$A$1:$I$1001, 7, FALSE)</f>
        <v>United Kingdom</v>
      </c>
      <c r="I36" s="11" t="str">
        <f>VLOOKUP(orders!D36,[1]products!$A$1:$G$49, 2,FALSE)</f>
        <v>Lib</v>
      </c>
      <c r="J36" s="11" t="str">
        <f>VLOOKUP(orders!D36,[1]products!$A$1:$G$49, 3,FALSE)</f>
        <v>L</v>
      </c>
      <c r="K36" s="12">
        <f>VLOOKUP(orders!D36,[1]products!$A$1:$G$49, 4,FALSE)</f>
        <v>0.5</v>
      </c>
      <c r="L36" s="12">
        <f>VLOOKUP(orders!D36,[1]products!$A$1:$G$49, 5,FALSE)</f>
        <v>9.51</v>
      </c>
      <c r="M36" s="13">
        <f>PRODUCT(orders!$E36,orders!$L36)</f>
        <v>57.06</v>
      </c>
      <c r="N36" s="11" t="str">
        <f t="shared" si="0"/>
        <v>June</v>
      </c>
      <c r="O36" s="11">
        <f t="shared" si="1"/>
        <v>2020</v>
      </c>
      <c r="P36" s="11" t="str">
        <f>TEXT(orders!$B36, "DDD")</f>
        <v>Mon</v>
      </c>
      <c r="Q36" s="11" t="str">
        <f>VLOOKUP(orders!C36,[1]customers!$A$1:$I$1001, 6,FALSE)</f>
        <v>Upton</v>
      </c>
    </row>
    <row r="37" spans="1:17" x14ac:dyDescent="0.3">
      <c r="A37" s="14" t="s">
        <v>101</v>
      </c>
      <c r="B37" s="15">
        <v>44348</v>
      </c>
      <c r="C37" s="16" t="s">
        <v>102</v>
      </c>
      <c r="D37" s="17" t="s">
        <v>89</v>
      </c>
      <c r="E37" s="16">
        <v>6</v>
      </c>
      <c r="F37" s="9" t="str">
        <f>VLOOKUP(C37,[1]customers!$A$1:$I$1001, 2, FALSE)</f>
        <v>Faber Eilhart</v>
      </c>
      <c r="G37" s="16" t="str">
        <f>VLOOKUP(orders!C37,[1]customers!$A$1:$I$1001, 3, FALSE)</f>
        <v>feilhartz@who.int</v>
      </c>
      <c r="H37" s="16" t="str">
        <f>VLOOKUP(C37, [1]customers!$A$1:$I$1001, 7, FALSE)</f>
        <v>United States</v>
      </c>
      <c r="I37" s="18" t="str">
        <f>VLOOKUP(orders!D37,[1]products!$A$1:$G$49, 2,FALSE)</f>
        <v>Ara</v>
      </c>
      <c r="J37" s="18" t="str">
        <f>VLOOKUP(orders!D37,[1]products!$A$1:$G$49, 3,FALSE)</f>
        <v>D</v>
      </c>
      <c r="K37" s="19">
        <f>VLOOKUP(orders!D37,[1]products!$A$1:$G$49, 4,FALSE)</f>
        <v>0.5</v>
      </c>
      <c r="L37" s="19">
        <f>VLOOKUP(orders!D37,[1]products!$A$1:$G$49, 5,FALSE)</f>
        <v>5.97</v>
      </c>
      <c r="M37" s="13">
        <f>PRODUCT(orders!$E37,orders!$L37)</f>
        <v>35.82</v>
      </c>
      <c r="N37" s="18" t="str">
        <f t="shared" si="0"/>
        <v>June</v>
      </c>
      <c r="O37" s="18">
        <f t="shared" si="1"/>
        <v>2021</v>
      </c>
      <c r="P37" s="11" t="str">
        <f>TEXT(orders!$B37, "DDD")</f>
        <v>Tue</v>
      </c>
      <c r="Q37" s="11" t="str">
        <f>VLOOKUP(orders!C37,[1]customers!$A$1:$I$1001, 6,FALSE)</f>
        <v>Charleston</v>
      </c>
    </row>
    <row r="38" spans="1:17" x14ac:dyDescent="0.3">
      <c r="A38" s="7" t="s">
        <v>103</v>
      </c>
      <c r="B38" s="8">
        <v>44233</v>
      </c>
      <c r="C38" s="9" t="s">
        <v>104</v>
      </c>
      <c r="D38" s="10" t="s">
        <v>94</v>
      </c>
      <c r="E38" s="9">
        <v>2</v>
      </c>
      <c r="F38" s="9" t="str">
        <f>VLOOKUP(C38,[1]customers!$A$1:$I$1001, 2, FALSE)</f>
        <v>Zorina Ponting</v>
      </c>
      <c r="G38" s="9" t="str">
        <f>VLOOKUP(orders!C38,[1]customers!$A$1:$I$1001, 3, FALSE)</f>
        <v>zponting10@altervista.org</v>
      </c>
      <c r="H38" s="9" t="str">
        <f>VLOOKUP(C38, [1]customers!$A$1:$I$1001, 7, FALSE)</f>
        <v>United States</v>
      </c>
      <c r="I38" s="11" t="str">
        <f>VLOOKUP(orders!D38,[1]products!$A$1:$G$49, 2,FALSE)</f>
        <v>Lib</v>
      </c>
      <c r="J38" s="11" t="str">
        <f>VLOOKUP(orders!D38,[1]products!$A$1:$G$49, 3,FALSE)</f>
        <v>M</v>
      </c>
      <c r="K38" s="12">
        <f>VLOOKUP(orders!D38,[1]products!$A$1:$G$49, 4,FALSE)</f>
        <v>0.2</v>
      </c>
      <c r="L38" s="12">
        <f>VLOOKUP(orders!D38,[1]products!$A$1:$G$49, 5,FALSE)</f>
        <v>4.3650000000000002</v>
      </c>
      <c r="M38" s="13">
        <f>PRODUCT(orders!$E38,orders!$L38)</f>
        <v>8.73</v>
      </c>
      <c r="N38" s="11" t="str">
        <f t="shared" si="0"/>
        <v>February</v>
      </c>
      <c r="O38" s="11">
        <f t="shared" si="1"/>
        <v>2021</v>
      </c>
      <c r="P38" s="11" t="str">
        <f>TEXT(orders!$B38, "DDD")</f>
        <v>Sat</v>
      </c>
      <c r="Q38" s="11" t="str">
        <f>VLOOKUP(orders!C38,[1]customers!$A$1:$I$1001, 6,FALSE)</f>
        <v>Little Rock</v>
      </c>
    </row>
    <row r="39" spans="1:17" x14ac:dyDescent="0.3">
      <c r="A39" s="14" t="s">
        <v>105</v>
      </c>
      <c r="B39" s="15">
        <v>43580</v>
      </c>
      <c r="C39" s="16" t="s">
        <v>106</v>
      </c>
      <c r="D39" s="17" t="s">
        <v>100</v>
      </c>
      <c r="E39" s="16">
        <v>3</v>
      </c>
      <c r="F39" s="9" t="str">
        <f>VLOOKUP(C39,[1]customers!$A$1:$I$1001, 2, FALSE)</f>
        <v>Silvio Strase</v>
      </c>
      <c r="G39" s="16" t="str">
        <f>VLOOKUP(orders!C39,[1]customers!$A$1:$I$1001, 3, FALSE)</f>
        <v>sstrase11@booking.com</v>
      </c>
      <c r="H39" s="16" t="str">
        <f>VLOOKUP(C39, [1]customers!$A$1:$I$1001, 7, FALSE)</f>
        <v>United States</v>
      </c>
      <c r="I39" s="18" t="str">
        <f>VLOOKUP(orders!D39,[1]products!$A$1:$G$49, 2,FALSE)</f>
        <v>Lib</v>
      </c>
      <c r="J39" s="18" t="str">
        <f>VLOOKUP(orders!D39,[1]products!$A$1:$G$49, 3,FALSE)</f>
        <v>L</v>
      </c>
      <c r="K39" s="19">
        <f>VLOOKUP(orders!D39,[1]products!$A$1:$G$49, 4,FALSE)</f>
        <v>0.5</v>
      </c>
      <c r="L39" s="19">
        <f>VLOOKUP(orders!D39,[1]products!$A$1:$G$49, 5,FALSE)</f>
        <v>9.51</v>
      </c>
      <c r="M39" s="13">
        <f>PRODUCT(orders!$E39,orders!$L39)</f>
        <v>28.53</v>
      </c>
      <c r="N39" s="18" t="str">
        <f t="shared" si="0"/>
        <v>April</v>
      </c>
      <c r="O39" s="18">
        <f t="shared" si="1"/>
        <v>2019</v>
      </c>
      <c r="P39" s="11" t="str">
        <f>TEXT(orders!$B39, "DDD")</f>
        <v>Thu</v>
      </c>
      <c r="Q39" s="11" t="str">
        <f>VLOOKUP(orders!C39,[1]customers!$A$1:$I$1001, 6,FALSE)</f>
        <v>Denver</v>
      </c>
    </row>
    <row r="40" spans="1:17" x14ac:dyDescent="0.3">
      <c r="A40" s="7" t="s">
        <v>107</v>
      </c>
      <c r="B40" s="8">
        <v>43946</v>
      </c>
      <c r="C40" s="9" t="s">
        <v>108</v>
      </c>
      <c r="D40" s="10" t="s">
        <v>58</v>
      </c>
      <c r="E40" s="9">
        <v>5</v>
      </c>
      <c r="F40" s="9" t="str">
        <f>VLOOKUP(C40,[1]customers!$A$1:$I$1001, 2, FALSE)</f>
        <v>Dorie de la Tremoille</v>
      </c>
      <c r="G40" s="9" t="str">
        <f>VLOOKUP(orders!C40,[1]customers!$A$1:$I$1001, 3, FALSE)</f>
        <v>dde12@unesco.org</v>
      </c>
      <c r="H40" s="9" t="str">
        <f>VLOOKUP(C40, [1]customers!$A$1:$I$1001, 7, FALSE)</f>
        <v>United States</v>
      </c>
      <c r="I40" s="11" t="str">
        <f>VLOOKUP(orders!D40,[1]products!$A$1:$G$49, 2,FALSE)</f>
        <v>Rob</v>
      </c>
      <c r="J40" s="11" t="str">
        <f>VLOOKUP(orders!D40,[1]products!$A$1:$G$49, 3,FALSE)</f>
        <v>M</v>
      </c>
      <c r="K40" s="12">
        <f>VLOOKUP(orders!D40,[1]products!$A$1:$G$49, 4,FALSE)</f>
        <v>2.5</v>
      </c>
      <c r="L40" s="12">
        <f>VLOOKUP(orders!D40,[1]products!$A$1:$G$49, 5,FALSE)</f>
        <v>22.884999999999998</v>
      </c>
      <c r="M40" s="13">
        <f>PRODUCT(orders!$E40,orders!$L40)</f>
        <v>114.42499999999998</v>
      </c>
      <c r="N40" s="11" t="str">
        <f t="shared" si="0"/>
        <v>April</v>
      </c>
      <c r="O40" s="11">
        <f t="shared" si="1"/>
        <v>2020</v>
      </c>
      <c r="P40" s="11" t="str">
        <f>TEXT(orders!$B40, "DDD")</f>
        <v>Sat</v>
      </c>
      <c r="Q40" s="11" t="str">
        <f>VLOOKUP(orders!C40,[1]customers!$A$1:$I$1001, 6,FALSE)</f>
        <v>Minneapolis</v>
      </c>
    </row>
    <row r="41" spans="1:17" x14ac:dyDescent="0.3">
      <c r="A41" s="14" t="s">
        <v>109</v>
      </c>
      <c r="B41" s="15">
        <v>44524</v>
      </c>
      <c r="C41" s="16" t="s">
        <v>110</v>
      </c>
      <c r="D41" s="17" t="s">
        <v>19</v>
      </c>
      <c r="E41" s="16">
        <v>6</v>
      </c>
      <c r="F41" s="9" t="str">
        <f>VLOOKUP(C41,[1]customers!$A$1:$I$1001, 2, FALSE)</f>
        <v>Hy Zanetto</v>
      </c>
      <c r="G41" s="16">
        <f>VLOOKUP(orders!C41,[1]customers!$A$1:$I$1001, 3, FALSE)</f>
        <v>0</v>
      </c>
      <c r="H41" s="16" t="str">
        <f>VLOOKUP(C41, [1]customers!$A$1:$I$1001, 7, FALSE)</f>
        <v>United States</v>
      </c>
      <c r="I41" s="18" t="str">
        <f>VLOOKUP(orders!D41,[1]products!$A$1:$G$49, 2,FALSE)</f>
        <v>Rob</v>
      </c>
      <c r="J41" s="18" t="str">
        <f>VLOOKUP(orders!D41,[1]products!$A$1:$G$49, 3,FALSE)</f>
        <v>M</v>
      </c>
      <c r="K41" s="19">
        <f>VLOOKUP(orders!D41,[1]products!$A$1:$G$49, 4,FALSE)</f>
        <v>1</v>
      </c>
      <c r="L41" s="19">
        <f>VLOOKUP(orders!D41,[1]products!$A$1:$G$49, 5,FALSE)</f>
        <v>9.9499999999999993</v>
      </c>
      <c r="M41" s="13">
        <f>PRODUCT(orders!$E41,orders!$L41)</f>
        <v>59.699999999999996</v>
      </c>
      <c r="N41" s="18" t="str">
        <f t="shared" si="0"/>
        <v>November</v>
      </c>
      <c r="O41" s="18">
        <f t="shared" si="1"/>
        <v>2021</v>
      </c>
      <c r="P41" s="11" t="str">
        <f>TEXT(orders!$B41, "DDD")</f>
        <v>Wed</v>
      </c>
      <c r="Q41" s="11" t="str">
        <f>VLOOKUP(orders!C41,[1]customers!$A$1:$I$1001, 6,FALSE)</f>
        <v>Tucson</v>
      </c>
    </row>
    <row r="42" spans="1:17" x14ac:dyDescent="0.3">
      <c r="A42" s="7" t="s">
        <v>111</v>
      </c>
      <c r="B42" s="8">
        <v>44305</v>
      </c>
      <c r="C42" s="9" t="s">
        <v>112</v>
      </c>
      <c r="D42" s="10" t="s">
        <v>113</v>
      </c>
      <c r="E42" s="9">
        <v>3</v>
      </c>
      <c r="F42" s="9" t="str">
        <f>VLOOKUP(C42,[1]customers!$A$1:$I$1001, 2, FALSE)</f>
        <v>Jessica McNess</v>
      </c>
      <c r="G42" s="9">
        <f>VLOOKUP(orders!C42,[1]customers!$A$1:$I$1001, 3, FALSE)</f>
        <v>0</v>
      </c>
      <c r="H42" s="9" t="str">
        <f>VLOOKUP(C42, [1]customers!$A$1:$I$1001, 7, FALSE)</f>
        <v>United States</v>
      </c>
      <c r="I42" s="11" t="str">
        <f>VLOOKUP(orders!D42,[1]products!$A$1:$G$49, 2,FALSE)</f>
        <v>Lib</v>
      </c>
      <c r="J42" s="11" t="str">
        <f>VLOOKUP(orders!D42,[1]products!$A$1:$G$49, 3,FALSE)</f>
        <v>M</v>
      </c>
      <c r="K42" s="12">
        <f>VLOOKUP(orders!D42,[1]products!$A$1:$G$49, 4,FALSE)</f>
        <v>1</v>
      </c>
      <c r="L42" s="12">
        <f>VLOOKUP(orders!D42,[1]products!$A$1:$G$49, 5,FALSE)</f>
        <v>14.55</v>
      </c>
      <c r="M42" s="13">
        <f>PRODUCT(orders!$E42,orders!$L42)</f>
        <v>43.650000000000006</v>
      </c>
      <c r="N42" s="11" t="str">
        <f t="shared" si="0"/>
        <v>April</v>
      </c>
      <c r="O42" s="11">
        <f t="shared" si="1"/>
        <v>2021</v>
      </c>
      <c r="P42" s="11" t="str">
        <f>TEXT(orders!$B42, "DDD")</f>
        <v>Mon</v>
      </c>
      <c r="Q42" s="11" t="str">
        <f>VLOOKUP(orders!C42,[1]customers!$A$1:$I$1001, 6,FALSE)</f>
        <v>New Orleans</v>
      </c>
    </row>
    <row r="43" spans="1:17" x14ac:dyDescent="0.3">
      <c r="A43" s="14" t="s">
        <v>114</v>
      </c>
      <c r="B43" s="15">
        <v>44749</v>
      </c>
      <c r="C43" s="16" t="s">
        <v>115</v>
      </c>
      <c r="D43" s="17" t="s">
        <v>68</v>
      </c>
      <c r="E43" s="16">
        <v>2</v>
      </c>
      <c r="F43" s="9" t="str">
        <f>VLOOKUP(C43,[1]customers!$A$1:$I$1001, 2, FALSE)</f>
        <v>Lorenzo Yeoland</v>
      </c>
      <c r="G43" s="16" t="str">
        <f>VLOOKUP(orders!C43,[1]customers!$A$1:$I$1001, 3, FALSE)</f>
        <v>lyeoland15@pbs.org</v>
      </c>
      <c r="H43" s="16" t="str">
        <f>VLOOKUP(C43, [1]customers!$A$1:$I$1001, 7, FALSE)</f>
        <v>United States</v>
      </c>
      <c r="I43" s="18" t="str">
        <f>VLOOKUP(orders!D43,[1]products!$A$1:$G$49, 2,FALSE)</f>
        <v>Exc</v>
      </c>
      <c r="J43" s="18" t="str">
        <f>VLOOKUP(orders!D43,[1]products!$A$1:$G$49, 3,FALSE)</f>
        <v>D</v>
      </c>
      <c r="K43" s="19">
        <f>VLOOKUP(orders!D43,[1]products!$A$1:$G$49, 4,FALSE)</f>
        <v>0.2</v>
      </c>
      <c r="L43" s="19">
        <f>VLOOKUP(orders!D43,[1]products!$A$1:$G$49, 5,FALSE)</f>
        <v>3.645</v>
      </c>
      <c r="M43" s="13">
        <f>PRODUCT(orders!$E43,orders!$L43)</f>
        <v>7.29</v>
      </c>
      <c r="N43" s="18" t="str">
        <f t="shared" si="0"/>
        <v>July</v>
      </c>
      <c r="O43" s="18">
        <f t="shared" si="1"/>
        <v>2022</v>
      </c>
      <c r="P43" s="11" t="str">
        <f>TEXT(orders!$B43, "DDD")</f>
        <v>Thu</v>
      </c>
      <c r="Q43" s="11" t="str">
        <f>VLOOKUP(orders!C43,[1]customers!$A$1:$I$1001, 6,FALSE)</f>
        <v>Hartford</v>
      </c>
    </row>
    <row r="44" spans="1:17" x14ac:dyDescent="0.3">
      <c r="A44" s="7" t="s">
        <v>116</v>
      </c>
      <c r="B44" s="8">
        <v>43607</v>
      </c>
      <c r="C44" s="9" t="s">
        <v>117</v>
      </c>
      <c r="D44" s="10" t="s">
        <v>118</v>
      </c>
      <c r="E44" s="9">
        <v>3</v>
      </c>
      <c r="F44" s="9" t="str">
        <f>VLOOKUP(C44,[1]customers!$A$1:$I$1001, 2, FALSE)</f>
        <v>Abigail Tolworthy</v>
      </c>
      <c r="G44" s="9" t="str">
        <f>VLOOKUP(orders!C44,[1]customers!$A$1:$I$1001, 3, FALSE)</f>
        <v>atolworthy16@toplist.cz</v>
      </c>
      <c r="H44" s="9" t="str">
        <f>VLOOKUP(C44, [1]customers!$A$1:$I$1001, 7, FALSE)</f>
        <v>United States</v>
      </c>
      <c r="I44" s="11" t="str">
        <f>VLOOKUP(orders!D44,[1]products!$A$1:$G$49, 2,FALSE)</f>
        <v>Rob</v>
      </c>
      <c r="J44" s="11" t="str">
        <f>VLOOKUP(orders!D44,[1]products!$A$1:$G$49, 3,FALSE)</f>
        <v>D</v>
      </c>
      <c r="K44" s="12">
        <f>VLOOKUP(orders!D44,[1]products!$A$1:$G$49, 4,FALSE)</f>
        <v>0.2</v>
      </c>
      <c r="L44" s="12">
        <f>VLOOKUP(orders!D44,[1]products!$A$1:$G$49, 5,FALSE)</f>
        <v>2.6849999999999996</v>
      </c>
      <c r="M44" s="13">
        <f>PRODUCT(orders!$E44,orders!$L44)</f>
        <v>8.0549999999999997</v>
      </c>
      <c r="N44" s="11" t="str">
        <f t="shared" si="0"/>
        <v>May</v>
      </c>
      <c r="O44" s="11">
        <f t="shared" si="1"/>
        <v>2019</v>
      </c>
      <c r="P44" s="11" t="str">
        <f>TEXT(orders!$B44, "DDD")</f>
        <v>Wed</v>
      </c>
      <c r="Q44" s="11" t="str">
        <f>VLOOKUP(orders!C44,[1]customers!$A$1:$I$1001, 6,FALSE)</f>
        <v>Ogden</v>
      </c>
    </row>
    <row r="45" spans="1:17" x14ac:dyDescent="0.3">
      <c r="A45" s="14" t="s">
        <v>119</v>
      </c>
      <c r="B45" s="15">
        <v>44473</v>
      </c>
      <c r="C45" s="16" t="s">
        <v>120</v>
      </c>
      <c r="D45" s="17" t="s">
        <v>121</v>
      </c>
      <c r="E45" s="16">
        <v>2</v>
      </c>
      <c r="F45" s="9" t="str">
        <f>VLOOKUP(C45,[1]customers!$A$1:$I$1001, 2, FALSE)</f>
        <v>Maurie Bartol</v>
      </c>
      <c r="G45" s="16">
        <f>VLOOKUP(orders!C45,[1]customers!$A$1:$I$1001, 3, FALSE)</f>
        <v>0</v>
      </c>
      <c r="H45" s="16" t="str">
        <f>VLOOKUP(C45, [1]customers!$A$1:$I$1001, 7, FALSE)</f>
        <v>United States</v>
      </c>
      <c r="I45" s="18" t="str">
        <f>VLOOKUP(orders!D45,[1]products!$A$1:$G$49, 2,FALSE)</f>
        <v>Lib</v>
      </c>
      <c r="J45" s="18" t="str">
        <f>VLOOKUP(orders!D45,[1]products!$A$1:$G$49, 3,FALSE)</f>
        <v>L</v>
      </c>
      <c r="K45" s="19">
        <f>VLOOKUP(orders!D45,[1]products!$A$1:$G$49, 4,FALSE)</f>
        <v>2.5</v>
      </c>
      <c r="L45" s="19">
        <f>VLOOKUP(orders!D45,[1]products!$A$1:$G$49, 5,FALSE)</f>
        <v>36.454999999999998</v>
      </c>
      <c r="M45" s="13">
        <f>PRODUCT(orders!$E45,orders!$L45)</f>
        <v>72.91</v>
      </c>
      <c r="N45" s="18" t="str">
        <f t="shared" si="0"/>
        <v>October</v>
      </c>
      <c r="O45" s="18">
        <f t="shared" si="1"/>
        <v>2021</v>
      </c>
      <c r="P45" s="11" t="str">
        <f>TEXT(orders!$B45, "DDD")</f>
        <v>Mon</v>
      </c>
      <c r="Q45" s="11" t="str">
        <f>VLOOKUP(orders!C45,[1]customers!$A$1:$I$1001, 6,FALSE)</f>
        <v>Boston</v>
      </c>
    </row>
    <row r="46" spans="1:17" x14ac:dyDescent="0.3">
      <c r="A46" s="7" t="s">
        <v>122</v>
      </c>
      <c r="B46" s="8">
        <v>43932</v>
      </c>
      <c r="C46" s="9" t="s">
        <v>123</v>
      </c>
      <c r="D46" s="10" t="s">
        <v>20</v>
      </c>
      <c r="E46" s="9">
        <v>2</v>
      </c>
      <c r="F46" s="9" t="str">
        <f>VLOOKUP(C46,[1]customers!$A$1:$I$1001, 2, FALSE)</f>
        <v>Olag Baudassi</v>
      </c>
      <c r="G46" s="9" t="str">
        <f>VLOOKUP(orders!C46,[1]customers!$A$1:$I$1001, 3, FALSE)</f>
        <v>obaudassi18@seesaa.net</v>
      </c>
      <c r="H46" s="9" t="str">
        <f>VLOOKUP(C46, [1]customers!$A$1:$I$1001, 7, FALSE)</f>
        <v>United States</v>
      </c>
      <c r="I46" s="11" t="str">
        <f>VLOOKUP(orders!D46,[1]products!$A$1:$G$49, 2,FALSE)</f>
        <v>Exc</v>
      </c>
      <c r="J46" s="11" t="str">
        <f>VLOOKUP(orders!D46,[1]products!$A$1:$G$49, 3,FALSE)</f>
        <v>M</v>
      </c>
      <c r="K46" s="12">
        <f>VLOOKUP(orders!D46,[1]products!$A$1:$G$49, 4,FALSE)</f>
        <v>0.5</v>
      </c>
      <c r="L46" s="12">
        <f>VLOOKUP(orders!D46,[1]products!$A$1:$G$49, 5,FALSE)</f>
        <v>8.25</v>
      </c>
      <c r="M46" s="13">
        <f>PRODUCT(orders!$E46,orders!$L46)</f>
        <v>16.5</v>
      </c>
      <c r="N46" s="11" t="str">
        <f t="shared" si="0"/>
        <v>April</v>
      </c>
      <c r="O46" s="11">
        <f t="shared" si="1"/>
        <v>2020</v>
      </c>
      <c r="P46" s="11" t="str">
        <f>TEXT(orders!$B46, "DDD")</f>
        <v>Sat</v>
      </c>
      <c r="Q46" s="11" t="str">
        <f>VLOOKUP(orders!C46,[1]customers!$A$1:$I$1001, 6,FALSE)</f>
        <v>Rochester</v>
      </c>
    </row>
    <row r="47" spans="1:17" x14ac:dyDescent="0.3">
      <c r="A47" s="14" t="s">
        <v>124</v>
      </c>
      <c r="B47" s="15">
        <v>44592</v>
      </c>
      <c r="C47" s="16" t="s">
        <v>125</v>
      </c>
      <c r="D47" s="17" t="s">
        <v>126</v>
      </c>
      <c r="E47" s="16">
        <v>6</v>
      </c>
      <c r="F47" s="9" t="str">
        <f>VLOOKUP(C47,[1]customers!$A$1:$I$1001, 2, FALSE)</f>
        <v>Petey Kingsbury</v>
      </c>
      <c r="G47" s="16" t="str">
        <f>VLOOKUP(orders!C47,[1]customers!$A$1:$I$1001, 3, FALSE)</f>
        <v>pkingsbury19@comcast.net</v>
      </c>
      <c r="H47" s="16" t="str">
        <f>VLOOKUP(C47, [1]customers!$A$1:$I$1001, 7, FALSE)</f>
        <v>United States</v>
      </c>
      <c r="I47" s="18" t="str">
        <f>VLOOKUP(orders!D47,[1]products!$A$1:$G$49, 2,FALSE)</f>
        <v>Lib</v>
      </c>
      <c r="J47" s="18" t="str">
        <f>VLOOKUP(orders!D47,[1]products!$A$1:$G$49, 3,FALSE)</f>
        <v>D</v>
      </c>
      <c r="K47" s="19">
        <f>VLOOKUP(orders!D47,[1]products!$A$1:$G$49, 4,FALSE)</f>
        <v>2.5</v>
      </c>
      <c r="L47" s="19">
        <f>VLOOKUP(orders!D47,[1]products!$A$1:$G$49, 5,FALSE)</f>
        <v>29.784999999999997</v>
      </c>
      <c r="M47" s="13">
        <f>PRODUCT(orders!$E47,orders!$L47)</f>
        <v>178.70999999999998</v>
      </c>
      <c r="N47" s="18" t="str">
        <f t="shared" si="0"/>
        <v>January</v>
      </c>
      <c r="O47" s="18">
        <f t="shared" si="1"/>
        <v>2022</v>
      </c>
      <c r="P47" s="11" t="str">
        <f>TEXT(orders!$B47, "DDD")</f>
        <v>Mon</v>
      </c>
      <c r="Q47" s="11" t="str">
        <f>VLOOKUP(orders!C47,[1]customers!$A$1:$I$1001, 6,FALSE)</f>
        <v>Bronx</v>
      </c>
    </row>
    <row r="48" spans="1:17" x14ac:dyDescent="0.3">
      <c r="A48" s="7" t="s">
        <v>127</v>
      </c>
      <c r="B48" s="8">
        <v>43776</v>
      </c>
      <c r="C48" s="9" t="s">
        <v>128</v>
      </c>
      <c r="D48" s="10" t="s">
        <v>129</v>
      </c>
      <c r="E48" s="9">
        <v>2</v>
      </c>
      <c r="F48" s="9" t="str">
        <f>VLOOKUP(C48,[1]customers!$A$1:$I$1001, 2, FALSE)</f>
        <v>Donna Baskeyfied</v>
      </c>
      <c r="G48" s="9">
        <f>VLOOKUP(orders!C48,[1]customers!$A$1:$I$1001, 3, FALSE)</f>
        <v>0</v>
      </c>
      <c r="H48" s="9" t="str">
        <f>VLOOKUP(C48, [1]customers!$A$1:$I$1001, 7, FALSE)</f>
        <v>United States</v>
      </c>
      <c r="I48" s="11" t="str">
        <f>VLOOKUP(orders!D48,[1]products!$A$1:$G$49, 2,FALSE)</f>
        <v>Exc</v>
      </c>
      <c r="J48" s="11" t="str">
        <f>VLOOKUP(orders!D48,[1]products!$A$1:$G$49, 3,FALSE)</f>
        <v>M</v>
      </c>
      <c r="K48" s="12">
        <f>VLOOKUP(orders!D48,[1]products!$A$1:$G$49, 4,FALSE)</f>
        <v>2.5</v>
      </c>
      <c r="L48" s="12">
        <f>VLOOKUP(orders!D48,[1]products!$A$1:$G$49, 5,FALSE)</f>
        <v>31.624999999999996</v>
      </c>
      <c r="M48" s="13">
        <f>PRODUCT(orders!$E48,orders!$L48)</f>
        <v>63.249999999999993</v>
      </c>
      <c r="N48" s="11" t="str">
        <f t="shared" si="0"/>
        <v>November</v>
      </c>
      <c r="O48" s="11">
        <f t="shared" si="1"/>
        <v>2019</v>
      </c>
      <c r="P48" s="11" t="str">
        <f>TEXT(orders!$B48, "DDD")</f>
        <v>Thu</v>
      </c>
      <c r="Q48" s="11" t="str">
        <f>VLOOKUP(orders!C48,[1]customers!$A$1:$I$1001, 6,FALSE)</f>
        <v>Birmingham</v>
      </c>
    </row>
    <row r="49" spans="1:17" x14ac:dyDescent="0.3">
      <c r="A49" s="14" t="s">
        <v>130</v>
      </c>
      <c r="B49" s="15">
        <v>43644</v>
      </c>
      <c r="C49" s="16" t="s">
        <v>131</v>
      </c>
      <c r="D49" s="17" t="s">
        <v>132</v>
      </c>
      <c r="E49" s="16">
        <v>2</v>
      </c>
      <c r="F49" s="9" t="str">
        <f>VLOOKUP(C49,[1]customers!$A$1:$I$1001, 2, FALSE)</f>
        <v>Arda Curley</v>
      </c>
      <c r="G49" s="16" t="str">
        <f>VLOOKUP(orders!C49,[1]customers!$A$1:$I$1001, 3, FALSE)</f>
        <v>acurley1b@hao123.com</v>
      </c>
      <c r="H49" s="16" t="str">
        <f>VLOOKUP(C49, [1]customers!$A$1:$I$1001, 7, FALSE)</f>
        <v>United States</v>
      </c>
      <c r="I49" s="18" t="str">
        <f>VLOOKUP(orders!D49,[1]products!$A$1:$G$49, 2,FALSE)</f>
        <v>Ara</v>
      </c>
      <c r="J49" s="18" t="str">
        <f>VLOOKUP(orders!D49,[1]products!$A$1:$G$49, 3,FALSE)</f>
        <v>L</v>
      </c>
      <c r="K49" s="19">
        <f>VLOOKUP(orders!D49,[1]products!$A$1:$G$49, 4,FALSE)</f>
        <v>0.2</v>
      </c>
      <c r="L49" s="19">
        <f>VLOOKUP(orders!D49,[1]products!$A$1:$G$49, 5,FALSE)</f>
        <v>3.8849999999999998</v>
      </c>
      <c r="M49" s="13">
        <f>PRODUCT(orders!$E49,orders!$L49)</f>
        <v>7.77</v>
      </c>
      <c r="N49" s="18" t="str">
        <f t="shared" si="0"/>
        <v>June</v>
      </c>
      <c r="O49" s="18">
        <f t="shared" si="1"/>
        <v>2019</v>
      </c>
      <c r="P49" s="11" t="str">
        <f>TEXT(orders!$B49, "DDD")</f>
        <v>Fri</v>
      </c>
      <c r="Q49" s="11" t="str">
        <f>VLOOKUP(orders!C49,[1]customers!$A$1:$I$1001, 6,FALSE)</f>
        <v>San Bernardino</v>
      </c>
    </row>
    <row r="50" spans="1:17" x14ac:dyDescent="0.3">
      <c r="A50" s="7" t="s">
        <v>133</v>
      </c>
      <c r="B50" s="8">
        <v>44085</v>
      </c>
      <c r="C50" s="9" t="s">
        <v>134</v>
      </c>
      <c r="D50" s="10" t="s">
        <v>135</v>
      </c>
      <c r="E50" s="9">
        <v>4</v>
      </c>
      <c r="F50" s="9" t="str">
        <f>VLOOKUP(C50,[1]customers!$A$1:$I$1001, 2, FALSE)</f>
        <v>Raynor McGilvary</v>
      </c>
      <c r="G50" s="9" t="str">
        <f>VLOOKUP(orders!C50,[1]customers!$A$1:$I$1001, 3, FALSE)</f>
        <v>rmcgilvary1c@tamu.edu</v>
      </c>
      <c r="H50" s="9" t="str">
        <f>VLOOKUP(C50, [1]customers!$A$1:$I$1001, 7, FALSE)</f>
        <v>United States</v>
      </c>
      <c r="I50" s="11" t="str">
        <f>VLOOKUP(orders!D50,[1]products!$A$1:$G$49, 2,FALSE)</f>
        <v>Ara</v>
      </c>
      <c r="J50" s="11" t="str">
        <f>VLOOKUP(orders!D50,[1]products!$A$1:$G$49, 3,FALSE)</f>
        <v>D</v>
      </c>
      <c r="K50" s="12">
        <f>VLOOKUP(orders!D50,[1]products!$A$1:$G$49, 4,FALSE)</f>
        <v>2.5</v>
      </c>
      <c r="L50" s="12">
        <f>VLOOKUP(orders!D50,[1]products!$A$1:$G$49, 5,FALSE)</f>
        <v>22.884999999999998</v>
      </c>
      <c r="M50" s="13">
        <f>PRODUCT(orders!$E50,orders!$L50)</f>
        <v>91.539999999999992</v>
      </c>
      <c r="N50" s="11" t="str">
        <f t="shared" si="0"/>
        <v>September</v>
      </c>
      <c r="O50" s="11">
        <f t="shared" si="1"/>
        <v>2020</v>
      </c>
      <c r="P50" s="11" t="str">
        <f>TEXT(orders!$B50, "DDD")</f>
        <v>Fri</v>
      </c>
      <c r="Q50" s="11" t="str">
        <f>VLOOKUP(orders!C50,[1]customers!$A$1:$I$1001, 6,FALSE)</f>
        <v>Norfolk</v>
      </c>
    </row>
    <row r="51" spans="1:17" x14ac:dyDescent="0.3">
      <c r="A51" s="14" t="s">
        <v>136</v>
      </c>
      <c r="B51" s="15">
        <v>44790</v>
      </c>
      <c r="C51" s="16" t="s">
        <v>137</v>
      </c>
      <c r="D51" s="17" t="s">
        <v>23</v>
      </c>
      <c r="E51" s="16">
        <v>3</v>
      </c>
      <c r="F51" s="9" t="str">
        <f>VLOOKUP(C51,[1]customers!$A$1:$I$1001, 2, FALSE)</f>
        <v>Isis Pikett</v>
      </c>
      <c r="G51" s="16" t="str">
        <f>VLOOKUP(orders!C51,[1]customers!$A$1:$I$1001, 3, FALSE)</f>
        <v>ipikett1d@xinhuanet.com</v>
      </c>
      <c r="H51" s="16" t="str">
        <f>VLOOKUP(C51, [1]customers!$A$1:$I$1001, 7, FALSE)</f>
        <v>United States</v>
      </c>
      <c r="I51" s="18" t="str">
        <f>VLOOKUP(orders!D51,[1]products!$A$1:$G$49, 2,FALSE)</f>
        <v>Ara</v>
      </c>
      <c r="J51" s="18" t="str">
        <f>VLOOKUP(orders!D51,[1]products!$A$1:$G$49, 3,FALSE)</f>
        <v>L</v>
      </c>
      <c r="K51" s="19">
        <f>VLOOKUP(orders!D51,[1]products!$A$1:$G$49, 4,FALSE)</f>
        <v>1</v>
      </c>
      <c r="L51" s="19">
        <f>VLOOKUP(orders!D51,[1]products!$A$1:$G$49, 5,FALSE)</f>
        <v>12.95</v>
      </c>
      <c r="M51" s="13">
        <f>PRODUCT(orders!$E51,orders!$L51)</f>
        <v>38.849999999999994</v>
      </c>
      <c r="N51" s="18" t="str">
        <f t="shared" si="0"/>
        <v>August</v>
      </c>
      <c r="O51" s="18">
        <f t="shared" si="1"/>
        <v>2022</v>
      </c>
      <c r="P51" s="11" t="str">
        <f>TEXT(orders!$B51, "DDD")</f>
        <v>Wed</v>
      </c>
      <c r="Q51" s="11" t="str">
        <f>VLOOKUP(orders!C51,[1]customers!$A$1:$I$1001, 6,FALSE)</f>
        <v>Washington</v>
      </c>
    </row>
    <row r="52" spans="1:17" x14ac:dyDescent="0.3">
      <c r="A52" s="7" t="s">
        <v>138</v>
      </c>
      <c r="B52" s="8">
        <v>44792</v>
      </c>
      <c r="C52" s="9" t="s">
        <v>139</v>
      </c>
      <c r="D52" s="10" t="s">
        <v>140</v>
      </c>
      <c r="E52" s="9">
        <v>2</v>
      </c>
      <c r="F52" s="9" t="str">
        <f>VLOOKUP(C52,[1]customers!$A$1:$I$1001, 2, FALSE)</f>
        <v>Inger Bouldon</v>
      </c>
      <c r="G52" s="9" t="str">
        <f>VLOOKUP(orders!C52,[1]customers!$A$1:$I$1001, 3, FALSE)</f>
        <v>ibouldon1e@gizmodo.com</v>
      </c>
      <c r="H52" s="9" t="str">
        <f>VLOOKUP(C52, [1]customers!$A$1:$I$1001, 7, FALSE)</f>
        <v>United States</v>
      </c>
      <c r="I52" s="11" t="str">
        <f>VLOOKUP(orders!D52,[1]products!$A$1:$G$49, 2,FALSE)</f>
        <v>Lib</v>
      </c>
      <c r="J52" s="11" t="str">
        <f>VLOOKUP(orders!D52,[1]products!$A$1:$G$49, 3,FALSE)</f>
        <v>D</v>
      </c>
      <c r="K52" s="12">
        <f>VLOOKUP(orders!D52,[1]products!$A$1:$G$49, 4,FALSE)</f>
        <v>0.5</v>
      </c>
      <c r="L52" s="12">
        <f>VLOOKUP(orders!D52,[1]products!$A$1:$G$49, 5,FALSE)</f>
        <v>7.77</v>
      </c>
      <c r="M52" s="13">
        <f>PRODUCT(orders!$E52,orders!$L52)</f>
        <v>15.54</v>
      </c>
      <c r="N52" s="11" t="str">
        <f t="shared" si="0"/>
        <v>August</v>
      </c>
      <c r="O52" s="11">
        <f t="shared" si="1"/>
        <v>2022</v>
      </c>
      <c r="P52" s="11" t="str">
        <f>TEXT(orders!$B52, "DDD")</f>
        <v>Fri</v>
      </c>
      <c r="Q52" s="11" t="str">
        <f>VLOOKUP(orders!C52,[1]customers!$A$1:$I$1001, 6,FALSE)</f>
        <v>Fort Lauderdale</v>
      </c>
    </row>
    <row r="53" spans="1:17" x14ac:dyDescent="0.3">
      <c r="A53" s="14" t="s">
        <v>141</v>
      </c>
      <c r="B53" s="15">
        <v>43600</v>
      </c>
      <c r="C53" s="16" t="s">
        <v>142</v>
      </c>
      <c r="D53" s="17" t="s">
        <v>121</v>
      </c>
      <c r="E53" s="16">
        <v>4</v>
      </c>
      <c r="F53" s="9" t="str">
        <f>VLOOKUP(C53,[1]customers!$A$1:$I$1001, 2, FALSE)</f>
        <v>Karry Flanders</v>
      </c>
      <c r="G53" s="16" t="str">
        <f>VLOOKUP(orders!C53,[1]customers!$A$1:$I$1001, 3, FALSE)</f>
        <v>kflanders1f@over-blog.com</v>
      </c>
      <c r="H53" s="16" t="str">
        <f>VLOOKUP(C53, [1]customers!$A$1:$I$1001, 7, FALSE)</f>
        <v>Ireland</v>
      </c>
      <c r="I53" s="18" t="str">
        <f>VLOOKUP(orders!D53,[1]products!$A$1:$G$49, 2,FALSE)</f>
        <v>Lib</v>
      </c>
      <c r="J53" s="18" t="str">
        <f>VLOOKUP(orders!D53,[1]products!$A$1:$G$49, 3,FALSE)</f>
        <v>L</v>
      </c>
      <c r="K53" s="19">
        <f>VLOOKUP(orders!D53,[1]products!$A$1:$G$49, 4,FALSE)</f>
        <v>2.5</v>
      </c>
      <c r="L53" s="19">
        <f>VLOOKUP(orders!D53,[1]products!$A$1:$G$49, 5,FALSE)</f>
        <v>36.454999999999998</v>
      </c>
      <c r="M53" s="13">
        <f>PRODUCT(orders!$E53,orders!$L53)</f>
        <v>145.82</v>
      </c>
      <c r="N53" s="18" t="str">
        <f t="shared" si="0"/>
        <v>May</v>
      </c>
      <c r="O53" s="18">
        <f t="shared" si="1"/>
        <v>2019</v>
      </c>
      <c r="P53" s="11" t="str">
        <f>TEXT(orders!$B53, "DDD")</f>
        <v>Wed</v>
      </c>
      <c r="Q53" s="11" t="str">
        <f>VLOOKUP(orders!C53,[1]customers!$A$1:$I$1001, 6,FALSE)</f>
        <v>Crumlin</v>
      </c>
    </row>
    <row r="54" spans="1:17" x14ac:dyDescent="0.3">
      <c r="A54" s="7" t="s">
        <v>143</v>
      </c>
      <c r="B54" s="8">
        <v>43719</v>
      </c>
      <c r="C54" s="9" t="s">
        <v>144</v>
      </c>
      <c r="D54" s="10" t="s">
        <v>39</v>
      </c>
      <c r="E54" s="9">
        <v>5</v>
      </c>
      <c r="F54" s="9" t="str">
        <f>VLOOKUP(C54,[1]customers!$A$1:$I$1001, 2, FALSE)</f>
        <v>Hartley Mattioli</v>
      </c>
      <c r="G54" s="9" t="str">
        <f>VLOOKUP(orders!C54,[1]customers!$A$1:$I$1001, 3, FALSE)</f>
        <v>hmattioli1g@webmd.com</v>
      </c>
      <c r="H54" s="9" t="str">
        <f>VLOOKUP(C54, [1]customers!$A$1:$I$1001, 7, FALSE)</f>
        <v>United Kingdom</v>
      </c>
      <c r="I54" s="11" t="str">
        <f>VLOOKUP(orders!D54,[1]products!$A$1:$G$49, 2,FALSE)</f>
        <v>Rob</v>
      </c>
      <c r="J54" s="11" t="str">
        <f>VLOOKUP(orders!D54,[1]products!$A$1:$G$49, 3,FALSE)</f>
        <v>M</v>
      </c>
      <c r="K54" s="12">
        <f>VLOOKUP(orders!D54,[1]products!$A$1:$G$49, 4,FALSE)</f>
        <v>0.5</v>
      </c>
      <c r="L54" s="12">
        <f>VLOOKUP(orders!D54,[1]products!$A$1:$G$49, 5,FALSE)</f>
        <v>5.97</v>
      </c>
      <c r="M54" s="13">
        <f>PRODUCT(orders!$E54,orders!$L54)</f>
        <v>29.849999999999998</v>
      </c>
      <c r="N54" s="11" t="str">
        <f t="shared" si="0"/>
        <v>September</v>
      </c>
      <c r="O54" s="11">
        <f t="shared" si="1"/>
        <v>2019</v>
      </c>
      <c r="P54" s="11" t="str">
        <f>TEXT(orders!$B54, "DDD")</f>
        <v>Wed</v>
      </c>
      <c r="Q54" s="11" t="str">
        <f>VLOOKUP(orders!C54,[1]customers!$A$1:$I$1001, 6,FALSE)</f>
        <v>Kinloch</v>
      </c>
    </row>
    <row r="55" spans="1:17" x14ac:dyDescent="0.3">
      <c r="A55" s="14" t="s">
        <v>143</v>
      </c>
      <c r="B55" s="15">
        <v>43719</v>
      </c>
      <c r="C55" s="16" t="s">
        <v>144</v>
      </c>
      <c r="D55" s="17" t="s">
        <v>121</v>
      </c>
      <c r="E55" s="16">
        <v>2</v>
      </c>
      <c r="F55" s="9" t="str">
        <f>VLOOKUP(C55,[1]customers!$A$1:$I$1001, 2, FALSE)</f>
        <v>Hartley Mattioli</v>
      </c>
      <c r="G55" s="16" t="str">
        <f>VLOOKUP(orders!C55,[1]customers!$A$1:$I$1001, 3, FALSE)</f>
        <v>hmattioli1g@webmd.com</v>
      </c>
      <c r="H55" s="16" t="str">
        <f>VLOOKUP(C55, [1]customers!$A$1:$I$1001, 7, FALSE)</f>
        <v>United Kingdom</v>
      </c>
      <c r="I55" s="18" t="str">
        <f>VLOOKUP(orders!D55,[1]products!$A$1:$G$49, 2,FALSE)</f>
        <v>Lib</v>
      </c>
      <c r="J55" s="18" t="str">
        <f>VLOOKUP(orders!D55,[1]products!$A$1:$G$49, 3,FALSE)</f>
        <v>L</v>
      </c>
      <c r="K55" s="19">
        <f>VLOOKUP(orders!D55,[1]products!$A$1:$G$49, 4,FALSE)</f>
        <v>2.5</v>
      </c>
      <c r="L55" s="19">
        <f>VLOOKUP(orders!D55,[1]products!$A$1:$G$49, 5,FALSE)</f>
        <v>36.454999999999998</v>
      </c>
      <c r="M55" s="13">
        <f>PRODUCT(orders!$E55,orders!$L55)</f>
        <v>72.91</v>
      </c>
      <c r="N55" s="18" t="str">
        <f t="shared" si="0"/>
        <v>September</v>
      </c>
      <c r="O55" s="18">
        <f t="shared" si="1"/>
        <v>2019</v>
      </c>
      <c r="P55" s="11" t="str">
        <f>TEXT(orders!$B55, "DDD")</f>
        <v>Wed</v>
      </c>
      <c r="Q55" s="11" t="str">
        <f>VLOOKUP(orders!C55,[1]customers!$A$1:$I$1001, 6,FALSE)</f>
        <v>Kinloch</v>
      </c>
    </row>
    <row r="56" spans="1:17" x14ac:dyDescent="0.3">
      <c r="A56" s="7" t="s">
        <v>145</v>
      </c>
      <c r="B56" s="8">
        <v>44271</v>
      </c>
      <c r="C56" s="9" t="s">
        <v>146</v>
      </c>
      <c r="D56" s="10" t="s">
        <v>113</v>
      </c>
      <c r="E56" s="9">
        <v>5</v>
      </c>
      <c r="F56" s="9" t="str">
        <f>VLOOKUP(C56,[1]customers!$A$1:$I$1001, 2, FALSE)</f>
        <v>Archambault Gillard</v>
      </c>
      <c r="G56" s="9" t="str">
        <f>VLOOKUP(orders!C56,[1]customers!$A$1:$I$1001, 3, FALSE)</f>
        <v>agillard1i@issuu.com</v>
      </c>
      <c r="H56" s="9" t="str">
        <f>VLOOKUP(C56, [1]customers!$A$1:$I$1001, 7, FALSE)</f>
        <v>United States</v>
      </c>
      <c r="I56" s="11" t="str">
        <f>VLOOKUP(orders!D56,[1]products!$A$1:$G$49, 2,FALSE)</f>
        <v>Lib</v>
      </c>
      <c r="J56" s="11" t="str">
        <f>VLOOKUP(orders!D56,[1]products!$A$1:$G$49, 3,FALSE)</f>
        <v>M</v>
      </c>
      <c r="K56" s="12">
        <f>VLOOKUP(orders!D56,[1]products!$A$1:$G$49, 4,FALSE)</f>
        <v>1</v>
      </c>
      <c r="L56" s="12">
        <f>VLOOKUP(orders!D56,[1]products!$A$1:$G$49, 5,FALSE)</f>
        <v>14.55</v>
      </c>
      <c r="M56" s="13">
        <f>PRODUCT(orders!$E56,orders!$L56)</f>
        <v>72.75</v>
      </c>
      <c r="N56" s="11" t="str">
        <f t="shared" si="0"/>
        <v>March</v>
      </c>
      <c r="O56" s="11">
        <f t="shared" si="1"/>
        <v>2021</v>
      </c>
      <c r="P56" s="11" t="str">
        <f>TEXT(orders!$B56, "DDD")</f>
        <v>Tue</v>
      </c>
      <c r="Q56" s="11" t="str">
        <f>VLOOKUP(orders!C56,[1]customers!$A$1:$I$1001, 6,FALSE)</f>
        <v>Toledo</v>
      </c>
    </row>
    <row r="57" spans="1:17" x14ac:dyDescent="0.3">
      <c r="A57" s="14" t="s">
        <v>147</v>
      </c>
      <c r="B57" s="15">
        <v>44168</v>
      </c>
      <c r="C57" s="16" t="s">
        <v>148</v>
      </c>
      <c r="D57" s="17" t="s">
        <v>149</v>
      </c>
      <c r="E57" s="16">
        <v>3</v>
      </c>
      <c r="F57" s="9" t="str">
        <f>VLOOKUP(C57,[1]customers!$A$1:$I$1001, 2, FALSE)</f>
        <v>Salomo Cushworth</v>
      </c>
      <c r="G57" s="16">
        <f>VLOOKUP(orders!C57,[1]customers!$A$1:$I$1001, 3, FALSE)</f>
        <v>0</v>
      </c>
      <c r="H57" s="16" t="str">
        <f>VLOOKUP(C57, [1]customers!$A$1:$I$1001, 7, FALSE)</f>
        <v>United States</v>
      </c>
      <c r="I57" s="18" t="str">
        <f>VLOOKUP(orders!D57,[1]products!$A$1:$G$49, 2,FALSE)</f>
        <v>Lib</v>
      </c>
      <c r="J57" s="18" t="str">
        <f>VLOOKUP(orders!D57,[1]products!$A$1:$G$49, 3,FALSE)</f>
        <v>L</v>
      </c>
      <c r="K57" s="19">
        <f>VLOOKUP(orders!D57,[1]products!$A$1:$G$49, 4,FALSE)</f>
        <v>1</v>
      </c>
      <c r="L57" s="19">
        <f>VLOOKUP(orders!D57,[1]products!$A$1:$G$49, 5,FALSE)</f>
        <v>15.85</v>
      </c>
      <c r="M57" s="13">
        <f>PRODUCT(orders!$E57,orders!$L57)</f>
        <v>47.55</v>
      </c>
      <c r="N57" s="18" t="str">
        <f t="shared" si="0"/>
        <v>December</v>
      </c>
      <c r="O57" s="18">
        <f t="shared" si="1"/>
        <v>2020</v>
      </c>
      <c r="P57" s="11" t="str">
        <f>TEXT(orders!$B57, "DDD")</f>
        <v>Thu</v>
      </c>
      <c r="Q57" s="11" t="str">
        <f>VLOOKUP(orders!C57,[1]customers!$A$1:$I$1001, 6,FALSE)</f>
        <v>Trenton</v>
      </c>
    </row>
    <row r="58" spans="1:17" x14ac:dyDescent="0.3">
      <c r="A58" s="7" t="s">
        <v>150</v>
      </c>
      <c r="B58" s="8">
        <v>43857</v>
      </c>
      <c r="C58" s="9" t="s">
        <v>151</v>
      </c>
      <c r="D58" s="10" t="s">
        <v>68</v>
      </c>
      <c r="E58" s="9">
        <v>3</v>
      </c>
      <c r="F58" s="9" t="str">
        <f>VLOOKUP(C58,[1]customers!$A$1:$I$1001, 2, FALSE)</f>
        <v>Theda Grizard</v>
      </c>
      <c r="G58" s="9" t="str">
        <f>VLOOKUP(orders!C58,[1]customers!$A$1:$I$1001, 3, FALSE)</f>
        <v>tgrizard1k@odnoklassniki.ru</v>
      </c>
      <c r="H58" s="9" t="str">
        <f>VLOOKUP(C58, [1]customers!$A$1:$I$1001, 7, FALSE)</f>
        <v>United States</v>
      </c>
      <c r="I58" s="11" t="str">
        <f>VLOOKUP(orders!D58,[1]products!$A$1:$G$49, 2,FALSE)</f>
        <v>Exc</v>
      </c>
      <c r="J58" s="11" t="str">
        <f>VLOOKUP(orders!D58,[1]products!$A$1:$G$49, 3,FALSE)</f>
        <v>D</v>
      </c>
      <c r="K58" s="12">
        <f>VLOOKUP(orders!D58,[1]products!$A$1:$G$49, 4,FALSE)</f>
        <v>0.2</v>
      </c>
      <c r="L58" s="12">
        <f>VLOOKUP(orders!D58,[1]products!$A$1:$G$49, 5,FALSE)</f>
        <v>3.645</v>
      </c>
      <c r="M58" s="13">
        <f>PRODUCT(orders!$E58,orders!$L58)</f>
        <v>10.935</v>
      </c>
      <c r="N58" s="11" t="str">
        <f t="shared" si="0"/>
        <v>January</v>
      </c>
      <c r="O58" s="11">
        <f t="shared" si="1"/>
        <v>2020</v>
      </c>
      <c r="P58" s="11" t="str">
        <f>TEXT(orders!$B58, "DDD")</f>
        <v>Mon</v>
      </c>
      <c r="Q58" s="11" t="str">
        <f>VLOOKUP(orders!C58,[1]customers!$A$1:$I$1001, 6,FALSE)</f>
        <v>Tampa</v>
      </c>
    </row>
    <row r="59" spans="1:17" x14ac:dyDescent="0.3">
      <c r="A59" s="14" t="s">
        <v>152</v>
      </c>
      <c r="B59" s="15">
        <v>44759</v>
      </c>
      <c r="C59" s="16" t="s">
        <v>153</v>
      </c>
      <c r="D59" s="17" t="s">
        <v>154</v>
      </c>
      <c r="E59" s="16">
        <v>4</v>
      </c>
      <c r="F59" s="9" t="str">
        <f>VLOOKUP(C59,[1]customers!$A$1:$I$1001, 2, FALSE)</f>
        <v>Rozele Relton</v>
      </c>
      <c r="G59" s="16" t="str">
        <f>VLOOKUP(orders!C59,[1]customers!$A$1:$I$1001, 3, FALSE)</f>
        <v>rrelton1l@stanford.edu</v>
      </c>
      <c r="H59" s="16" t="str">
        <f>VLOOKUP(C59, [1]customers!$A$1:$I$1001, 7, FALSE)</f>
        <v>United States</v>
      </c>
      <c r="I59" s="18" t="str">
        <f>VLOOKUP(orders!D59,[1]products!$A$1:$G$49, 2,FALSE)</f>
        <v>Exc</v>
      </c>
      <c r="J59" s="18" t="str">
        <f>VLOOKUP(orders!D59,[1]products!$A$1:$G$49, 3,FALSE)</f>
        <v>L</v>
      </c>
      <c r="K59" s="19">
        <f>VLOOKUP(orders!D59,[1]products!$A$1:$G$49, 4,FALSE)</f>
        <v>1</v>
      </c>
      <c r="L59" s="19">
        <f>VLOOKUP(orders!D59,[1]products!$A$1:$G$49, 5,FALSE)</f>
        <v>14.85</v>
      </c>
      <c r="M59" s="13">
        <f>PRODUCT(orders!$E59,orders!$L59)</f>
        <v>59.4</v>
      </c>
      <c r="N59" s="18" t="str">
        <f t="shared" si="0"/>
        <v>July</v>
      </c>
      <c r="O59" s="18">
        <f t="shared" si="1"/>
        <v>2022</v>
      </c>
      <c r="P59" s="11" t="str">
        <f>TEXT(orders!$B59, "DDD")</f>
        <v>Sun</v>
      </c>
      <c r="Q59" s="11" t="str">
        <f>VLOOKUP(orders!C59,[1]customers!$A$1:$I$1001, 6,FALSE)</f>
        <v>Pensacola</v>
      </c>
    </row>
    <row r="60" spans="1:17" x14ac:dyDescent="0.3">
      <c r="A60" s="7" t="s">
        <v>155</v>
      </c>
      <c r="B60" s="8">
        <v>44624</v>
      </c>
      <c r="C60" s="9" t="s">
        <v>156</v>
      </c>
      <c r="D60" s="10" t="s">
        <v>126</v>
      </c>
      <c r="E60" s="9">
        <v>3</v>
      </c>
      <c r="F60" s="9" t="str">
        <f>VLOOKUP(C60,[1]customers!$A$1:$I$1001, 2, FALSE)</f>
        <v>Willa Rolling</v>
      </c>
      <c r="G60" s="9">
        <f>VLOOKUP(orders!C60,[1]customers!$A$1:$I$1001, 3, FALSE)</f>
        <v>0</v>
      </c>
      <c r="H60" s="9" t="str">
        <f>VLOOKUP(C60, [1]customers!$A$1:$I$1001, 7, FALSE)</f>
        <v>United States</v>
      </c>
      <c r="I60" s="11" t="str">
        <f>VLOOKUP(orders!D60,[1]products!$A$1:$G$49, 2,FALSE)</f>
        <v>Lib</v>
      </c>
      <c r="J60" s="11" t="str">
        <f>VLOOKUP(orders!D60,[1]products!$A$1:$G$49, 3,FALSE)</f>
        <v>D</v>
      </c>
      <c r="K60" s="12">
        <f>VLOOKUP(orders!D60,[1]products!$A$1:$G$49, 4,FALSE)</f>
        <v>2.5</v>
      </c>
      <c r="L60" s="12">
        <f>VLOOKUP(orders!D60,[1]products!$A$1:$G$49, 5,FALSE)</f>
        <v>29.784999999999997</v>
      </c>
      <c r="M60" s="13">
        <f>PRODUCT(orders!$E60,orders!$L60)</f>
        <v>89.35499999999999</v>
      </c>
      <c r="N60" s="11" t="str">
        <f t="shared" si="0"/>
        <v>March</v>
      </c>
      <c r="O60" s="11">
        <f t="shared" si="1"/>
        <v>2022</v>
      </c>
      <c r="P60" s="11" t="str">
        <f>TEXT(orders!$B60, "DDD")</f>
        <v>Fri</v>
      </c>
      <c r="Q60" s="11" t="str">
        <f>VLOOKUP(orders!C60,[1]customers!$A$1:$I$1001, 6,FALSE)</f>
        <v>Zephyrhills</v>
      </c>
    </row>
    <row r="61" spans="1:17" x14ac:dyDescent="0.3">
      <c r="A61" s="14" t="s">
        <v>157</v>
      </c>
      <c r="B61" s="15">
        <v>44537</v>
      </c>
      <c r="C61" s="16" t="s">
        <v>158</v>
      </c>
      <c r="D61" s="17" t="s">
        <v>95</v>
      </c>
      <c r="E61" s="16">
        <v>3</v>
      </c>
      <c r="F61" s="9" t="str">
        <f>VLOOKUP(C61,[1]customers!$A$1:$I$1001, 2, FALSE)</f>
        <v>Stanislaus Gilroy</v>
      </c>
      <c r="G61" s="16" t="str">
        <f>VLOOKUP(orders!C61,[1]customers!$A$1:$I$1001, 3, FALSE)</f>
        <v>sgilroy1n@eepurl.com</v>
      </c>
      <c r="H61" s="16" t="str">
        <f>VLOOKUP(C61, [1]customers!$A$1:$I$1001, 7, FALSE)</f>
        <v>United States</v>
      </c>
      <c r="I61" s="18" t="str">
        <f>VLOOKUP(orders!D61,[1]products!$A$1:$G$49, 2,FALSE)</f>
        <v>Lib</v>
      </c>
      <c r="J61" s="18" t="str">
        <f>VLOOKUP(orders!D61,[1]products!$A$1:$G$49, 3,FALSE)</f>
        <v>M</v>
      </c>
      <c r="K61" s="19">
        <f>VLOOKUP(orders!D61,[1]products!$A$1:$G$49, 4,FALSE)</f>
        <v>0.5</v>
      </c>
      <c r="L61" s="19">
        <f>VLOOKUP(orders!D61,[1]products!$A$1:$G$49, 5,FALSE)</f>
        <v>8.73</v>
      </c>
      <c r="M61" s="13">
        <f>PRODUCT(orders!$E61,orders!$L61)</f>
        <v>26.19</v>
      </c>
      <c r="N61" s="18" t="str">
        <f t="shared" si="0"/>
        <v>December</v>
      </c>
      <c r="O61" s="18">
        <f t="shared" si="1"/>
        <v>2021</v>
      </c>
      <c r="P61" s="11" t="str">
        <f>TEXT(orders!$B61, "DDD")</f>
        <v>Tue</v>
      </c>
      <c r="Q61" s="11" t="str">
        <f>VLOOKUP(orders!C61,[1]customers!$A$1:$I$1001, 6,FALSE)</f>
        <v>Saint Paul</v>
      </c>
    </row>
    <row r="62" spans="1:17" x14ac:dyDescent="0.3">
      <c r="A62" s="7" t="s">
        <v>159</v>
      </c>
      <c r="B62" s="8">
        <v>44252</v>
      </c>
      <c r="C62" s="9" t="s">
        <v>160</v>
      </c>
      <c r="D62" s="10" t="s">
        <v>135</v>
      </c>
      <c r="E62" s="9">
        <v>5</v>
      </c>
      <c r="F62" s="9" t="str">
        <f>VLOOKUP(C62,[1]customers!$A$1:$I$1001, 2, FALSE)</f>
        <v>Correy Cottingham</v>
      </c>
      <c r="G62" s="9" t="str">
        <f>VLOOKUP(orders!C62,[1]customers!$A$1:$I$1001, 3, FALSE)</f>
        <v>ccottingham1o@wikipedia.org</v>
      </c>
      <c r="H62" s="9" t="str">
        <f>VLOOKUP(C62, [1]customers!$A$1:$I$1001, 7, FALSE)</f>
        <v>United States</v>
      </c>
      <c r="I62" s="11" t="str">
        <f>VLOOKUP(orders!D62,[1]products!$A$1:$G$49, 2,FALSE)</f>
        <v>Ara</v>
      </c>
      <c r="J62" s="11" t="str">
        <f>VLOOKUP(orders!D62,[1]products!$A$1:$G$49, 3,FALSE)</f>
        <v>D</v>
      </c>
      <c r="K62" s="12">
        <f>VLOOKUP(orders!D62,[1]products!$A$1:$G$49, 4,FALSE)</f>
        <v>2.5</v>
      </c>
      <c r="L62" s="12">
        <f>VLOOKUP(orders!D62,[1]products!$A$1:$G$49, 5,FALSE)</f>
        <v>22.884999999999998</v>
      </c>
      <c r="M62" s="13">
        <f>PRODUCT(orders!$E62,orders!$L62)</f>
        <v>114.42499999999998</v>
      </c>
      <c r="N62" s="11" t="str">
        <f t="shared" si="0"/>
        <v>February</v>
      </c>
      <c r="O62" s="11">
        <f t="shared" si="1"/>
        <v>2021</v>
      </c>
      <c r="P62" s="11" t="str">
        <f>TEXT(orders!$B62, "DDD")</f>
        <v>Thu</v>
      </c>
      <c r="Q62" s="11" t="str">
        <f>VLOOKUP(orders!C62,[1]customers!$A$1:$I$1001, 6,FALSE)</f>
        <v>Fort Wayne</v>
      </c>
    </row>
    <row r="63" spans="1:17" x14ac:dyDescent="0.3">
      <c r="A63" s="14" t="s">
        <v>161</v>
      </c>
      <c r="B63" s="15">
        <v>43521</v>
      </c>
      <c r="C63" s="16" t="s">
        <v>162</v>
      </c>
      <c r="D63" s="17" t="s">
        <v>163</v>
      </c>
      <c r="E63" s="16">
        <v>5</v>
      </c>
      <c r="F63" s="9" t="str">
        <f>VLOOKUP(C63,[1]customers!$A$1:$I$1001, 2, FALSE)</f>
        <v>Pammi Endacott</v>
      </c>
      <c r="G63" s="16">
        <f>VLOOKUP(orders!C63,[1]customers!$A$1:$I$1001, 3, FALSE)</f>
        <v>0</v>
      </c>
      <c r="H63" s="16" t="str">
        <f>VLOOKUP(C63, [1]customers!$A$1:$I$1001, 7, FALSE)</f>
        <v>United Kingdom</v>
      </c>
      <c r="I63" s="18" t="str">
        <f>VLOOKUP(orders!D63,[1]products!$A$1:$G$49, 2,FALSE)</f>
        <v>Rob</v>
      </c>
      <c r="J63" s="18" t="str">
        <f>VLOOKUP(orders!D63,[1]products!$A$1:$G$49, 3,FALSE)</f>
        <v>D</v>
      </c>
      <c r="K63" s="19">
        <f>VLOOKUP(orders!D63,[1]products!$A$1:$G$49, 4,FALSE)</f>
        <v>0.5</v>
      </c>
      <c r="L63" s="19">
        <f>VLOOKUP(orders!D63,[1]products!$A$1:$G$49, 5,FALSE)</f>
        <v>5.3699999999999992</v>
      </c>
      <c r="M63" s="13">
        <f>PRODUCT(orders!$E63,orders!$L63)</f>
        <v>26.849999999999994</v>
      </c>
      <c r="N63" s="18" t="str">
        <f t="shared" si="0"/>
        <v>February</v>
      </c>
      <c r="O63" s="18">
        <f t="shared" si="1"/>
        <v>2019</v>
      </c>
      <c r="P63" s="11" t="str">
        <f>TEXT(orders!$B63, "DDD")</f>
        <v>Mon</v>
      </c>
      <c r="Q63" s="11" t="str">
        <f>VLOOKUP(orders!C63,[1]customers!$A$1:$I$1001, 6,FALSE)</f>
        <v>Wootton</v>
      </c>
    </row>
    <row r="64" spans="1:17" x14ac:dyDescent="0.3">
      <c r="A64" s="7" t="s">
        <v>164</v>
      </c>
      <c r="B64" s="8">
        <v>43505</v>
      </c>
      <c r="C64" s="9" t="s">
        <v>165</v>
      </c>
      <c r="D64" s="10" t="s">
        <v>36</v>
      </c>
      <c r="E64" s="9">
        <v>5</v>
      </c>
      <c r="F64" s="9" t="str">
        <f>VLOOKUP(C64,[1]customers!$A$1:$I$1001, 2, FALSE)</f>
        <v>Nona Linklater</v>
      </c>
      <c r="G64" s="9">
        <f>VLOOKUP(orders!C64,[1]customers!$A$1:$I$1001, 3, FALSE)</f>
        <v>0</v>
      </c>
      <c r="H64" s="9" t="str">
        <f>VLOOKUP(C64, [1]customers!$A$1:$I$1001, 7, FALSE)</f>
        <v>United States</v>
      </c>
      <c r="I64" s="11" t="str">
        <f>VLOOKUP(orders!D64,[1]products!$A$1:$G$49, 2,FALSE)</f>
        <v>Lib</v>
      </c>
      <c r="J64" s="11" t="str">
        <f>VLOOKUP(orders!D64,[1]products!$A$1:$G$49, 3,FALSE)</f>
        <v>L</v>
      </c>
      <c r="K64" s="12">
        <f>VLOOKUP(orders!D64,[1]products!$A$1:$G$49, 4,FALSE)</f>
        <v>0.2</v>
      </c>
      <c r="L64" s="12">
        <f>VLOOKUP(orders!D64,[1]products!$A$1:$G$49, 5,FALSE)</f>
        <v>4.7549999999999999</v>
      </c>
      <c r="M64" s="13">
        <f>PRODUCT(orders!$E64,orders!$L64)</f>
        <v>23.774999999999999</v>
      </c>
      <c r="N64" s="11" t="str">
        <f t="shared" si="0"/>
        <v>February</v>
      </c>
      <c r="O64" s="11">
        <f t="shared" si="1"/>
        <v>2019</v>
      </c>
      <c r="P64" s="11" t="str">
        <f>TEXT(orders!$B64, "DDD")</f>
        <v>Sat</v>
      </c>
      <c r="Q64" s="11" t="str">
        <f>VLOOKUP(orders!C64,[1]customers!$A$1:$I$1001, 6,FALSE)</f>
        <v>Naples</v>
      </c>
    </row>
    <row r="65" spans="1:17" x14ac:dyDescent="0.3">
      <c r="A65" s="14" t="s">
        <v>166</v>
      </c>
      <c r="B65" s="15">
        <v>43868</v>
      </c>
      <c r="C65" s="16" t="s">
        <v>167</v>
      </c>
      <c r="D65" s="17" t="s">
        <v>84</v>
      </c>
      <c r="E65" s="16">
        <v>1</v>
      </c>
      <c r="F65" s="9" t="str">
        <f>VLOOKUP(C65,[1]customers!$A$1:$I$1001, 2, FALSE)</f>
        <v>Annadiane Dykes</v>
      </c>
      <c r="G65" s="16" t="str">
        <f>VLOOKUP(orders!C65,[1]customers!$A$1:$I$1001, 3, FALSE)</f>
        <v>adykes1r@eventbrite.com</v>
      </c>
      <c r="H65" s="16" t="str">
        <f>VLOOKUP(C65, [1]customers!$A$1:$I$1001, 7, FALSE)</f>
        <v>United States</v>
      </c>
      <c r="I65" s="18" t="str">
        <f>VLOOKUP(orders!D65,[1]products!$A$1:$G$49, 2,FALSE)</f>
        <v>Ara</v>
      </c>
      <c r="J65" s="18" t="str">
        <f>VLOOKUP(orders!D65,[1]products!$A$1:$G$49, 3,FALSE)</f>
        <v>M</v>
      </c>
      <c r="K65" s="19">
        <f>VLOOKUP(orders!D65,[1]products!$A$1:$G$49, 4,FALSE)</f>
        <v>0.5</v>
      </c>
      <c r="L65" s="19">
        <f>VLOOKUP(orders!D65,[1]products!$A$1:$G$49, 5,FALSE)</f>
        <v>6.75</v>
      </c>
      <c r="M65" s="13">
        <f>PRODUCT(orders!$E65,orders!$L65)</f>
        <v>6.75</v>
      </c>
      <c r="N65" s="18" t="str">
        <f t="shared" si="0"/>
        <v>February</v>
      </c>
      <c r="O65" s="18">
        <f t="shared" si="1"/>
        <v>2020</v>
      </c>
      <c r="P65" s="11" t="str">
        <f>TEXT(orders!$B65, "DDD")</f>
        <v>Fri</v>
      </c>
      <c r="Q65" s="11" t="str">
        <f>VLOOKUP(orders!C65,[1]customers!$A$1:$I$1001, 6,FALSE)</f>
        <v>Chicago</v>
      </c>
    </row>
    <row r="66" spans="1:17" x14ac:dyDescent="0.3">
      <c r="A66" s="7" t="s">
        <v>168</v>
      </c>
      <c r="B66" s="8">
        <v>43913</v>
      </c>
      <c r="C66" s="9" t="s">
        <v>169</v>
      </c>
      <c r="D66" s="10" t="s">
        <v>39</v>
      </c>
      <c r="E66" s="9">
        <v>6</v>
      </c>
      <c r="F66" s="9" t="str">
        <f>VLOOKUP(C66,[1]customers!$A$1:$I$1001, 2, FALSE)</f>
        <v>Felecia Dodgson</v>
      </c>
      <c r="G66" s="9">
        <f>VLOOKUP(orders!C66,[1]customers!$A$1:$I$1001, 3, FALSE)</f>
        <v>0</v>
      </c>
      <c r="H66" s="9" t="str">
        <f>VLOOKUP(C66, [1]customers!$A$1:$I$1001, 7, FALSE)</f>
        <v>United States</v>
      </c>
      <c r="I66" s="11" t="str">
        <f>VLOOKUP(orders!D66,[1]products!$A$1:$G$49, 2,FALSE)</f>
        <v>Rob</v>
      </c>
      <c r="J66" s="11" t="str">
        <f>VLOOKUP(orders!D66,[1]products!$A$1:$G$49, 3,FALSE)</f>
        <v>M</v>
      </c>
      <c r="K66" s="12">
        <f>VLOOKUP(orders!D66,[1]products!$A$1:$G$49, 4,FALSE)</f>
        <v>0.5</v>
      </c>
      <c r="L66" s="12">
        <f>VLOOKUP(orders!D66,[1]products!$A$1:$G$49, 5,FALSE)</f>
        <v>5.97</v>
      </c>
      <c r="M66" s="13">
        <f>PRODUCT(orders!$E66,orders!$L66)</f>
        <v>35.82</v>
      </c>
      <c r="N66" s="11" t="str">
        <f t="shared" ref="N66:N129" si="2">TEXT(B66, "mmmm")</f>
        <v>March</v>
      </c>
      <c r="O66" s="11">
        <f t="shared" ref="O66:O129" si="3">YEAR(B66)</f>
        <v>2020</v>
      </c>
      <c r="P66" s="11" t="str">
        <f>TEXT(orders!$B66, "DDD")</f>
        <v>Mon</v>
      </c>
      <c r="Q66" s="11" t="str">
        <f>VLOOKUP(orders!C66,[1]customers!$A$1:$I$1001, 6,FALSE)</f>
        <v>Newark</v>
      </c>
    </row>
    <row r="67" spans="1:17" x14ac:dyDescent="0.3">
      <c r="A67" s="14" t="s">
        <v>170</v>
      </c>
      <c r="B67" s="15">
        <v>44626</v>
      </c>
      <c r="C67" s="16" t="s">
        <v>171</v>
      </c>
      <c r="D67" s="17" t="s">
        <v>52</v>
      </c>
      <c r="E67" s="16">
        <v>4</v>
      </c>
      <c r="F67" s="9" t="str">
        <f>VLOOKUP(C67,[1]customers!$A$1:$I$1001, 2, FALSE)</f>
        <v>Angelia Cockrem</v>
      </c>
      <c r="G67" s="16" t="str">
        <f>VLOOKUP(orders!C67,[1]customers!$A$1:$I$1001, 3, FALSE)</f>
        <v>acockrem1t@engadget.com</v>
      </c>
      <c r="H67" s="16" t="str">
        <f>VLOOKUP(C67, [1]customers!$A$1:$I$1001, 7, FALSE)</f>
        <v>United States</v>
      </c>
      <c r="I67" s="18" t="str">
        <f>VLOOKUP(orders!D67,[1]products!$A$1:$G$49, 2,FALSE)</f>
        <v>Rob</v>
      </c>
      <c r="J67" s="18" t="str">
        <f>VLOOKUP(orders!D67,[1]products!$A$1:$G$49, 3,FALSE)</f>
        <v>D</v>
      </c>
      <c r="K67" s="19">
        <f>VLOOKUP(orders!D67,[1]products!$A$1:$G$49, 4,FALSE)</f>
        <v>2.5</v>
      </c>
      <c r="L67" s="19">
        <f>VLOOKUP(orders!D67,[1]products!$A$1:$G$49, 5,FALSE)</f>
        <v>20.584999999999997</v>
      </c>
      <c r="M67" s="13">
        <f>PRODUCT(orders!$E67,orders!$L67)</f>
        <v>82.339999999999989</v>
      </c>
      <c r="N67" s="18" t="str">
        <f t="shared" si="2"/>
        <v>March</v>
      </c>
      <c r="O67" s="18">
        <f t="shared" si="3"/>
        <v>2022</v>
      </c>
      <c r="P67" s="11" t="str">
        <f>TEXT(orders!$B67, "DDD")</f>
        <v>Sun</v>
      </c>
      <c r="Q67" s="11" t="str">
        <f>VLOOKUP(orders!C67,[1]customers!$A$1:$I$1001, 6,FALSE)</f>
        <v>Vienna</v>
      </c>
    </row>
    <row r="68" spans="1:17" x14ac:dyDescent="0.3">
      <c r="A68" s="7" t="s">
        <v>172</v>
      </c>
      <c r="B68" s="8">
        <v>44666</v>
      </c>
      <c r="C68" s="9" t="s">
        <v>173</v>
      </c>
      <c r="D68" s="10" t="s">
        <v>174</v>
      </c>
      <c r="E68" s="9">
        <v>1</v>
      </c>
      <c r="F68" s="9" t="str">
        <f>VLOOKUP(C68,[1]customers!$A$1:$I$1001, 2, FALSE)</f>
        <v>Belvia Umpleby</v>
      </c>
      <c r="G68" s="9" t="str">
        <f>VLOOKUP(orders!C68,[1]customers!$A$1:$I$1001, 3, FALSE)</f>
        <v>bumpleby1u@soundcloud.com</v>
      </c>
      <c r="H68" s="9" t="str">
        <f>VLOOKUP(C68, [1]customers!$A$1:$I$1001, 7, FALSE)</f>
        <v>United States</v>
      </c>
      <c r="I68" s="11" t="str">
        <f>VLOOKUP(orders!D68,[1]products!$A$1:$G$49, 2,FALSE)</f>
        <v>Rob</v>
      </c>
      <c r="J68" s="11" t="str">
        <f>VLOOKUP(orders!D68,[1]products!$A$1:$G$49, 3,FALSE)</f>
        <v>L</v>
      </c>
      <c r="K68" s="12">
        <f>VLOOKUP(orders!D68,[1]products!$A$1:$G$49, 4,FALSE)</f>
        <v>0.5</v>
      </c>
      <c r="L68" s="12">
        <f>VLOOKUP(orders!D68,[1]products!$A$1:$G$49, 5,FALSE)</f>
        <v>7.169999999999999</v>
      </c>
      <c r="M68" s="13">
        <f>PRODUCT(orders!$E68,orders!$L68)</f>
        <v>7.169999999999999</v>
      </c>
      <c r="N68" s="11" t="str">
        <f t="shared" si="2"/>
        <v>April</v>
      </c>
      <c r="O68" s="11">
        <f t="shared" si="3"/>
        <v>2022</v>
      </c>
      <c r="P68" s="11" t="str">
        <f>TEXT(orders!$B68, "DDD")</f>
        <v>Fri</v>
      </c>
      <c r="Q68" s="11" t="str">
        <f>VLOOKUP(orders!C68,[1]customers!$A$1:$I$1001, 6,FALSE)</f>
        <v>Fort Worth</v>
      </c>
    </row>
    <row r="69" spans="1:17" x14ac:dyDescent="0.3">
      <c r="A69" s="14" t="s">
        <v>175</v>
      </c>
      <c r="B69" s="15">
        <v>44519</v>
      </c>
      <c r="C69" s="16" t="s">
        <v>176</v>
      </c>
      <c r="D69" s="17" t="s">
        <v>36</v>
      </c>
      <c r="E69" s="16">
        <v>2</v>
      </c>
      <c r="F69" s="9" t="str">
        <f>VLOOKUP(C69,[1]customers!$A$1:$I$1001, 2, FALSE)</f>
        <v>Nat Saleway</v>
      </c>
      <c r="G69" s="16" t="str">
        <f>VLOOKUP(orders!C69,[1]customers!$A$1:$I$1001, 3, FALSE)</f>
        <v>nsaleway1v@dedecms.com</v>
      </c>
      <c r="H69" s="16" t="str">
        <f>VLOOKUP(C69, [1]customers!$A$1:$I$1001, 7, FALSE)</f>
        <v>United States</v>
      </c>
      <c r="I69" s="18" t="str">
        <f>VLOOKUP(orders!D69,[1]products!$A$1:$G$49, 2,FALSE)</f>
        <v>Lib</v>
      </c>
      <c r="J69" s="18" t="str">
        <f>VLOOKUP(orders!D69,[1]products!$A$1:$G$49, 3,FALSE)</f>
        <v>L</v>
      </c>
      <c r="K69" s="19">
        <f>VLOOKUP(orders!D69,[1]products!$A$1:$G$49, 4,FALSE)</f>
        <v>0.2</v>
      </c>
      <c r="L69" s="19">
        <f>VLOOKUP(orders!D69,[1]products!$A$1:$G$49, 5,FALSE)</f>
        <v>4.7549999999999999</v>
      </c>
      <c r="M69" s="13">
        <f>PRODUCT(orders!$E69,orders!$L69)</f>
        <v>9.51</v>
      </c>
      <c r="N69" s="18" t="str">
        <f t="shared" si="2"/>
        <v>November</v>
      </c>
      <c r="O69" s="18">
        <f t="shared" si="3"/>
        <v>2021</v>
      </c>
      <c r="P69" s="11" t="str">
        <f>TEXT(orders!$B69, "DDD")</f>
        <v>Fri</v>
      </c>
      <c r="Q69" s="11" t="str">
        <f>VLOOKUP(orders!C69,[1]customers!$A$1:$I$1001, 6,FALSE)</f>
        <v>Burbank</v>
      </c>
    </row>
    <row r="70" spans="1:17" x14ac:dyDescent="0.3">
      <c r="A70" s="7" t="s">
        <v>177</v>
      </c>
      <c r="B70" s="8">
        <v>43754</v>
      </c>
      <c r="C70" s="9" t="s">
        <v>178</v>
      </c>
      <c r="D70" s="10" t="s">
        <v>179</v>
      </c>
      <c r="E70" s="9">
        <v>1</v>
      </c>
      <c r="F70" s="9" t="str">
        <f>VLOOKUP(C70,[1]customers!$A$1:$I$1001, 2, FALSE)</f>
        <v>Hayward Goulter</v>
      </c>
      <c r="G70" s="9" t="str">
        <f>VLOOKUP(orders!C70,[1]customers!$A$1:$I$1001, 3, FALSE)</f>
        <v>hgoulter1w@abc.net.au</v>
      </c>
      <c r="H70" s="9" t="str">
        <f>VLOOKUP(C70, [1]customers!$A$1:$I$1001, 7, FALSE)</f>
        <v>United States</v>
      </c>
      <c r="I70" s="11" t="str">
        <f>VLOOKUP(orders!D70,[1]products!$A$1:$G$49, 2,FALSE)</f>
        <v>Rob</v>
      </c>
      <c r="J70" s="11" t="str">
        <f>VLOOKUP(orders!D70,[1]products!$A$1:$G$49, 3,FALSE)</f>
        <v>M</v>
      </c>
      <c r="K70" s="12">
        <f>VLOOKUP(orders!D70,[1]products!$A$1:$G$49, 4,FALSE)</f>
        <v>0.2</v>
      </c>
      <c r="L70" s="12">
        <f>VLOOKUP(orders!D70,[1]products!$A$1:$G$49, 5,FALSE)</f>
        <v>2.9849999999999999</v>
      </c>
      <c r="M70" s="13">
        <f>PRODUCT(orders!$E70,orders!$L70)</f>
        <v>2.9849999999999999</v>
      </c>
      <c r="N70" s="11" t="str">
        <f t="shared" si="2"/>
        <v>October</v>
      </c>
      <c r="O70" s="11">
        <f t="shared" si="3"/>
        <v>2019</v>
      </c>
      <c r="P70" s="11" t="str">
        <f>TEXT(orders!$B70, "DDD")</f>
        <v>Wed</v>
      </c>
      <c r="Q70" s="11" t="str">
        <f>VLOOKUP(orders!C70,[1]customers!$A$1:$I$1001, 6,FALSE)</f>
        <v>Kingsport</v>
      </c>
    </row>
    <row r="71" spans="1:17" x14ac:dyDescent="0.3">
      <c r="A71" s="14" t="s">
        <v>180</v>
      </c>
      <c r="B71" s="15">
        <v>43795</v>
      </c>
      <c r="C71" s="16" t="s">
        <v>181</v>
      </c>
      <c r="D71" s="17" t="s">
        <v>19</v>
      </c>
      <c r="E71" s="16">
        <v>6</v>
      </c>
      <c r="F71" s="9" t="str">
        <f>VLOOKUP(C71,[1]customers!$A$1:$I$1001, 2, FALSE)</f>
        <v>Gay Rizzello</v>
      </c>
      <c r="G71" s="16" t="str">
        <f>VLOOKUP(orders!C71,[1]customers!$A$1:$I$1001, 3, FALSE)</f>
        <v>grizzello1x@symantec.com</v>
      </c>
      <c r="H71" s="16" t="str">
        <f>VLOOKUP(C71, [1]customers!$A$1:$I$1001, 7, FALSE)</f>
        <v>United Kingdom</v>
      </c>
      <c r="I71" s="18" t="str">
        <f>VLOOKUP(orders!D71,[1]products!$A$1:$G$49, 2,FALSE)</f>
        <v>Rob</v>
      </c>
      <c r="J71" s="18" t="str">
        <f>VLOOKUP(orders!D71,[1]products!$A$1:$G$49, 3,FALSE)</f>
        <v>M</v>
      </c>
      <c r="K71" s="19">
        <f>VLOOKUP(orders!D71,[1]products!$A$1:$G$49, 4,FALSE)</f>
        <v>1</v>
      </c>
      <c r="L71" s="19">
        <f>VLOOKUP(orders!D71,[1]products!$A$1:$G$49, 5,FALSE)</f>
        <v>9.9499999999999993</v>
      </c>
      <c r="M71" s="13">
        <f>PRODUCT(orders!$E71,orders!$L71)</f>
        <v>59.699999999999996</v>
      </c>
      <c r="N71" s="18" t="str">
        <f t="shared" si="2"/>
        <v>November</v>
      </c>
      <c r="O71" s="18">
        <f t="shared" si="3"/>
        <v>2019</v>
      </c>
      <c r="P71" s="11" t="str">
        <f>TEXT(orders!$B71, "DDD")</f>
        <v>Tue</v>
      </c>
      <c r="Q71" s="11" t="str">
        <f>VLOOKUP(orders!C71,[1]customers!$A$1:$I$1001, 6,FALSE)</f>
        <v>Liverpool</v>
      </c>
    </row>
    <row r="72" spans="1:17" x14ac:dyDescent="0.3">
      <c r="A72" s="7" t="s">
        <v>182</v>
      </c>
      <c r="B72" s="8">
        <v>43646</v>
      </c>
      <c r="C72" s="9" t="s">
        <v>183</v>
      </c>
      <c r="D72" s="10" t="s">
        <v>47</v>
      </c>
      <c r="E72" s="9">
        <v>4</v>
      </c>
      <c r="F72" s="9" t="str">
        <f>VLOOKUP(C72,[1]customers!$A$1:$I$1001, 2, FALSE)</f>
        <v>Shannon List</v>
      </c>
      <c r="G72" s="9" t="str">
        <f>VLOOKUP(orders!C72,[1]customers!$A$1:$I$1001, 3, FALSE)</f>
        <v>slist1y@mapquest.com</v>
      </c>
      <c r="H72" s="9" t="str">
        <f>VLOOKUP(C72, [1]customers!$A$1:$I$1001, 7, FALSE)</f>
        <v>United States</v>
      </c>
      <c r="I72" s="11" t="str">
        <f>VLOOKUP(orders!D72,[1]products!$A$1:$G$49, 2,FALSE)</f>
        <v>Exc</v>
      </c>
      <c r="J72" s="11" t="str">
        <f>VLOOKUP(orders!D72,[1]products!$A$1:$G$49, 3,FALSE)</f>
        <v>L</v>
      </c>
      <c r="K72" s="12">
        <f>VLOOKUP(orders!D72,[1]products!$A$1:$G$49, 4,FALSE)</f>
        <v>2.5</v>
      </c>
      <c r="L72" s="12">
        <f>VLOOKUP(orders!D72,[1]products!$A$1:$G$49, 5,FALSE)</f>
        <v>34.154999999999994</v>
      </c>
      <c r="M72" s="13">
        <f>PRODUCT(orders!$E72,orders!$L72)</f>
        <v>136.61999999999998</v>
      </c>
      <c r="N72" s="11" t="str">
        <f t="shared" si="2"/>
        <v>June</v>
      </c>
      <c r="O72" s="11">
        <f t="shared" si="3"/>
        <v>2019</v>
      </c>
      <c r="P72" s="11" t="str">
        <f>TEXT(orders!$B72, "DDD")</f>
        <v>Sun</v>
      </c>
      <c r="Q72" s="11" t="str">
        <f>VLOOKUP(orders!C72,[1]customers!$A$1:$I$1001, 6,FALSE)</f>
        <v>Columbus</v>
      </c>
    </row>
    <row r="73" spans="1:17" x14ac:dyDescent="0.3">
      <c r="A73" s="14" t="s">
        <v>184</v>
      </c>
      <c r="B73" s="15">
        <v>44200</v>
      </c>
      <c r="C73" s="16" t="s">
        <v>185</v>
      </c>
      <c r="D73" s="17" t="s">
        <v>36</v>
      </c>
      <c r="E73" s="16">
        <v>2</v>
      </c>
      <c r="F73" s="9" t="str">
        <f>VLOOKUP(C73,[1]customers!$A$1:$I$1001, 2, FALSE)</f>
        <v>Shirlene Edmondson</v>
      </c>
      <c r="G73" s="16" t="str">
        <f>VLOOKUP(orders!C73,[1]customers!$A$1:$I$1001, 3, FALSE)</f>
        <v>sedmondson1z@theguardian.com</v>
      </c>
      <c r="H73" s="16" t="str">
        <f>VLOOKUP(C73, [1]customers!$A$1:$I$1001, 7, FALSE)</f>
        <v>Ireland</v>
      </c>
      <c r="I73" s="18" t="str">
        <f>VLOOKUP(orders!D73,[1]products!$A$1:$G$49, 2,FALSE)</f>
        <v>Lib</v>
      </c>
      <c r="J73" s="18" t="str">
        <f>VLOOKUP(orders!D73,[1]products!$A$1:$G$49, 3,FALSE)</f>
        <v>L</v>
      </c>
      <c r="K73" s="19">
        <f>VLOOKUP(orders!D73,[1]products!$A$1:$G$49, 4,FALSE)</f>
        <v>0.2</v>
      </c>
      <c r="L73" s="19">
        <f>VLOOKUP(orders!D73,[1]products!$A$1:$G$49, 5,FALSE)</f>
        <v>4.7549999999999999</v>
      </c>
      <c r="M73" s="13">
        <f>PRODUCT(orders!$E73,orders!$L73)</f>
        <v>9.51</v>
      </c>
      <c r="N73" s="18" t="str">
        <f t="shared" si="2"/>
        <v>January</v>
      </c>
      <c r="O73" s="18">
        <f t="shared" si="3"/>
        <v>2021</v>
      </c>
      <c r="P73" s="11" t="str">
        <f>TEXT(orders!$B73, "DDD")</f>
        <v>Mon</v>
      </c>
      <c r="Q73" s="11" t="str">
        <f>VLOOKUP(orders!C73,[1]customers!$A$1:$I$1001, 6,FALSE)</f>
        <v>Newmarket on Fergus</v>
      </c>
    </row>
    <row r="74" spans="1:17" x14ac:dyDescent="0.3">
      <c r="A74" s="7" t="s">
        <v>186</v>
      </c>
      <c r="B74" s="8">
        <v>44131</v>
      </c>
      <c r="C74" s="9" t="s">
        <v>187</v>
      </c>
      <c r="D74" s="10" t="s">
        <v>188</v>
      </c>
      <c r="E74" s="9">
        <v>3</v>
      </c>
      <c r="F74" s="9" t="str">
        <f>VLOOKUP(C74,[1]customers!$A$1:$I$1001, 2, FALSE)</f>
        <v>Aurlie McCarl</v>
      </c>
      <c r="G74" s="9">
        <f>VLOOKUP(orders!C74,[1]customers!$A$1:$I$1001, 3, FALSE)</f>
        <v>0</v>
      </c>
      <c r="H74" s="9" t="str">
        <f>VLOOKUP(C74, [1]customers!$A$1:$I$1001, 7, FALSE)</f>
        <v>United States</v>
      </c>
      <c r="I74" s="11" t="str">
        <f>VLOOKUP(orders!D74,[1]products!$A$1:$G$49, 2,FALSE)</f>
        <v>Ara</v>
      </c>
      <c r="J74" s="11" t="str">
        <f>VLOOKUP(orders!D74,[1]products!$A$1:$G$49, 3,FALSE)</f>
        <v>M</v>
      </c>
      <c r="K74" s="12">
        <f>VLOOKUP(orders!D74,[1]products!$A$1:$G$49, 4,FALSE)</f>
        <v>2.5</v>
      </c>
      <c r="L74" s="12">
        <f>VLOOKUP(orders!D74,[1]products!$A$1:$G$49, 5,FALSE)</f>
        <v>25.874999999999996</v>
      </c>
      <c r="M74" s="13">
        <f>PRODUCT(orders!$E74,orders!$L74)</f>
        <v>77.624999999999986</v>
      </c>
      <c r="N74" s="11" t="str">
        <f t="shared" si="2"/>
        <v>October</v>
      </c>
      <c r="O74" s="11">
        <f t="shared" si="3"/>
        <v>2020</v>
      </c>
      <c r="P74" s="11" t="str">
        <f>TEXT(orders!$B74, "DDD")</f>
        <v>Tue</v>
      </c>
      <c r="Q74" s="11" t="str">
        <f>VLOOKUP(orders!C74,[1]customers!$A$1:$I$1001, 6,FALSE)</f>
        <v>New Orleans</v>
      </c>
    </row>
    <row r="75" spans="1:17" x14ac:dyDescent="0.3">
      <c r="A75" s="14" t="s">
        <v>189</v>
      </c>
      <c r="B75" s="15">
        <v>44362</v>
      </c>
      <c r="C75" s="16" t="s">
        <v>190</v>
      </c>
      <c r="D75" s="17" t="s">
        <v>94</v>
      </c>
      <c r="E75" s="16">
        <v>5</v>
      </c>
      <c r="F75" s="9" t="str">
        <f>VLOOKUP(C75,[1]customers!$A$1:$I$1001, 2, FALSE)</f>
        <v>Alikee Carryer</v>
      </c>
      <c r="G75" s="16">
        <f>VLOOKUP(orders!C75,[1]customers!$A$1:$I$1001, 3, FALSE)</f>
        <v>0</v>
      </c>
      <c r="H75" s="16" t="str">
        <f>VLOOKUP(C75, [1]customers!$A$1:$I$1001, 7, FALSE)</f>
        <v>United States</v>
      </c>
      <c r="I75" s="18" t="str">
        <f>VLOOKUP(orders!D75,[1]products!$A$1:$G$49, 2,FALSE)</f>
        <v>Lib</v>
      </c>
      <c r="J75" s="18" t="str">
        <f>VLOOKUP(orders!D75,[1]products!$A$1:$G$49, 3,FALSE)</f>
        <v>M</v>
      </c>
      <c r="K75" s="19">
        <f>VLOOKUP(orders!D75,[1]products!$A$1:$G$49, 4,FALSE)</f>
        <v>0.2</v>
      </c>
      <c r="L75" s="19">
        <f>VLOOKUP(orders!D75,[1]products!$A$1:$G$49, 5,FALSE)</f>
        <v>4.3650000000000002</v>
      </c>
      <c r="M75" s="13">
        <f>PRODUCT(orders!$E75,orders!$L75)</f>
        <v>21.825000000000003</v>
      </c>
      <c r="N75" s="18" t="str">
        <f t="shared" si="2"/>
        <v>June</v>
      </c>
      <c r="O75" s="18">
        <f t="shared" si="3"/>
        <v>2021</v>
      </c>
      <c r="P75" s="11" t="str">
        <f>TEXT(orders!$B75, "DDD")</f>
        <v>Tue</v>
      </c>
      <c r="Q75" s="11" t="str">
        <f>VLOOKUP(orders!C75,[1]customers!$A$1:$I$1001, 6,FALSE)</f>
        <v>Charlotte</v>
      </c>
    </row>
    <row r="76" spans="1:17" x14ac:dyDescent="0.3">
      <c r="A76" s="7" t="s">
        <v>191</v>
      </c>
      <c r="B76" s="8">
        <v>44396</v>
      </c>
      <c r="C76" s="9" t="s">
        <v>192</v>
      </c>
      <c r="D76" s="10" t="s">
        <v>193</v>
      </c>
      <c r="E76" s="9">
        <v>2</v>
      </c>
      <c r="F76" s="9" t="str">
        <f>VLOOKUP(C76,[1]customers!$A$1:$I$1001, 2, FALSE)</f>
        <v>Jennifer Rangall</v>
      </c>
      <c r="G76" s="9" t="str">
        <f>VLOOKUP(orders!C76,[1]customers!$A$1:$I$1001, 3, FALSE)</f>
        <v>jrangall22@newsvine.com</v>
      </c>
      <c r="H76" s="9" t="str">
        <f>VLOOKUP(C76, [1]customers!$A$1:$I$1001, 7, FALSE)</f>
        <v>United States</v>
      </c>
      <c r="I76" s="11" t="str">
        <f>VLOOKUP(orders!D76,[1]products!$A$1:$G$49, 2,FALSE)</f>
        <v>Exc</v>
      </c>
      <c r="J76" s="11" t="str">
        <f>VLOOKUP(orders!D76,[1]products!$A$1:$G$49, 3,FALSE)</f>
        <v>L</v>
      </c>
      <c r="K76" s="12">
        <f>VLOOKUP(orders!D76,[1]products!$A$1:$G$49, 4,FALSE)</f>
        <v>0.5</v>
      </c>
      <c r="L76" s="12">
        <f>VLOOKUP(orders!D76,[1]products!$A$1:$G$49, 5,FALSE)</f>
        <v>8.91</v>
      </c>
      <c r="M76" s="13">
        <f>PRODUCT(orders!$E76,orders!$L76)</f>
        <v>17.82</v>
      </c>
      <c r="N76" s="11" t="str">
        <f t="shared" si="2"/>
        <v>July</v>
      </c>
      <c r="O76" s="11">
        <f t="shared" si="3"/>
        <v>2021</v>
      </c>
      <c r="P76" s="11" t="str">
        <f>TEXT(orders!$B76, "DDD")</f>
        <v>Mon</v>
      </c>
      <c r="Q76" s="11" t="str">
        <f>VLOOKUP(orders!C76,[1]customers!$A$1:$I$1001, 6,FALSE)</f>
        <v>Springfield</v>
      </c>
    </row>
    <row r="77" spans="1:17" x14ac:dyDescent="0.3">
      <c r="A77" s="14" t="s">
        <v>194</v>
      </c>
      <c r="B77" s="15">
        <v>44400</v>
      </c>
      <c r="C77" s="16" t="s">
        <v>195</v>
      </c>
      <c r="D77" s="17" t="s">
        <v>196</v>
      </c>
      <c r="E77" s="16">
        <v>6</v>
      </c>
      <c r="F77" s="9" t="str">
        <f>VLOOKUP(C77,[1]customers!$A$1:$I$1001, 2, FALSE)</f>
        <v>Kipper Boorn</v>
      </c>
      <c r="G77" s="16" t="str">
        <f>VLOOKUP(orders!C77,[1]customers!$A$1:$I$1001, 3, FALSE)</f>
        <v>kboorn23@ezinearticles.com</v>
      </c>
      <c r="H77" s="16" t="str">
        <f>VLOOKUP(C77, [1]customers!$A$1:$I$1001, 7, FALSE)</f>
        <v>Ireland</v>
      </c>
      <c r="I77" s="18" t="str">
        <f>VLOOKUP(orders!D77,[1]products!$A$1:$G$49, 2,FALSE)</f>
        <v>Rob</v>
      </c>
      <c r="J77" s="18" t="str">
        <f>VLOOKUP(orders!D77,[1]products!$A$1:$G$49, 3,FALSE)</f>
        <v>D</v>
      </c>
      <c r="K77" s="19">
        <f>VLOOKUP(orders!D77,[1]products!$A$1:$G$49, 4,FALSE)</f>
        <v>1</v>
      </c>
      <c r="L77" s="19">
        <f>VLOOKUP(orders!D77,[1]products!$A$1:$G$49, 5,FALSE)</f>
        <v>8.9499999999999993</v>
      </c>
      <c r="M77" s="13">
        <f>PRODUCT(orders!$E77,orders!$L77)</f>
        <v>53.699999999999996</v>
      </c>
      <c r="N77" s="18" t="str">
        <f t="shared" si="2"/>
        <v>July</v>
      </c>
      <c r="O77" s="18">
        <f t="shared" si="3"/>
        <v>2021</v>
      </c>
      <c r="P77" s="11" t="str">
        <f>TEXT(orders!$B77, "DDD")</f>
        <v>Fri</v>
      </c>
      <c r="Q77" s="11" t="str">
        <f>VLOOKUP(orders!C77,[1]customers!$A$1:$I$1001, 6,FALSE)</f>
        <v>Listowel</v>
      </c>
    </row>
    <row r="78" spans="1:17" x14ac:dyDescent="0.3">
      <c r="A78" s="7" t="s">
        <v>197</v>
      </c>
      <c r="B78" s="8">
        <v>43855</v>
      </c>
      <c r="C78" s="9" t="s">
        <v>198</v>
      </c>
      <c r="D78" s="10" t="s">
        <v>199</v>
      </c>
      <c r="E78" s="9">
        <v>1</v>
      </c>
      <c r="F78" s="9" t="str">
        <f>VLOOKUP(C78,[1]customers!$A$1:$I$1001, 2, FALSE)</f>
        <v>Melania Beadle</v>
      </c>
      <c r="G78" s="9">
        <f>VLOOKUP(orders!C78,[1]customers!$A$1:$I$1001, 3, FALSE)</f>
        <v>0</v>
      </c>
      <c r="H78" s="9" t="str">
        <f>VLOOKUP(C78, [1]customers!$A$1:$I$1001, 7, FALSE)</f>
        <v>Ireland</v>
      </c>
      <c r="I78" s="11" t="str">
        <f>VLOOKUP(orders!D78,[1]products!$A$1:$G$49, 2,FALSE)</f>
        <v>Rob</v>
      </c>
      <c r="J78" s="11" t="str">
        <f>VLOOKUP(orders!D78,[1]products!$A$1:$G$49, 3,FALSE)</f>
        <v>L</v>
      </c>
      <c r="K78" s="12">
        <f>VLOOKUP(orders!D78,[1]products!$A$1:$G$49, 4,FALSE)</f>
        <v>0.2</v>
      </c>
      <c r="L78" s="12">
        <f>VLOOKUP(orders!D78,[1]products!$A$1:$G$49, 5,FALSE)</f>
        <v>3.5849999999999995</v>
      </c>
      <c r="M78" s="13">
        <f>PRODUCT(orders!$E78,orders!$L78)</f>
        <v>3.5849999999999995</v>
      </c>
      <c r="N78" s="11" t="str">
        <f t="shared" si="2"/>
        <v>January</v>
      </c>
      <c r="O78" s="11">
        <f t="shared" si="3"/>
        <v>2020</v>
      </c>
      <c r="P78" s="11" t="str">
        <f>TEXT(orders!$B78, "DDD")</f>
        <v>Sat</v>
      </c>
      <c r="Q78" s="11" t="str">
        <f>VLOOKUP(orders!C78,[1]customers!$A$1:$I$1001, 6,FALSE)</f>
        <v>Moycullen</v>
      </c>
    </row>
    <row r="79" spans="1:17" x14ac:dyDescent="0.3">
      <c r="A79" s="14" t="s">
        <v>200</v>
      </c>
      <c r="B79" s="15">
        <v>43594</v>
      </c>
      <c r="C79" s="16" t="s">
        <v>201</v>
      </c>
      <c r="D79" s="17" t="s">
        <v>68</v>
      </c>
      <c r="E79" s="16">
        <v>2</v>
      </c>
      <c r="F79" s="9" t="str">
        <f>VLOOKUP(C79,[1]customers!$A$1:$I$1001, 2, FALSE)</f>
        <v>Colene Elgey</v>
      </c>
      <c r="G79" s="16" t="str">
        <f>VLOOKUP(orders!C79,[1]customers!$A$1:$I$1001, 3, FALSE)</f>
        <v>celgey25@webs.com</v>
      </c>
      <c r="H79" s="16" t="str">
        <f>VLOOKUP(C79, [1]customers!$A$1:$I$1001, 7, FALSE)</f>
        <v>United States</v>
      </c>
      <c r="I79" s="18" t="str">
        <f>VLOOKUP(orders!D79,[1]products!$A$1:$G$49, 2,FALSE)</f>
        <v>Exc</v>
      </c>
      <c r="J79" s="18" t="str">
        <f>VLOOKUP(orders!D79,[1]products!$A$1:$G$49, 3,FALSE)</f>
        <v>D</v>
      </c>
      <c r="K79" s="19">
        <f>VLOOKUP(orders!D79,[1]products!$A$1:$G$49, 4,FALSE)</f>
        <v>0.2</v>
      </c>
      <c r="L79" s="19">
        <f>VLOOKUP(orders!D79,[1]products!$A$1:$G$49, 5,FALSE)</f>
        <v>3.645</v>
      </c>
      <c r="M79" s="13">
        <f>PRODUCT(orders!$E79,orders!$L79)</f>
        <v>7.29</v>
      </c>
      <c r="N79" s="18" t="str">
        <f t="shared" si="2"/>
        <v>May</v>
      </c>
      <c r="O79" s="18">
        <f t="shared" si="3"/>
        <v>2019</v>
      </c>
      <c r="P79" s="11" t="str">
        <f>TEXT(orders!$B79, "DDD")</f>
        <v>Thu</v>
      </c>
      <c r="Q79" s="11" t="str">
        <f>VLOOKUP(orders!C79,[1]customers!$A$1:$I$1001, 6,FALSE)</f>
        <v>Midland</v>
      </c>
    </row>
    <row r="80" spans="1:17" x14ac:dyDescent="0.3">
      <c r="A80" s="7" t="s">
        <v>202</v>
      </c>
      <c r="B80" s="8">
        <v>43920</v>
      </c>
      <c r="C80" s="9" t="s">
        <v>203</v>
      </c>
      <c r="D80" s="10" t="s">
        <v>84</v>
      </c>
      <c r="E80" s="9">
        <v>6</v>
      </c>
      <c r="F80" s="9" t="str">
        <f>VLOOKUP(C80,[1]customers!$A$1:$I$1001, 2, FALSE)</f>
        <v>Lothaire Mizzi</v>
      </c>
      <c r="G80" s="9" t="str">
        <f>VLOOKUP(orders!C80,[1]customers!$A$1:$I$1001, 3, FALSE)</f>
        <v>lmizzi26@rakuten.co.jp</v>
      </c>
      <c r="H80" s="9" t="str">
        <f>VLOOKUP(C80, [1]customers!$A$1:$I$1001, 7, FALSE)</f>
        <v>United States</v>
      </c>
      <c r="I80" s="11" t="str">
        <f>VLOOKUP(orders!D80,[1]products!$A$1:$G$49, 2,FALSE)</f>
        <v>Ara</v>
      </c>
      <c r="J80" s="11" t="str">
        <f>VLOOKUP(orders!D80,[1]products!$A$1:$G$49, 3,FALSE)</f>
        <v>M</v>
      </c>
      <c r="K80" s="12">
        <f>VLOOKUP(orders!D80,[1]products!$A$1:$G$49, 4,FALSE)</f>
        <v>0.5</v>
      </c>
      <c r="L80" s="12">
        <f>VLOOKUP(orders!D80,[1]products!$A$1:$G$49, 5,FALSE)</f>
        <v>6.75</v>
      </c>
      <c r="M80" s="13">
        <f>PRODUCT(orders!$E80,orders!$L80)</f>
        <v>40.5</v>
      </c>
      <c r="N80" s="11" t="str">
        <f t="shared" si="2"/>
        <v>March</v>
      </c>
      <c r="O80" s="11">
        <f t="shared" si="3"/>
        <v>2020</v>
      </c>
      <c r="P80" s="11" t="str">
        <f>TEXT(orders!$B80, "DDD")</f>
        <v>Mon</v>
      </c>
      <c r="Q80" s="11" t="str">
        <f>VLOOKUP(orders!C80,[1]customers!$A$1:$I$1001, 6,FALSE)</f>
        <v>Dallas</v>
      </c>
    </row>
    <row r="81" spans="1:17" x14ac:dyDescent="0.3">
      <c r="A81" s="14" t="s">
        <v>204</v>
      </c>
      <c r="B81" s="15">
        <v>44633</v>
      </c>
      <c r="C81" s="16" t="s">
        <v>205</v>
      </c>
      <c r="D81" s="17" t="s">
        <v>206</v>
      </c>
      <c r="E81" s="16">
        <v>4</v>
      </c>
      <c r="F81" s="9" t="str">
        <f>VLOOKUP(C81,[1]customers!$A$1:$I$1001, 2, FALSE)</f>
        <v>Cletis Giacomazzo</v>
      </c>
      <c r="G81" s="16" t="str">
        <f>VLOOKUP(orders!C81,[1]customers!$A$1:$I$1001, 3, FALSE)</f>
        <v>cgiacomazzo27@jigsy.com</v>
      </c>
      <c r="H81" s="16" t="str">
        <f>VLOOKUP(C81, [1]customers!$A$1:$I$1001, 7, FALSE)</f>
        <v>United States</v>
      </c>
      <c r="I81" s="18" t="str">
        <f>VLOOKUP(orders!D81,[1]products!$A$1:$G$49, 2,FALSE)</f>
        <v>Rob</v>
      </c>
      <c r="J81" s="18" t="str">
        <f>VLOOKUP(orders!D81,[1]products!$A$1:$G$49, 3,FALSE)</f>
        <v>L</v>
      </c>
      <c r="K81" s="19">
        <f>VLOOKUP(orders!D81,[1]products!$A$1:$G$49, 4,FALSE)</f>
        <v>1</v>
      </c>
      <c r="L81" s="19">
        <f>VLOOKUP(orders!D81,[1]products!$A$1:$G$49, 5,FALSE)</f>
        <v>11.95</v>
      </c>
      <c r="M81" s="13">
        <f>PRODUCT(orders!$E81,orders!$L81)</f>
        <v>47.8</v>
      </c>
      <c r="N81" s="18" t="str">
        <f t="shared" si="2"/>
        <v>March</v>
      </c>
      <c r="O81" s="18">
        <f t="shared" si="3"/>
        <v>2022</v>
      </c>
      <c r="P81" s="11" t="str">
        <f>TEXT(orders!$B81, "DDD")</f>
        <v>Sun</v>
      </c>
      <c r="Q81" s="11" t="str">
        <f>VLOOKUP(orders!C81,[1]customers!$A$1:$I$1001, 6,FALSE)</f>
        <v>Dulles</v>
      </c>
    </row>
    <row r="82" spans="1:17" x14ac:dyDescent="0.3">
      <c r="A82" s="7" t="s">
        <v>207</v>
      </c>
      <c r="B82" s="8">
        <v>43572</v>
      </c>
      <c r="C82" s="9" t="s">
        <v>208</v>
      </c>
      <c r="D82" s="10" t="s">
        <v>209</v>
      </c>
      <c r="E82" s="9">
        <v>5</v>
      </c>
      <c r="F82" s="9" t="str">
        <f>VLOOKUP(C82,[1]customers!$A$1:$I$1001, 2, FALSE)</f>
        <v>Ami Arnow</v>
      </c>
      <c r="G82" s="9" t="str">
        <f>VLOOKUP(orders!C82,[1]customers!$A$1:$I$1001, 3, FALSE)</f>
        <v>aarnow28@arizona.edu</v>
      </c>
      <c r="H82" s="9" t="str">
        <f>VLOOKUP(C82, [1]customers!$A$1:$I$1001, 7, FALSE)</f>
        <v>United States</v>
      </c>
      <c r="I82" s="11" t="str">
        <f>VLOOKUP(orders!D82,[1]products!$A$1:$G$49, 2,FALSE)</f>
        <v>Ara</v>
      </c>
      <c r="J82" s="11" t="str">
        <f>VLOOKUP(orders!D82,[1]products!$A$1:$G$49, 3,FALSE)</f>
        <v>L</v>
      </c>
      <c r="K82" s="12">
        <f>VLOOKUP(orders!D82,[1]products!$A$1:$G$49, 4,FALSE)</f>
        <v>0.5</v>
      </c>
      <c r="L82" s="12">
        <f>VLOOKUP(orders!D82,[1]products!$A$1:$G$49, 5,FALSE)</f>
        <v>7.77</v>
      </c>
      <c r="M82" s="13">
        <f>PRODUCT(orders!$E82,orders!$L82)</f>
        <v>38.849999999999994</v>
      </c>
      <c r="N82" s="11" t="str">
        <f t="shared" si="2"/>
        <v>April</v>
      </c>
      <c r="O82" s="11">
        <f t="shared" si="3"/>
        <v>2019</v>
      </c>
      <c r="P82" s="11" t="str">
        <f>TEXT(orders!$B82, "DDD")</f>
        <v>Wed</v>
      </c>
      <c r="Q82" s="11" t="str">
        <f>VLOOKUP(orders!C82,[1]customers!$A$1:$I$1001, 6,FALSE)</f>
        <v>Oakland</v>
      </c>
    </row>
    <row r="83" spans="1:17" x14ac:dyDescent="0.3">
      <c r="A83" s="14" t="s">
        <v>210</v>
      </c>
      <c r="B83" s="15">
        <v>43763</v>
      </c>
      <c r="C83" s="16" t="s">
        <v>211</v>
      </c>
      <c r="D83" s="17" t="s">
        <v>121</v>
      </c>
      <c r="E83" s="16">
        <v>3</v>
      </c>
      <c r="F83" s="9" t="str">
        <f>VLOOKUP(C83,[1]customers!$A$1:$I$1001, 2, FALSE)</f>
        <v>Sheppard Yann</v>
      </c>
      <c r="G83" s="16" t="str">
        <f>VLOOKUP(orders!C83,[1]customers!$A$1:$I$1001, 3, FALSE)</f>
        <v>syann29@senate.gov</v>
      </c>
      <c r="H83" s="16" t="str">
        <f>VLOOKUP(C83, [1]customers!$A$1:$I$1001, 7, FALSE)</f>
        <v>United States</v>
      </c>
      <c r="I83" s="18" t="str">
        <f>VLOOKUP(orders!D83,[1]products!$A$1:$G$49, 2,FALSE)</f>
        <v>Lib</v>
      </c>
      <c r="J83" s="18" t="str">
        <f>VLOOKUP(orders!D83,[1]products!$A$1:$G$49, 3,FALSE)</f>
        <v>L</v>
      </c>
      <c r="K83" s="19">
        <f>VLOOKUP(orders!D83,[1]products!$A$1:$G$49, 4,FALSE)</f>
        <v>2.5</v>
      </c>
      <c r="L83" s="19">
        <f>VLOOKUP(orders!D83,[1]products!$A$1:$G$49, 5,FALSE)</f>
        <v>36.454999999999998</v>
      </c>
      <c r="M83" s="13">
        <f>PRODUCT(orders!$E83,orders!$L83)</f>
        <v>109.36499999999999</v>
      </c>
      <c r="N83" s="18" t="str">
        <f t="shared" si="2"/>
        <v>October</v>
      </c>
      <c r="O83" s="18">
        <f t="shared" si="3"/>
        <v>2019</v>
      </c>
      <c r="P83" s="11" t="str">
        <f>TEXT(orders!$B83, "DDD")</f>
        <v>Fri</v>
      </c>
      <c r="Q83" s="11" t="str">
        <f>VLOOKUP(orders!C83,[1]customers!$A$1:$I$1001, 6,FALSE)</f>
        <v>Colorado Springs</v>
      </c>
    </row>
    <row r="84" spans="1:17" x14ac:dyDescent="0.3">
      <c r="A84" s="7" t="s">
        <v>212</v>
      </c>
      <c r="B84" s="8">
        <v>43721</v>
      </c>
      <c r="C84" s="9" t="s">
        <v>213</v>
      </c>
      <c r="D84" s="10" t="s">
        <v>214</v>
      </c>
      <c r="E84" s="9">
        <v>3</v>
      </c>
      <c r="F84" s="9" t="str">
        <f>VLOOKUP(C84,[1]customers!$A$1:$I$1001, 2, FALSE)</f>
        <v>Bunny Naulls</v>
      </c>
      <c r="G84" s="9" t="str">
        <f>VLOOKUP(orders!C84,[1]customers!$A$1:$I$1001, 3, FALSE)</f>
        <v>bnaulls2a@tiny.cc</v>
      </c>
      <c r="H84" s="9" t="str">
        <f>VLOOKUP(C84, [1]customers!$A$1:$I$1001, 7, FALSE)</f>
        <v>Ireland</v>
      </c>
      <c r="I84" s="11" t="str">
        <f>VLOOKUP(orders!D84,[1]products!$A$1:$G$49, 2,FALSE)</f>
        <v>Lib</v>
      </c>
      <c r="J84" s="11" t="str">
        <f>VLOOKUP(orders!D84,[1]products!$A$1:$G$49, 3,FALSE)</f>
        <v>M</v>
      </c>
      <c r="K84" s="12">
        <f>VLOOKUP(orders!D84,[1]products!$A$1:$G$49, 4,FALSE)</f>
        <v>2.5</v>
      </c>
      <c r="L84" s="12">
        <f>VLOOKUP(orders!D84,[1]products!$A$1:$G$49, 5,FALSE)</f>
        <v>33.464999999999996</v>
      </c>
      <c r="M84" s="13">
        <f>PRODUCT(orders!$E84,orders!$L84)</f>
        <v>100.39499999999998</v>
      </c>
      <c r="N84" s="11" t="str">
        <f t="shared" si="2"/>
        <v>September</v>
      </c>
      <c r="O84" s="11">
        <f t="shared" si="3"/>
        <v>2019</v>
      </c>
      <c r="P84" s="11" t="str">
        <f>TEXT(orders!$B84, "DDD")</f>
        <v>Fri</v>
      </c>
      <c r="Q84" s="11" t="str">
        <f>VLOOKUP(orders!C84,[1]customers!$A$1:$I$1001, 6,FALSE)</f>
        <v>Adare</v>
      </c>
    </row>
    <row r="85" spans="1:17" x14ac:dyDescent="0.3">
      <c r="A85" s="14" t="s">
        <v>215</v>
      </c>
      <c r="B85" s="15">
        <v>43933</v>
      </c>
      <c r="C85" s="16" t="s">
        <v>216</v>
      </c>
      <c r="D85" s="17" t="s">
        <v>52</v>
      </c>
      <c r="E85" s="16">
        <v>4</v>
      </c>
      <c r="F85" s="9" t="str">
        <f>VLOOKUP(C85,[1]customers!$A$1:$I$1001, 2, FALSE)</f>
        <v>Hally Lorait</v>
      </c>
      <c r="G85" s="16">
        <f>VLOOKUP(orders!C85,[1]customers!$A$1:$I$1001, 3, FALSE)</f>
        <v>0</v>
      </c>
      <c r="H85" s="16" t="str">
        <f>VLOOKUP(C85, [1]customers!$A$1:$I$1001, 7, FALSE)</f>
        <v>United States</v>
      </c>
      <c r="I85" s="18" t="str">
        <f>VLOOKUP(orders!D85,[1]products!$A$1:$G$49, 2,FALSE)</f>
        <v>Rob</v>
      </c>
      <c r="J85" s="18" t="str">
        <f>VLOOKUP(orders!D85,[1]products!$A$1:$G$49, 3,FALSE)</f>
        <v>D</v>
      </c>
      <c r="K85" s="19">
        <f>VLOOKUP(orders!D85,[1]products!$A$1:$G$49, 4,FALSE)</f>
        <v>2.5</v>
      </c>
      <c r="L85" s="19">
        <f>VLOOKUP(orders!D85,[1]products!$A$1:$G$49, 5,FALSE)</f>
        <v>20.584999999999997</v>
      </c>
      <c r="M85" s="13">
        <f>PRODUCT(orders!$E85,orders!$L85)</f>
        <v>82.339999999999989</v>
      </c>
      <c r="N85" s="18" t="str">
        <f t="shared" si="2"/>
        <v>April</v>
      </c>
      <c r="O85" s="18">
        <f t="shared" si="3"/>
        <v>2020</v>
      </c>
      <c r="P85" s="11" t="str">
        <f>TEXT(orders!$B85, "DDD")</f>
        <v>Sun</v>
      </c>
      <c r="Q85" s="11" t="str">
        <f>VLOOKUP(orders!C85,[1]customers!$A$1:$I$1001, 6,FALSE)</f>
        <v>Buffalo</v>
      </c>
    </row>
    <row r="86" spans="1:17" x14ac:dyDescent="0.3">
      <c r="A86" s="7" t="s">
        <v>217</v>
      </c>
      <c r="B86" s="8">
        <v>43783</v>
      </c>
      <c r="C86" s="9" t="s">
        <v>218</v>
      </c>
      <c r="D86" s="10" t="s">
        <v>100</v>
      </c>
      <c r="E86" s="9">
        <v>1</v>
      </c>
      <c r="F86" s="9" t="str">
        <f>VLOOKUP(C86,[1]customers!$A$1:$I$1001, 2, FALSE)</f>
        <v>Zaccaria Sherewood</v>
      </c>
      <c r="G86" s="9" t="str">
        <f>VLOOKUP(orders!C86,[1]customers!$A$1:$I$1001, 3, FALSE)</f>
        <v>zsherewood2c@apache.org</v>
      </c>
      <c r="H86" s="9" t="str">
        <f>VLOOKUP(C86, [1]customers!$A$1:$I$1001, 7, FALSE)</f>
        <v>United States</v>
      </c>
      <c r="I86" s="11" t="str">
        <f>VLOOKUP(orders!D86,[1]products!$A$1:$G$49, 2,FALSE)</f>
        <v>Lib</v>
      </c>
      <c r="J86" s="11" t="str">
        <f>VLOOKUP(orders!D86,[1]products!$A$1:$G$49, 3,FALSE)</f>
        <v>L</v>
      </c>
      <c r="K86" s="12">
        <f>VLOOKUP(orders!D86,[1]products!$A$1:$G$49, 4,FALSE)</f>
        <v>0.5</v>
      </c>
      <c r="L86" s="12">
        <f>VLOOKUP(orders!D86,[1]products!$A$1:$G$49, 5,FALSE)</f>
        <v>9.51</v>
      </c>
      <c r="M86" s="13">
        <f>PRODUCT(orders!$E86,orders!$L86)</f>
        <v>9.51</v>
      </c>
      <c r="N86" s="11" t="str">
        <f t="shared" si="2"/>
        <v>November</v>
      </c>
      <c r="O86" s="11">
        <f t="shared" si="3"/>
        <v>2019</v>
      </c>
      <c r="P86" s="11" t="str">
        <f>TEXT(orders!$B86, "DDD")</f>
        <v>Thu</v>
      </c>
      <c r="Q86" s="11" t="str">
        <f>VLOOKUP(orders!C86,[1]customers!$A$1:$I$1001, 6,FALSE)</f>
        <v>Fresno</v>
      </c>
    </row>
    <row r="87" spans="1:17" x14ac:dyDescent="0.3">
      <c r="A87" s="14" t="s">
        <v>219</v>
      </c>
      <c r="B87" s="15">
        <v>43664</v>
      </c>
      <c r="C87" s="16" t="s">
        <v>220</v>
      </c>
      <c r="D87" s="17" t="s">
        <v>221</v>
      </c>
      <c r="E87" s="16">
        <v>3</v>
      </c>
      <c r="F87" s="9" t="str">
        <f>VLOOKUP(C87,[1]customers!$A$1:$I$1001, 2, FALSE)</f>
        <v>Jeffrey Dufaire</v>
      </c>
      <c r="G87" s="16" t="str">
        <f>VLOOKUP(orders!C87,[1]customers!$A$1:$I$1001, 3, FALSE)</f>
        <v>jdufaire2d@fc2.com</v>
      </c>
      <c r="H87" s="16" t="str">
        <f>VLOOKUP(C87, [1]customers!$A$1:$I$1001, 7, FALSE)</f>
        <v>United States</v>
      </c>
      <c r="I87" s="18" t="str">
        <f>VLOOKUP(orders!D87,[1]products!$A$1:$G$49, 2,FALSE)</f>
        <v>Ara</v>
      </c>
      <c r="J87" s="18" t="str">
        <f>VLOOKUP(orders!D87,[1]products!$A$1:$G$49, 3,FALSE)</f>
        <v>L</v>
      </c>
      <c r="K87" s="19">
        <f>VLOOKUP(orders!D87,[1]products!$A$1:$G$49, 4,FALSE)</f>
        <v>2.5</v>
      </c>
      <c r="L87" s="19">
        <f>VLOOKUP(orders!D87,[1]products!$A$1:$G$49, 5,FALSE)</f>
        <v>29.784999999999997</v>
      </c>
      <c r="M87" s="13">
        <f>PRODUCT(orders!$E87,orders!$L87)</f>
        <v>89.35499999999999</v>
      </c>
      <c r="N87" s="18" t="str">
        <f t="shared" si="2"/>
        <v>July</v>
      </c>
      <c r="O87" s="18">
        <f t="shared" si="3"/>
        <v>2019</v>
      </c>
      <c r="P87" s="11" t="str">
        <f>TEXT(orders!$B87, "DDD")</f>
        <v>Thu</v>
      </c>
      <c r="Q87" s="11" t="str">
        <f>VLOOKUP(orders!C87,[1]customers!$A$1:$I$1001, 6,FALSE)</f>
        <v>Fort Worth</v>
      </c>
    </row>
    <row r="88" spans="1:17" x14ac:dyDescent="0.3">
      <c r="A88" s="7" t="s">
        <v>219</v>
      </c>
      <c r="B88" s="8">
        <v>43664</v>
      </c>
      <c r="C88" s="9" t="s">
        <v>220</v>
      </c>
      <c r="D88" s="10" t="s">
        <v>71</v>
      </c>
      <c r="E88" s="9">
        <v>4</v>
      </c>
      <c r="F88" s="9" t="str">
        <f>VLOOKUP(C88,[1]customers!$A$1:$I$1001, 2, FALSE)</f>
        <v>Jeffrey Dufaire</v>
      </c>
      <c r="G88" s="9" t="str">
        <f>VLOOKUP(orders!C88,[1]customers!$A$1:$I$1001, 3, FALSE)</f>
        <v>jdufaire2d@fc2.com</v>
      </c>
      <c r="H88" s="9" t="str">
        <f>VLOOKUP(C88, [1]customers!$A$1:$I$1001, 7, FALSE)</f>
        <v>United States</v>
      </c>
      <c r="I88" s="11" t="str">
        <f>VLOOKUP(orders!D88,[1]products!$A$1:$G$49, 2,FALSE)</f>
        <v>Ara</v>
      </c>
      <c r="J88" s="11" t="str">
        <f>VLOOKUP(orders!D88,[1]products!$A$1:$G$49, 3,FALSE)</f>
        <v>D</v>
      </c>
      <c r="K88" s="12">
        <f>VLOOKUP(orders!D88,[1]products!$A$1:$G$49, 4,FALSE)</f>
        <v>0.2</v>
      </c>
      <c r="L88" s="12">
        <f>VLOOKUP(orders!D88,[1]products!$A$1:$G$49, 5,FALSE)</f>
        <v>2.9849999999999999</v>
      </c>
      <c r="M88" s="13">
        <f>PRODUCT(orders!$E88,orders!$L88)</f>
        <v>11.94</v>
      </c>
      <c r="N88" s="11" t="str">
        <f t="shared" si="2"/>
        <v>July</v>
      </c>
      <c r="O88" s="11">
        <f t="shared" si="3"/>
        <v>2019</v>
      </c>
      <c r="P88" s="11" t="str">
        <f>TEXT(orders!$B88, "DDD")</f>
        <v>Thu</v>
      </c>
      <c r="Q88" s="11" t="str">
        <f>VLOOKUP(orders!C88,[1]customers!$A$1:$I$1001, 6,FALSE)</f>
        <v>Fort Worth</v>
      </c>
    </row>
    <row r="89" spans="1:17" x14ac:dyDescent="0.3">
      <c r="A89" s="14" t="s">
        <v>222</v>
      </c>
      <c r="B89" s="15">
        <v>44289</v>
      </c>
      <c r="C89" s="16" t="s">
        <v>223</v>
      </c>
      <c r="D89" s="17" t="s">
        <v>78</v>
      </c>
      <c r="E89" s="16">
        <v>3</v>
      </c>
      <c r="F89" s="9" t="str">
        <f>VLOOKUP(C89,[1]customers!$A$1:$I$1001, 2, FALSE)</f>
        <v>Beitris Keaveney</v>
      </c>
      <c r="G89" s="16" t="str">
        <f>VLOOKUP(orders!C89,[1]customers!$A$1:$I$1001, 3, FALSE)</f>
        <v>bkeaveney2f@netlog.com</v>
      </c>
      <c r="H89" s="16" t="str">
        <f>VLOOKUP(C89, [1]customers!$A$1:$I$1001, 7, FALSE)</f>
        <v>United States</v>
      </c>
      <c r="I89" s="18" t="str">
        <f>VLOOKUP(orders!D89,[1]products!$A$1:$G$49, 2,FALSE)</f>
        <v>Ara</v>
      </c>
      <c r="J89" s="18" t="str">
        <f>VLOOKUP(orders!D89,[1]products!$A$1:$G$49, 3,FALSE)</f>
        <v>M</v>
      </c>
      <c r="K89" s="19">
        <f>VLOOKUP(orders!D89,[1]products!$A$1:$G$49, 4,FALSE)</f>
        <v>1</v>
      </c>
      <c r="L89" s="19">
        <f>VLOOKUP(orders!D89,[1]products!$A$1:$G$49, 5,FALSE)</f>
        <v>11.25</v>
      </c>
      <c r="M89" s="13">
        <f>PRODUCT(orders!$E89,orders!$L89)</f>
        <v>33.75</v>
      </c>
      <c r="N89" s="18" t="str">
        <f t="shared" si="2"/>
        <v>April</v>
      </c>
      <c r="O89" s="18">
        <f t="shared" si="3"/>
        <v>2021</v>
      </c>
      <c r="P89" s="11" t="str">
        <f>TEXT(orders!$B89, "DDD")</f>
        <v>Sat</v>
      </c>
      <c r="Q89" s="11" t="str">
        <f>VLOOKUP(orders!C89,[1]customers!$A$1:$I$1001, 6,FALSE)</f>
        <v>Beaumont</v>
      </c>
    </row>
    <row r="90" spans="1:17" x14ac:dyDescent="0.3">
      <c r="A90" s="7" t="s">
        <v>224</v>
      </c>
      <c r="B90" s="8">
        <v>44284</v>
      </c>
      <c r="C90" s="9" t="s">
        <v>225</v>
      </c>
      <c r="D90" s="10" t="s">
        <v>206</v>
      </c>
      <c r="E90" s="9">
        <v>3</v>
      </c>
      <c r="F90" s="9" t="str">
        <f>VLOOKUP(C90,[1]customers!$A$1:$I$1001, 2, FALSE)</f>
        <v>Elna Grise</v>
      </c>
      <c r="G90" s="9" t="str">
        <f>VLOOKUP(orders!C90,[1]customers!$A$1:$I$1001, 3, FALSE)</f>
        <v>egrise2g@cargocollective.com</v>
      </c>
      <c r="H90" s="9" t="str">
        <f>VLOOKUP(C90, [1]customers!$A$1:$I$1001, 7, FALSE)</f>
        <v>United States</v>
      </c>
      <c r="I90" s="11" t="str">
        <f>VLOOKUP(orders!D90,[1]products!$A$1:$G$49, 2,FALSE)</f>
        <v>Rob</v>
      </c>
      <c r="J90" s="11" t="str">
        <f>VLOOKUP(orders!D90,[1]products!$A$1:$G$49, 3,FALSE)</f>
        <v>L</v>
      </c>
      <c r="K90" s="12">
        <f>VLOOKUP(orders!D90,[1]products!$A$1:$G$49, 4,FALSE)</f>
        <v>1</v>
      </c>
      <c r="L90" s="12">
        <f>VLOOKUP(orders!D90,[1]products!$A$1:$G$49, 5,FALSE)</f>
        <v>11.95</v>
      </c>
      <c r="M90" s="13">
        <f>PRODUCT(orders!$E90,orders!$L90)</f>
        <v>35.849999999999994</v>
      </c>
      <c r="N90" s="11" t="str">
        <f t="shared" si="2"/>
        <v>March</v>
      </c>
      <c r="O90" s="11">
        <f t="shared" si="3"/>
        <v>2021</v>
      </c>
      <c r="P90" s="11" t="str">
        <f>TEXT(orders!$B90, "DDD")</f>
        <v>Mon</v>
      </c>
      <c r="Q90" s="11" t="str">
        <f>VLOOKUP(orders!C90,[1]customers!$A$1:$I$1001, 6,FALSE)</f>
        <v>Reno</v>
      </c>
    </row>
    <row r="91" spans="1:17" x14ac:dyDescent="0.3">
      <c r="A91" s="14" t="s">
        <v>226</v>
      </c>
      <c r="B91" s="15">
        <v>44545</v>
      </c>
      <c r="C91" s="16" t="s">
        <v>227</v>
      </c>
      <c r="D91" s="17" t="s">
        <v>23</v>
      </c>
      <c r="E91" s="16">
        <v>6</v>
      </c>
      <c r="F91" s="9" t="str">
        <f>VLOOKUP(C91,[1]customers!$A$1:$I$1001, 2, FALSE)</f>
        <v>Torie Gottelier</v>
      </c>
      <c r="G91" s="16" t="str">
        <f>VLOOKUP(orders!C91,[1]customers!$A$1:$I$1001, 3, FALSE)</f>
        <v>tgottelier2h@vistaprint.com</v>
      </c>
      <c r="H91" s="16" t="str">
        <f>VLOOKUP(C91, [1]customers!$A$1:$I$1001, 7, FALSE)</f>
        <v>United States</v>
      </c>
      <c r="I91" s="18" t="str">
        <f>VLOOKUP(orders!D91,[1]products!$A$1:$G$49, 2,FALSE)</f>
        <v>Ara</v>
      </c>
      <c r="J91" s="18" t="str">
        <f>VLOOKUP(orders!D91,[1]products!$A$1:$G$49, 3,FALSE)</f>
        <v>L</v>
      </c>
      <c r="K91" s="19">
        <f>VLOOKUP(orders!D91,[1]products!$A$1:$G$49, 4,FALSE)</f>
        <v>1</v>
      </c>
      <c r="L91" s="19">
        <f>VLOOKUP(orders!D91,[1]products!$A$1:$G$49, 5,FALSE)</f>
        <v>12.95</v>
      </c>
      <c r="M91" s="13">
        <f>PRODUCT(orders!$E91,orders!$L91)</f>
        <v>77.699999999999989</v>
      </c>
      <c r="N91" s="18" t="str">
        <f t="shared" si="2"/>
        <v>December</v>
      </c>
      <c r="O91" s="18">
        <f t="shared" si="3"/>
        <v>2021</v>
      </c>
      <c r="P91" s="11" t="str">
        <f>TEXT(orders!$B91, "DDD")</f>
        <v>Wed</v>
      </c>
      <c r="Q91" s="11" t="str">
        <f>VLOOKUP(orders!C91,[1]customers!$A$1:$I$1001, 6,FALSE)</f>
        <v>Kansas City</v>
      </c>
    </row>
    <row r="92" spans="1:17" x14ac:dyDescent="0.3">
      <c r="A92" s="7" t="s">
        <v>228</v>
      </c>
      <c r="B92" s="8">
        <v>43971</v>
      </c>
      <c r="C92" s="9" t="s">
        <v>229</v>
      </c>
      <c r="D92" s="10" t="s">
        <v>23</v>
      </c>
      <c r="E92" s="9">
        <v>4</v>
      </c>
      <c r="F92" s="9" t="str">
        <f>VLOOKUP(C92,[1]customers!$A$1:$I$1001, 2, FALSE)</f>
        <v>Loydie Langlais</v>
      </c>
      <c r="G92" s="9">
        <f>VLOOKUP(orders!C92,[1]customers!$A$1:$I$1001, 3, FALSE)</f>
        <v>0</v>
      </c>
      <c r="H92" s="9" t="str">
        <f>VLOOKUP(C92, [1]customers!$A$1:$I$1001, 7, FALSE)</f>
        <v>Ireland</v>
      </c>
      <c r="I92" s="11" t="str">
        <f>VLOOKUP(orders!D92,[1]products!$A$1:$G$49, 2,FALSE)</f>
        <v>Ara</v>
      </c>
      <c r="J92" s="11" t="str">
        <f>VLOOKUP(orders!D92,[1]products!$A$1:$G$49, 3,FALSE)</f>
        <v>L</v>
      </c>
      <c r="K92" s="12">
        <f>VLOOKUP(orders!D92,[1]products!$A$1:$G$49, 4,FALSE)</f>
        <v>1</v>
      </c>
      <c r="L92" s="12">
        <f>VLOOKUP(orders!D92,[1]products!$A$1:$G$49, 5,FALSE)</f>
        <v>12.95</v>
      </c>
      <c r="M92" s="13">
        <f>PRODUCT(orders!$E92,orders!$L92)</f>
        <v>51.8</v>
      </c>
      <c r="N92" s="11" t="str">
        <f t="shared" si="2"/>
        <v>May</v>
      </c>
      <c r="O92" s="11">
        <f t="shared" si="3"/>
        <v>2020</v>
      </c>
      <c r="P92" s="11" t="str">
        <f>TEXT(orders!$B92, "DDD")</f>
        <v>Wed</v>
      </c>
      <c r="Q92" s="11" t="str">
        <f>VLOOKUP(orders!C92,[1]customers!$A$1:$I$1001, 6,FALSE)</f>
        <v>Crumlin</v>
      </c>
    </row>
    <row r="93" spans="1:17" x14ac:dyDescent="0.3">
      <c r="A93" s="14" t="s">
        <v>230</v>
      </c>
      <c r="B93" s="15">
        <v>44137</v>
      </c>
      <c r="C93" s="16" t="s">
        <v>231</v>
      </c>
      <c r="D93" s="17" t="s">
        <v>188</v>
      </c>
      <c r="E93" s="16">
        <v>4</v>
      </c>
      <c r="F93" s="9" t="str">
        <f>VLOOKUP(C93,[1]customers!$A$1:$I$1001, 2, FALSE)</f>
        <v>Adham Greenhead</v>
      </c>
      <c r="G93" s="16" t="str">
        <f>VLOOKUP(orders!C93,[1]customers!$A$1:$I$1001, 3, FALSE)</f>
        <v>agreenhead2j@dailymail.co.uk</v>
      </c>
      <c r="H93" s="16" t="str">
        <f>VLOOKUP(C93, [1]customers!$A$1:$I$1001, 7, FALSE)</f>
        <v>United States</v>
      </c>
      <c r="I93" s="18" t="str">
        <f>VLOOKUP(orders!D93,[1]products!$A$1:$G$49, 2,FALSE)</f>
        <v>Ara</v>
      </c>
      <c r="J93" s="18" t="str">
        <f>VLOOKUP(orders!D93,[1]products!$A$1:$G$49, 3,FALSE)</f>
        <v>M</v>
      </c>
      <c r="K93" s="19">
        <f>VLOOKUP(orders!D93,[1]products!$A$1:$G$49, 4,FALSE)</f>
        <v>2.5</v>
      </c>
      <c r="L93" s="19">
        <f>VLOOKUP(orders!D93,[1]products!$A$1:$G$49, 5,FALSE)</f>
        <v>25.874999999999996</v>
      </c>
      <c r="M93" s="13">
        <f>PRODUCT(orders!$E93,orders!$L93)</f>
        <v>103.49999999999999</v>
      </c>
      <c r="N93" s="18" t="str">
        <f t="shared" si="2"/>
        <v>November</v>
      </c>
      <c r="O93" s="18">
        <f t="shared" si="3"/>
        <v>2020</v>
      </c>
      <c r="P93" s="11" t="str">
        <f>TEXT(orders!$B93, "DDD")</f>
        <v>Mon</v>
      </c>
      <c r="Q93" s="11" t="str">
        <f>VLOOKUP(orders!C93,[1]customers!$A$1:$I$1001, 6,FALSE)</f>
        <v>Corona</v>
      </c>
    </row>
    <row r="94" spans="1:17" x14ac:dyDescent="0.3">
      <c r="A94" s="7" t="s">
        <v>232</v>
      </c>
      <c r="B94" s="8">
        <v>44037</v>
      </c>
      <c r="C94" s="9" t="s">
        <v>233</v>
      </c>
      <c r="D94" s="10" t="s">
        <v>154</v>
      </c>
      <c r="E94" s="9">
        <v>3</v>
      </c>
      <c r="F94" s="9" t="str">
        <f>VLOOKUP(C94,[1]customers!$A$1:$I$1001, 2, FALSE)</f>
        <v>Hamish MacSherry</v>
      </c>
      <c r="G94" s="9">
        <f>VLOOKUP(orders!C94,[1]customers!$A$1:$I$1001, 3, FALSE)</f>
        <v>0</v>
      </c>
      <c r="H94" s="9" t="str">
        <f>VLOOKUP(C94, [1]customers!$A$1:$I$1001, 7, FALSE)</f>
        <v>United States</v>
      </c>
      <c r="I94" s="11" t="str">
        <f>VLOOKUP(orders!D94,[1]products!$A$1:$G$49, 2,FALSE)</f>
        <v>Exc</v>
      </c>
      <c r="J94" s="11" t="str">
        <f>VLOOKUP(orders!D94,[1]products!$A$1:$G$49, 3,FALSE)</f>
        <v>L</v>
      </c>
      <c r="K94" s="12">
        <f>VLOOKUP(orders!D94,[1]products!$A$1:$G$49, 4,FALSE)</f>
        <v>1</v>
      </c>
      <c r="L94" s="12">
        <f>VLOOKUP(orders!D94,[1]products!$A$1:$G$49, 5,FALSE)</f>
        <v>14.85</v>
      </c>
      <c r="M94" s="13">
        <f>PRODUCT(orders!$E94,orders!$L94)</f>
        <v>44.55</v>
      </c>
      <c r="N94" s="11" t="str">
        <f t="shared" si="2"/>
        <v>July</v>
      </c>
      <c r="O94" s="11">
        <f t="shared" si="3"/>
        <v>2020</v>
      </c>
      <c r="P94" s="11" t="str">
        <f>TEXT(orders!$B94, "DDD")</f>
        <v>Sat</v>
      </c>
      <c r="Q94" s="11" t="str">
        <f>VLOOKUP(orders!C94,[1]customers!$A$1:$I$1001, 6,FALSE)</f>
        <v>Austin</v>
      </c>
    </row>
    <row r="95" spans="1:17" x14ac:dyDescent="0.3">
      <c r="A95" s="14" t="s">
        <v>234</v>
      </c>
      <c r="B95" s="15">
        <v>43538</v>
      </c>
      <c r="C95" s="16" t="s">
        <v>235</v>
      </c>
      <c r="D95" s="17" t="s">
        <v>193</v>
      </c>
      <c r="E95" s="16">
        <v>4</v>
      </c>
      <c r="F95" s="9" t="str">
        <f>VLOOKUP(C95,[1]customers!$A$1:$I$1001, 2, FALSE)</f>
        <v>Else Langcaster</v>
      </c>
      <c r="G95" s="16" t="str">
        <f>VLOOKUP(orders!C95,[1]customers!$A$1:$I$1001, 3, FALSE)</f>
        <v>elangcaster2l@spotify.com</v>
      </c>
      <c r="H95" s="16" t="str">
        <f>VLOOKUP(C95, [1]customers!$A$1:$I$1001, 7, FALSE)</f>
        <v>United Kingdom</v>
      </c>
      <c r="I95" s="18" t="str">
        <f>VLOOKUP(orders!D95,[1]products!$A$1:$G$49, 2,FALSE)</f>
        <v>Exc</v>
      </c>
      <c r="J95" s="18" t="str">
        <f>VLOOKUP(orders!D95,[1]products!$A$1:$G$49, 3,FALSE)</f>
        <v>L</v>
      </c>
      <c r="K95" s="19">
        <f>VLOOKUP(orders!D95,[1]products!$A$1:$G$49, 4,FALSE)</f>
        <v>0.5</v>
      </c>
      <c r="L95" s="19">
        <f>VLOOKUP(orders!D95,[1]products!$A$1:$G$49, 5,FALSE)</f>
        <v>8.91</v>
      </c>
      <c r="M95" s="13">
        <f>PRODUCT(orders!$E95,orders!$L95)</f>
        <v>35.64</v>
      </c>
      <c r="N95" s="18" t="str">
        <f t="shared" si="2"/>
        <v>March</v>
      </c>
      <c r="O95" s="18">
        <f t="shared" si="3"/>
        <v>2019</v>
      </c>
      <c r="P95" s="11" t="str">
        <f>TEXT(orders!$B95, "DDD")</f>
        <v>Thu</v>
      </c>
      <c r="Q95" s="11" t="str">
        <f>VLOOKUP(orders!C95,[1]customers!$A$1:$I$1001, 6,FALSE)</f>
        <v>Normanton</v>
      </c>
    </row>
    <row r="96" spans="1:17" x14ac:dyDescent="0.3">
      <c r="A96" s="7" t="s">
        <v>236</v>
      </c>
      <c r="B96" s="8">
        <v>44014</v>
      </c>
      <c r="C96" s="9" t="s">
        <v>237</v>
      </c>
      <c r="D96" s="10" t="s">
        <v>71</v>
      </c>
      <c r="E96" s="9">
        <v>6</v>
      </c>
      <c r="F96" s="9" t="str">
        <f>VLOOKUP(C96,[1]customers!$A$1:$I$1001, 2, FALSE)</f>
        <v>Rudy Farquharson</v>
      </c>
      <c r="G96" s="9">
        <f>VLOOKUP(orders!C96,[1]customers!$A$1:$I$1001, 3, FALSE)</f>
        <v>0</v>
      </c>
      <c r="H96" s="9" t="str">
        <f>VLOOKUP(C96, [1]customers!$A$1:$I$1001, 7, FALSE)</f>
        <v>Ireland</v>
      </c>
      <c r="I96" s="11" t="str">
        <f>VLOOKUP(orders!D96,[1]products!$A$1:$G$49, 2,FALSE)</f>
        <v>Ara</v>
      </c>
      <c r="J96" s="11" t="str">
        <f>VLOOKUP(orders!D96,[1]products!$A$1:$G$49, 3,FALSE)</f>
        <v>D</v>
      </c>
      <c r="K96" s="12">
        <f>VLOOKUP(orders!D96,[1]products!$A$1:$G$49, 4,FALSE)</f>
        <v>0.2</v>
      </c>
      <c r="L96" s="12">
        <f>VLOOKUP(orders!D96,[1]products!$A$1:$G$49, 5,FALSE)</f>
        <v>2.9849999999999999</v>
      </c>
      <c r="M96" s="13">
        <f>PRODUCT(orders!$E96,orders!$L96)</f>
        <v>17.91</v>
      </c>
      <c r="N96" s="11" t="str">
        <f t="shared" si="2"/>
        <v>July</v>
      </c>
      <c r="O96" s="11">
        <f t="shared" si="3"/>
        <v>2020</v>
      </c>
      <c r="P96" s="11" t="str">
        <f>TEXT(orders!$B96, "DDD")</f>
        <v>Thu</v>
      </c>
      <c r="Q96" s="11" t="str">
        <f>VLOOKUP(orders!C96,[1]customers!$A$1:$I$1001, 6,FALSE)</f>
        <v>Charlesland</v>
      </c>
    </row>
    <row r="97" spans="1:17" x14ac:dyDescent="0.3">
      <c r="A97" s="14" t="s">
        <v>238</v>
      </c>
      <c r="B97" s="15">
        <v>43816</v>
      </c>
      <c r="C97" s="16" t="s">
        <v>239</v>
      </c>
      <c r="D97" s="17" t="s">
        <v>188</v>
      </c>
      <c r="E97" s="16">
        <v>6</v>
      </c>
      <c r="F97" s="9" t="str">
        <f>VLOOKUP(C97,[1]customers!$A$1:$I$1001, 2, FALSE)</f>
        <v>Norene Magauran</v>
      </c>
      <c r="G97" s="16" t="str">
        <f>VLOOKUP(orders!C97,[1]customers!$A$1:$I$1001, 3, FALSE)</f>
        <v>nmagauran2n@51.la</v>
      </c>
      <c r="H97" s="16" t="str">
        <f>VLOOKUP(C97, [1]customers!$A$1:$I$1001, 7, FALSE)</f>
        <v>United States</v>
      </c>
      <c r="I97" s="18" t="str">
        <f>VLOOKUP(orders!D97,[1]products!$A$1:$G$49, 2,FALSE)</f>
        <v>Ara</v>
      </c>
      <c r="J97" s="18" t="str">
        <f>VLOOKUP(orders!D97,[1]products!$A$1:$G$49, 3,FALSE)</f>
        <v>M</v>
      </c>
      <c r="K97" s="19">
        <f>VLOOKUP(orders!D97,[1]products!$A$1:$G$49, 4,FALSE)</f>
        <v>2.5</v>
      </c>
      <c r="L97" s="19">
        <f>VLOOKUP(orders!D97,[1]products!$A$1:$G$49, 5,FALSE)</f>
        <v>25.874999999999996</v>
      </c>
      <c r="M97" s="13">
        <f>PRODUCT(orders!$E97,orders!$L97)</f>
        <v>155.24999999999997</v>
      </c>
      <c r="N97" s="18" t="str">
        <f t="shared" si="2"/>
        <v>December</v>
      </c>
      <c r="O97" s="18">
        <f t="shared" si="3"/>
        <v>2019</v>
      </c>
      <c r="P97" s="11" t="str">
        <f>TEXT(orders!$B97, "DDD")</f>
        <v>Tue</v>
      </c>
      <c r="Q97" s="11" t="str">
        <f>VLOOKUP(orders!C97,[1]customers!$A$1:$I$1001, 6,FALSE)</f>
        <v>Fresno</v>
      </c>
    </row>
    <row r="98" spans="1:17" x14ac:dyDescent="0.3">
      <c r="A98" s="7" t="s">
        <v>240</v>
      </c>
      <c r="B98" s="8">
        <v>44171</v>
      </c>
      <c r="C98" s="9" t="s">
        <v>241</v>
      </c>
      <c r="D98" s="10" t="s">
        <v>71</v>
      </c>
      <c r="E98" s="9">
        <v>2</v>
      </c>
      <c r="F98" s="9" t="str">
        <f>VLOOKUP(C98,[1]customers!$A$1:$I$1001, 2, FALSE)</f>
        <v>Vicki Kirdsch</v>
      </c>
      <c r="G98" s="9" t="str">
        <f>VLOOKUP(orders!C98,[1]customers!$A$1:$I$1001, 3, FALSE)</f>
        <v>vkirdsch2o@google.fr</v>
      </c>
      <c r="H98" s="9" t="str">
        <f>VLOOKUP(C98, [1]customers!$A$1:$I$1001, 7, FALSE)</f>
        <v>United States</v>
      </c>
      <c r="I98" s="11" t="str">
        <f>VLOOKUP(orders!D98,[1]products!$A$1:$G$49, 2,FALSE)</f>
        <v>Ara</v>
      </c>
      <c r="J98" s="11" t="str">
        <f>VLOOKUP(orders!D98,[1]products!$A$1:$G$49, 3,FALSE)</f>
        <v>D</v>
      </c>
      <c r="K98" s="12">
        <f>VLOOKUP(orders!D98,[1]products!$A$1:$G$49, 4,FALSE)</f>
        <v>0.2</v>
      </c>
      <c r="L98" s="12">
        <f>VLOOKUP(orders!D98,[1]products!$A$1:$G$49, 5,FALSE)</f>
        <v>2.9849999999999999</v>
      </c>
      <c r="M98" s="13">
        <f>PRODUCT(orders!$E98,orders!$L98)</f>
        <v>5.97</v>
      </c>
      <c r="N98" s="11" t="str">
        <f t="shared" si="2"/>
        <v>December</v>
      </c>
      <c r="O98" s="11">
        <f t="shared" si="3"/>
        <v>2020</v>
      </c>
      <c r="P98" s="11" t="str">
        <f>TEXT(orders!$B98, "DDD")</f>
        <v>Sun</v>
      </c>
      <c r="Q98" s="11" t="str">
        <f>VLOOKUP(orders!C98,[1]customers!$A$1:$I$1001, 6,FALSE)</f>
        <v>Saint Louis</v>
      </c>
    </row>
    <row r="99" spans="1:17" x14ac:dyDescent="0.3">
      <c r="A99" s="14" t="s">
        <v>242</v>
      </c>
      <c r="B99" s="15">
        <v>44259</v>
      </c>
      <c r="C99" s="16" t="s">
        <v>243</v>
      </c>
      <c r="D99" s="17" t="s">
        <v>84</v>
      </c>
      <c r="E99" s="16">
        <v>2</v>
      </c>
      <c r="F99" s="9" t="str">
        <f>VLOOKUP(C99,[1]customers!$A$1:$I$1001, 2, FALSE)</f>
        <v>Ilysa Whapple</v>
      </c>
      <c r="G99" s="16" t="str">
        <f>VLOOKUP(orders!C99,[1]customers!$A$1:$I$1001, 3, FALSE)</f>
        <v>iwhapple2p@com.com</v>
      </c>
      <c r="H99" s="16" t="str">
        <f>VLOOKUP(C99, [1]customers!$A$1:$I$1001, 7, FALSE)</f>
        <v>United States</v>
      </c>
      <c r="I99" s="18" t="str">
        <f>VLOOKUP(orders!D99,[1]products!$A$1:$G$49, 2,FALSE)</f>
        <v>Ara</v>
      </c>
      <c r="J99" s="18" t="str">
        <f>VLOOKUP(orders!D99,[1]products!$A$1:$G$49, 3,FALSE)</f>
        <v>M</v>
      </c>
      <c r="K99" s="19">
        <f>VLOOKUP(orders!D99,[1]products!$A$1:$G$49, 4,FALSE)</f>
        <v>0.5</v>
      </c>
      <c r="L99" s="19">
        <f>VLOOKUP(orders!D99,[1]products!$A$1:$G$49, 5,FALSE)</f>
        <v>6.75</v>
      </c>
      <c r="M99" s="13">
        <f>PRODUCT(orders!$E99,orders!$L99)</f>
        <v>13.5</v>
      </c>
      <c r="N99" s="18" t="str">
        <f t="shared" si="2"/>
        <v>March</v>
      </c>
      <c r="O99" s="18">
        <f t="shared" si="3"/>
        <v>2021</v>
      </c>
      <c r="P99" s="11" t="str">
        <f>TEXT(orders!$B99, "DDD")</f>
        <v>Thu</v>
      </c>
      <c r="Q99" s="11" t="str">
        <f>VLOOKUP(orders!C99,[1]customers!$A$1:$I$1001, 6,FALSE)</f>
        <v>Fresno</v>
      </c>
    </row>
    <row r="100" spans="1:17" x14ac:dyDescent="0.3">
      <c r="A100" s="7" t="s">
        <v>244</v>
      </c>
      <c r="B100" s="8">
        <v>44394</v>
      </c>
      <c r="C100" s="9" t="s">
        <v>245</v>
      </c>
      <c r="D100" s="10" t="s">
        <v>71</v>
      </c>
      <c r="E100" s="9">
        <v>1</v>
      </c>
      <c r="F100" s="9" t="str">
        <f>VLOOKUP(C100,[1]customers!$A$1:$I$1001, 2, FALSE)</f>
        <v>Ruy Cancellieri</v>
      </c>
      <c r="G100" s="9">
        <f>VLOOKUP(orders!C100,[1]customers!$A$1:$I$1001, 3, FALSE)</f>
        <v>0</v>
      </c>
      <c r="H100" s="9" t="str">
        <f>VLOOKUP(C100, [1]customers!$A$1:$I$1001, 7, FALSE)</f>
        <v>Ireland</v>
      </c>
      <c r="I100" s="11" t="str">
        <f>VLOOKUP(orders!D100,[1]products!$A$1:$G$49, 2,FALSE)</f>
        <v>Ara</v>
      </c>
      <c r="J100" s="11" t="str">
        <f>VLOOKUP(orders!D100,[1]products!$A$1:$G$49, 3,FALSE)</f>
        <v>D</v>
      </c>
      <c r="K100" s="12">
        <f>VLOOKUP(orders!D100,[1]products!$A$1:$G$49, 4,FALSE)</f>
        <v>0.2</v>
      </c>
      <c r="L100" s="12">
        <f>VLOOKUP(orders!D100,[1]products!$A$1:$G$49, 5,FALSE)</f>
        <v>2.9849999999999999</v>
      </c>
      <c r="M100" s="13">
        <f>PRODUCT(orders!$E100,orders!$L100)</f>
        <v>2.9849999999999999</v>
      </c>
      <c r="N100" s="11" t="str">
        <f t="shared" si="2"/>
        <v>July</v>
      </c>
      <c r="O100" s="11">
        <f t="shared" si="3"/>
        <v>2021</v>
      </c>
      <c r="P100" s="11" t="str">
        <f>TEXT(orders!$B100, "DDD")</f>
        <v>Sat</v>
      </c>
      <c r="Q100" s="11" t="str">
        <f>VLOOKUP(orders!C100,[1]customers!$A$1:$I$1001, 6,FALSE)</f>
        <v>Confey</v>
      </c>
    </row>
    <row r="101" spans="1:17" x14ac:dyDescent="0.3">
      <c r="A101" s="14" t="s">
        <v>246</v>
      </c>
      <c r="B101" s="15">
        <v>44139</v>
      </c>
      <c r="C101" s="16" t="s">
        <v>247</v>
      </c>
      <c r="D101" s="17" t="s">
        <v>94</v>
      </c>
      <c r="E101" s="16">
        <v>3</v>
      </c>
      <c r="F101" s="9" t="str">
        <f>VLOOKUP(C101,[1]customers!$A$1:$I$1001, 2, FALSE)</f>
        <v>Aube Follett</v>
      </c>
      <c r="G101" s="16">
        <f>VLOOKUP(orders!C101,[1]customers!$A$1:$I$1001, 3, FALSE)</f>
        <v>0</v>
      </c>
      <c r="H101" s="16" t="str">
        <f>VLOOKUP(C101, [1]customers!$A$1:$I$1001, 7, FALSE)</f>
        <v>United States</v>
      </c>
      <c r="I101" s="18" t="str">
        <f>VLOOKUP(orders!D101,[1]products!$A$1:$G$49, 2,FALSE)</f>
        <v>Lib</v>
      </c>
      <c r="J101" s="18" t="str">
        <f>VLOOKUP(orders!D101,[1]products!$A$1:$G$49, 3,FALSE)</f>
        <v>M</v>
      </c>
      <c r="K101" s="19">
        <f>VLOOKUP(orders!D101,[1]products!$A$1:$G$49, 4,FALSE)</f>
        <v>0.2</v>
      </c>
      <c r="L101" s="19">
        <f>VLOOKUP(orders!D101,[1]products!$A$1:$G$49, 5,FALSE)</f>
        <v>4.3650000000000002</v>
      </c>
      <c r="M101" s="13">
        <f>PRODUCT(orders!$E101,orders!$L101)</f>
        <v>13.095000000000001</v>
      </c>
      <c r="N101" s="18" t="str">
        <f t="shared" si="2"/>
        <v>November</v>
      </c>
      <c r="O101" s="18">
        <f t="shared" si="3"/>
        <v>2020</v>
      </c>
      <c r="P101" s="11" t="str">
        <f>TEXT(orders!$B101, "DDD")</f>
        <v>Wed</v>
      </c>
      <c r="Q101" s="11" t="str">
        <f>VLOOKUP(orders!C101,[1]customers!$A$1:$I$1001, 6,FALSE)</f>
        <v>Columbus</v>
      </c>
    </row>
    <row r="102" spans="1:17" x14ac:dyDescent="0.3">
      <c r="A102" s="7" t="s">
        <v>248</v>
      </c>
      <c r="B102" s="8">
        <v>44291</v>
      </c>
      <c r="C102" s="9" t="s">
        <v>249</v>
      </c>
      <c r="D102" s="10" t="s">
        <v>132</v>
      </c>
      <c r="E102" s="9">
        <v>2</v>
      </c>
      <c r="F102" s="9" t="str">
        <f>VLOOKUP(C102,[1]customers!$A$1:$I$1001, 2, FALSE)</f>
        <v>Rudiger Di Bartolomeo</v>
      </c>
      <c r="G102" s="9">
        <f>VLOOKUP(orders!C102,[1]customers!$A$1:$I$1001, 3, FALSE)</f>
        <v>0</v>
      </c>
      <c r="H102" s="9" t="str">
        <f>VLOOKUP(C102, [1]customers!$A$1:$I$1001, 7, FALSE)</f>
        <v>United States</v>
      </c>
      <c r="I102" s="11" t="str">
        <f>VLOOKUP(orders!D102,[1]products!$A$1:$G$49, 2,FALSE)</f>
        <v>Ara</v>
      </c>
      <c r="J102" s="11" t="str">
        <f>VLOOKUP(orders!D102,[1]products!$A$1:$G$49, 3,FALSE)</f>
        <v>L</v>
      </c>
      <c r="K102" s="12">
        <f>VLOOKUP(orders!D102,[1]products!$A$1:$G$49, 4,FALSE)</f>
        <v>0.2</v>
      </c>
      <c r="L102" s="12">
        <f>VLOOKUP(orders!D102,[1]products!$A$1:$G$49, 5,FALSE)</f>
        <v>3.8849999999999998</v>
      </c>
      <c r="M102" s="13">
        <f>PRODUCT(orders!$E102,orders!$L102)</f>
        <v>7.77</v>
      </c>
      <c r="N102" s="11" t="str">
        <f t="shared" si="2"/>
        <v>April</v>
      </c>
      <c r="O102" s="11">
        <f t="shared" si="3"/>
        <v>2021</v>
      </c>
      <c r="P102" s="11" t="str">
        <f>TEXT(orders!$B102, "DDD")</f>
        <v>Mon</v>
      </c>
      <c r="Q102" s="11" t="str">
        <f>VLOOKUP(orders!C102,[1]customers!$A$1:$I$1001, 6,FALSE)</f>
        <v>Stockton</v>
      </c>
    </row>
    <row r="103" spans="1:17" x14ac:dyDescent="0.3">
      <c r="A103" s="14" t="s">
        <v>250</v>
      </c>
      <c r="B103" s="15">
        <v>43891</v>
      </c>
      <c r="C103" s="16" t="s">
        <v>251</v>
      </c>
      <c r="D103" s="17" t="s">
        <v>126</v>
      </c>
      <c r="E103" s="16">
        <v>5</v>
      </c>
      <c r="F103" s="9" t="str">
        <f>VLOOKUP(C103,[1]customers!$A$1:$I$1001, 2, FALSE)</f>
        <v>Nickey Youles</v>
      </c>
      <c r="G103" s="16" t="str">
        <f>VLOOKUP(orders!C103,[1]customers!$A$1:$I$1001, 3, FALSE)</f>
        <v>nyoules2t@reference.com</v>
      </c>
      <c r="H103" s="16" t="str">
        <f>VLOOKUP(C103, [1]customers!$A$1:$I$1001, 7, FALSE)</f>
        <v>Ireland</v>
      </c>
      <c r="I103" s="18" t="str">
        <f>VLOOKUP(orders!D103,[1]products!$A$1:$G$49, 2,FALSE)</f>
        <v>Lib</v>
      </c>
      <c r="J103" s="18" t="str">
        <f>VLOOKUP(orders!D103,[1]products!$A$1:$G$49, 3,FALSE)</f>
        <v>D</v>
      </c>
      <c r="K103" s="19">
        <f>VLOOKUP(orders!D103,[1]products!$A$1:$G$49, 4,FALSE)</f>
        <v>2.5</v>
      </c>
      <c r="L103" s="19">
        <f>VLOOKUP(orders!D103,[1]products!$A$1:$G$49, 5,FALSE)</f>
        <v>29.784999999999997</v>
      </c>
      <c r="M103" s="13">
        <f>PRODUCT(orders!$E103,orders!$L103)</f>
        <v>148.92499999999998</v>
      </c>
      <c r="N103" s="18" t="str">
        <f t="shared" si="2"/>
        <v>March</v>
      </c>
      <c r="O103" s="18">
        <f t="shared" si="3"/>
        <v>2020</v>
      </c>
      <c r="P103" s="11" t="str">
        <f>TEXT(orders!$B103, "DDD")</f>
        <v>Sun</v>
      </c>
      <c r="Q103" s="11" t="str">
        <f>VLOOKUP(orders!C103,[1]customers!$A$1:$I$1001, 6,FALSE)</f>
        <v>Edgeworthstown</v>
      </c>
    </row>
    <row r="104" spans="1:17" x14ac:dyDescent="0.3">
      <c r="A104" s="7" t="s">
        <v>252</v>
      </c>
      <c r="B104" s="8">
        <v>44488</v>
      </c>
      <c r="C104" s="9" t="s">
        <v>253</v>
      </c>
      <c r="D104" s="10" t="s">
        <v>30</v>
      </c>
      <c r="E104" s="9">
        <v>3</v>
      </c>
      <c r="F104" s="9" t="str">
        <f>VLOOKUP(C104,[1]customers!$A$1:$I$1001, 2, FALSE)</f>
        <v>Dyanna Aizikovitz</v>
      </c>
      <c r="G104" s="9" t="str">
        <f>VLOOKUP(orders!C104,[1]customers!$A$1:$I$1001, 3, FALSE)</f>
        <v>daizikovitz2u@answers.com</v>
      </c>
      <c r="H104" s="9" t="str">
        <f>VLOOKUP(C104, [1]customers!$A$1:$I$1001, 7, FALSE)</f>
        <v>Ireland</v>
      </c>
      <c r="I104" s="11" t="str">
        <f>VLOOKUP(orders!D104,[1]products!$A$1:$G$49, 2,FALSE)</f>
        <v>Lib</v>
      </c>
      <c r="J104" s="11" t="str">
        <f>VLOOKUP(orders!D104,[1]products!$A$1:$G$49, 3,FALSE)</f>
        <v>D</v>
      </c>
      <c r="K104" s="12">
        <f>VLOOKUP(orders!D104,[1]products!$A$1:$G$49, 4,FALSE)</f>
        <v>1</v>
      </c>
      <c r="L104" s="12">
        <f>VLOOKUP(orders!D104,[1]products!$A$1:$G$49, 5,FALSE)</f>
        <v>12.95</v>
      </c>
      <c r="M104" s="13">
        <f>PRODUCT(orders!$E104,orders!$L104)</f>
        <v>38.849999999999994</v>
      </c>
      <c r="N104" s="11" t="str">
        <f t="shared" si="2"/>
        <v>October</v>
      </c>
      <c r="O104" s="11">
        <f t="shared" si="3"/>
        <v>2021</v>
      </c>
      <c r="P104" s="11" t="str">
        <f>TEXT(orders!$B104, "DDD")</f>
        <v>Tue</v>
      </c>
      <c r="Q104" s="11" t="str">
        <f>VLOOKUP(orders!C104,[1]customers!$A$1:$I$1001, 6,FALSE)</f>
        <v>Leixlip</v>
      </c>
    </row>
    <row r="105" spans="1:17" x14ac:dyDescent="0.3">
      <c r="A105" s="14" t="s">
        <v>254</v>
      </c>
      <c r="B105" s="15">
        <v>44750</v>
      </c>
      <c r="C105" s="16" t="s">
        <v>255</v>
      </c>
      <c r="D105" s="17" t="s">
        <v>179</v>
      </c>
      <c r="E105" s="16">
        <v>4</v>
      </c>
      <c r="F105" s="9" t="str">
        <f>VLOOKUP(C105,[1]customers!$A$1:$I$1001, 2, FALSE)</f>
        <v>Bram Revel</v>
      </c>
      <c r="G105" s="16" t="str">
        <f>VLOOKUP(orders!C105,[1]customers!$A$1:$I$1001, 3, FALSE)</f>
        <v>brevel2v@fastcompany.com</v>
      </c>
      <c r="H105" s="16" t="str">
        <f>VLOOKUP(C105, [1]customers!$A$1:$I$1001, 7, FALSE)</f>
        <v>United States</v>
      </c>
      <c r="I105" s="18" t="str">
        <f>VLOOKUP(orders!D105,[1]products!$A$1:$G$49, 2,FALSE)</f>
        <v>Rob</v>
      </c>
      <c r="J105" s="18" t="str">
        <f>VLOOKUP(orders!D105,[1]products!$A$1:$G$49, 3,FALSE)</f>
        <v>M</v>
      </c>
      <c r="K105" s="19">
        <f>VLOOKUP(orders!D105,[1]products!$A$1:$G$49, 4,FALSE)</f>
        <v>0.2</v>
      </c>
      <c r="L105" s="19">
        <f>VLOOKUP(orders!D105,[1]products!$A$1:$G$49, 5,FALSE)</f>
        <v>2.9849999999999999</v>
      </c>
      <c r="M105" s="13">
        <f>PRODUCT(orders!$E105,orders!$L105)</f>
        <v>11.94</v>
      </c>
      <c r="N105" s="18" t="str">
        <f t="shared" si="2"/>
        <v>July</v>
      </c>
      <c r="O105" s="18">
        <f t="shared" si="3"/>
        <v>2022</v>
      </c>
      <c r="P105" s="11" t="str">
        <f>TEXT(orders!$B105, "DDD")</f>
        <v>Fri</v>
      </c>
      <c r="Q105" s="11" t="str">
        <f>VLOOKUP(orders!C105,[1]customers!$A$1:$I$1001, 6,FALSE)</f>
        <v>Rochester</v>
      </c>
    </row>
    <row r="106" spans="1:17" x14ac:dyDescent="0.3">
      <c r="A106" s="7" t="s">
        <v>256</v>
      </c>
      <c r="B106" s="8">
        <v>43694</v>
      </c>
      <c r="C106" s="9" t="s">
        <v>257</v>
      </c>
      <c r="D106" s="10" t="s">
        <v>113</v>
      </c>
      <c r="E106" s="9">
        <v>6</v>
      </c>
      <c r="F106" s="9" t="str">
        <f>VLOOKUP(C106,[1]customers!$A$1:$I$1001, 2, FALSE)</f>
        <v>Emiline Priddis</v>
      </c>
      <c r="G106" s="9" t="str">
        <f>VLOOKUP(orders!C106,[1]customers!$A$1:$I$1001, 3, FALSE)</f>
        <v>epriddis2w@nationalgeographic.com</v>
      </c>
      <c r="H106" s="9" t="str">
        <f>VLOOKUP(C106, [1]customers!$A$1:$I$1001, 7, FALSE)</f>
        <v>United States</v>
      </c>
      <c r="I106" s="11" t="str">
        <f>VLOOKUP(orders!D106,[1]products!$A$1:$G$49, 2,FALSE)</f>
        <v>Lib</v>
      </c>
      <c r="J106" s="11" t="str">
        <f>VLOOKUP(orders!D106,[1]products!$A$1:$G$49, 3,FALSE)</f>
        <v>M</v>
      </c>
      <c r="K106" s="12">
        <f>VLOOKUP(orders!D106,[1]products!$A$1:$G$49, 4,FALSE)</f>
        <v>1</v>
      </c>
      <c r="L106" s="12">
        <f>VLOOKUP(orders!D106,[1]products!$A$1:$G$49, 5,FALSE)</f>
        <v>14.55</v>
      </c>
      <c r="M106" s="13">
        <f>PRODUCT(orders!$E106,orders!$L106)</f>
        <v>87.300000000000011</v>
      </c>
      <c r="N106" s="11" t="str">
        <f t="shared" si="2"/>
        <v>August</v>
      </c>
      <c r="O106" s="11">
        <f t="shared" si="3"/>
        <v>2019</v>
      </c>
      <c r="P106" s="11" t="str">
        <f>TEXT(orders!$B106, "DDD")</f>
        <v>Sat</v>
      </c>
      <c r="Q106" s="11" t="str">
        <f>VLOOKUP(orders!C106,[1]customers!$A$1:$I$1001, 6,FALSE)</f>
        <v>Tuscaloosa</v>
      </c>
    </row>
    <row r="107" spans="1:17" x14ac:dyDescent="0.3">
      <c r="A107" s="14" t="s">
        <v>258</v>
      </c>
      <c r="B107" s="15">
        <v>43982</v>
      </c>
      <c r="C107" s="16" t="s">
        <v>259</v>
      </c>
      <c r="D107" s="17" t="s">
        <v>84</v>
      </c>
      <c r="E107" s="16">
        <v>6</v>
      </c>
      <c r="F107" s="9" t="str">
        <f>VLOOKUP(C107,[1]customers!$A$1:$I$1001, 2, FALSE)</f>
        <v>Queenie Veel</v>
      </c>
      <c r="G107" s="16" t="str">
        <f>VLOOKUP(orders!C107,[1]customers!$A$1:$I$1001, 3, FALSE)</f>
        <v>qveel2x@jugem.jp</v>
      </c>
      <c r="H107" s="16" t="str">
        <f>VLOOKUP(C107, [1]customers!$A$1:$I$1001, 7, FALSE)</f>
        <v>United States</v>
      </c>
      <c r="I107" s="18" t="str">
        <f>VLOOKUP(orders!D107,[1]products!$A$1:$G$49, 2,FALSE)</f>
        <v>Ara</v>
      </c>
      <c r="J107" s="18" t="str">
        <f>VLOOKUP(orders!D107,[1]products!$A$1:$G$49, 3,FALSE)</f>
        <v>M</v>
      </c>
      <c r="K107" s="19">
        <f>VLOOKUP(orders!D107,[1]products!$A$1:$G$49, 4,FALSE)</f>
        <v>0.5</v>
      </c>
      <c r="L107" s="19">
        <f>VLOOKUP(orders!D107,[1]products!$A$1:$G$49, 5,FALSE)</f>
        <v>6.75</v>
      </c>
      <c r="M107" s="13">
        <f>PRODUCT(orders!$E107,orders!$L107)</f>
        <v>40.5</v>
      </c>
      <c r="N107" s="18" t="str">
        <f t="shared" si="2"/>
        <v>May</v>
      </c>
      <c r="O107" s="18">
        <f t="shared" si="3"/>
        <v>2020</v>
      </c>
      <c r="P107" s="11" t="str">
        <f>TEXT(orders!$B107, "DDD")</f>
        <v>Sun</v>
      </c>
      <c r="Q107" s="11" t="str">
        <f>VLOOKUP(orders!C107,[1]customers!$A$1:$I$1001, 6,FALSE)</f>
        <v>Houston</v>
      </c>
    </row>
    <row r="108" spans="1:17" x14ac:dyDescent="0.3">
      <c r="A108" s="7" t="s">
        <v>260</v>
      </c>
      <c r="B108" s="8">
        <v>43956</v>
      </c>
      <c r="C108" s="9" t="s">
        <v>261</v>
      </c>
      <c r="D108" s="10" t="s">
        <v>262</v>
      </c>
      <c r="E108" s="9">
        <v>2</v>
      </c>
      <c r="F108" s="9" t="str">
        <f>VLOOKUP(C108,[1]customers!$A$1:$I$1001, 2, FALSE)</f>
        <v>Lind Conyers</v>
      </c>
      <c r="G108" s="9" t="str">
        <f>VLOOKUP(orders!C108,[1]customers!$A$1:$I$1001, 3, FALSE)</f>
        <v>lconyers2y@twitter.com</v>
      </c>
      <c r="H108" s="9" t="str">
        <f>VLOOKUP(C108, [1]customers!$A$1:$I$1001, 7, FALSE)</f>
        <v>United States</v>
      </c>
      <c r="I108" s="11" t="str">
        <f>VLOOKUP(orders!D108,[1]products!$A$1:$G$49, 2,FALSE)</f>
        <v>Exc</v>
      </c>
      <c r="J108" s="11" t="str">
        <f>VLOOKUP(orders!D108,[1]products!$A$1:$G$49, 3,FALSE)</f>
        <v>D</v>
      </c>
      <c r="K108" s="12">
        <f>VLOOKUP(orders!D108,[1]products!$A$1:$G$49, 4,FALSE)</f>
        <v>1</v>
      </c>
      <c r="L108" s="12">
        <f>VLOOKUP(orders!D108,[1]products!$A$1:$G$49, 5,FALSE)</f>
        <v>12.15</v>
      </c>
      <c r="M108" s="13">
        <f>PRODUCT(orders!$E108,orders!$L108)</f>
        <v>24.3</v>
      </c>
      <c r="N108" s="11" t="str">
        <f t="shared" si="2"/>
        <v>May</v>
      </c>
      <c r="O108" s="11">
        <f t="shared" si="3"/>
        <v>2020</v>
      </c>
      <c r="P108" s="11" t="str">
        <f>TEXT(orders!$B108, "DDD")</f>
        <v>Tue</v>
      </c>
      <c r="Q108" s="11" t="str">
        <f>VLOOKUP(orders!C108,[1]customers!$A$1:$I$1001, 6,FALSE)</f>
        <v>El Paso</v>
      </c>
    </row>
    <row r="109" spans="1:17" x14ac:dyDescent="0.3">
      <c r="A109" s="14" t="s">
        <v>263</v>
      </c>
      <c r="B109" s="15">
        <v>43569</v>
      </c>
      <c r="C109" s="16" t="s">
        <v>264</v>
      </c>
      <c r="D109" s="17" t="s">
        <v>39</v>
      </c>
      <c r="E109" s="16">
        <v>3</v>
      </c>
      <c r="F109" s="9" t="str">
        <f>VLOOKUP(C109,[1]customers!$A$1:$I$1001, 2, FALSE)</f>
        <v>Pen Wye</v>
      </c>
      <c r="G109" s="16" t="str">
        <f>VLOOKUP(orders!C109,[1]customers!$A$1:$I$1001, 3, FALSE)</f>
        <v>pwye2z@dagondesign.com</v>
      </c>
      <c r="H109" s="16" t="str">
        <f>VLOOKUP(C109, [1]customers!$A$1:$I$1001, 7, FALSE)</f>
        <v>United States</v>
      </c>
      <c r="I109" s="18" t="str">
        <f>VLOOKUP(orders!D109,[1]products!$A$1:$G$49, 2,FALSE)</f>
        <v>Rob</v>
      </c>
      <c r="J109" s="18" t="str">
        <f>VLOOKUP(orders!D109,[1]products!$A$1:$G$49, 3,FALSE)</f>
        <v>M</v>
      </c>
      <c r="K109" s="19">
        <f>VLOOKUP(orders!D109,[1]products!$A$1:$G$49, 4,FALSE)</f>
        <v>0.5</v>
      </c>
      <c r="L109" s="19">
        <f>VLOOKUP(orders!D109,[1]products!$A$1:$G$49, 5,FALSE)</f>
        <v>5.97</v>
      </c>
      <c r="M109" s="13">
        <f>PRODUCT(orders!$E109,orders!$L109)</f>
        <v>17.91</v>
      </c>
      <c r="N109" s="18" t="str">
        <f t="shared" si="2"/>
        <v>April</v>
      </c>
      <c r="O109" s="18">
        <f t="shared" si="3"/>
        <v>2019</v>
      </c>
      <c r="P109" s="11" t="str">
        <f>TEXT(orders!$B109, "DDD")</f>
        <v>Sun</v>
      </c>
      <c r="Q109" s="11" t="str">
        <f>VLOOKUP(orders!C109,[1]customers!$A$1:$I$1001, 6,FALSE)</f>
        <v>Colorado Springs</v>
      </c>
    </row>
    <row r="110" spans="1:17" x14ac:dyDescent="0.3">
      <c r="A110" s="7" t="s">
        <v>265</v>
      </c>
      <c r="B110" s="8">
        <v>44041</v>
      </c>
      <c r="C110" s="9" t="s">
        <v>266</v>
      </c>
      <c r="D110" s="10" t="s">
        <v>84</v>
      </c>
      <c r="E110" s="9">
        <v>4</v>
      </c>
      <c r="F110" s="9" t="str">
        <f>VLOOKUP(C110,[1]customers!$A$1:$I$1001, 2, FALSE)</f>
        <v>Isahella Hagland</v>
      </c>
      <c r="G110" s="9">
        <f>VLOOKUP(orders!C110,[1]customers!$A$1:$I$1001, 3, FALSE)</f>
        <v>0</v>
      </c>
      <c r="H110" s="9" t="str">
        <f>VLOOKUP(C110, [1]customers!$A$1:$I$1001, 7, FALSE)</f>
        <v>United States</v>
      </c>
      <c r="I110" s="11" t="str">
        <f>VLOOKUP(orders!D110,[1]products!$A$1:$G$49, 2,FALSE)</f>
        <v>Ara</v>
      </c>
      <c r="J110" s="11" t="str">
        <f>VLOOKUP(orders!D110,[1]products!$A$1:$G$49, 3,FALSE)</f>
        <v>M</v>
      </c>
      <c r="K110" s="12">
        <f>VLOOKUP(orders!D110,[1]products!$A$1:$G$49, 4,FALSE)</f>
        <v>0.5</v>
      </c>
      <c r="L110" s="12">
        <f>VLOOKUP(orders!D110,[1]products!$A$1:$G$49, 5,FALSE)</f>
        <v>6.75</v>
      </c>
      <c r="M110" s="13">
        <f>PRODUCT(orders!$E110,orders!$L110)</f>
        <v>27</v>
      </c>
      <c r="N110" s="11" t="str">
        <f t="shared" si="2"/>
        <v>July</v>
      </c>
      <c r="O110" s="11">
        <f t="shared" si="3"/>
        <v>2020</v>
      </c>
      <c r="P110" s="11" t="str">
        <f>TEXT(orders!$B110, "DDD")</f>
        <v>Wed</v>
      </c>
      <c r="Q110" s="11" t="str">
        <f>VLOOKUP(orders!C110,[1]customers!$A$1:$I$1001, 6,FALSE)</f>
        <v>Fort Wayne</v>
      </c>
    </row>
    <row r="111" spans="1:17" x14ac:dyDescent="0.3">
      <c r="A111" s="14" t="s">
        <v>267</v>
      </c>
      <c r="B111" s="15">
        <v>43811</v>
      </c>
      <c r="C111" s="16" t="s">
        <v>268</v>
      </c>
      <c r="D111" s="17" t="s">
        <v>140</v>
      </c>
      <c r="E111" s="16">
        <v>1</v>
      </c>
      <c r="F111" s="9" t="str">
        <f>VLOOKUP(C111,[1]customers!$A$1:$I$1001, 2, FALSE)</f>
        <v>Terry Sheryn</v>
      </c>
      <c r="G111" s="16" t="str">
        <f>VLOOKUP(orders!C111,[1]customers!$A$1:$I$1001, 3, FALSE)</f>
        <v>tsheryn31@mtv.com</v>
      </c>
      <c r="H111" s="16" t="str">
        <f>VLOOKUP(C111, [1]customers!$A$1:$I$1001, 7, FALSE)</f>
        <v>United States</v>
      </c>
      <c r="I111" s="18" t="str">
        <f>VLOOKUP(orders!D111,[1]products!$A$1:$G$49, 2,FALSE)</f>
        <v>Lib</v>
      </c>
      <c r="J111" s="18" t="str">
        <f>VLOOKUP(orders!D111,[1]products!$A$1:$G$49, 3,FALSE)</f>
        <v>D</v>
      </c>
      <c r="K111" s="19">
        <f>VLOOKUP(orders!D111,[1]products!$A$1:$G$49, 4,FALSE)</f>
        <v>0.5</v>
      </c>
      <c r="L111" s="19">
        <f>VLOOKUP(orders!D111,[1]products!$A$1:$G$49, 5,FALSE)</f>
        <v>7.77</v>
      </c>
      <c r="M111" s="13">
        <f>PRODUCT(orders!$E111,orders!$L111)</f>
        <v>7.77</v>
      </c>
      <c r="N111" s="18" t="str">
        <f t="shared" si="2"/>
        <v>December</v>
      </c>
      <c r="O111" s="18">
        <f t="shared" si="3"/>
        <v>2019</v>
      </c>
      <c r="P111" s="11" t="str">
        <f>TEXT(orders!$B111, "DDD")</f>
        <v>Thu</v>
      </c>
      <c r="Q111" s="11" t="str">
        <f>VLOOKUP(orders!C111,[1]customers!$A$1:$I$1001, 6,FALSE)</f>
        <v>Port Washington</v>
      </c>
    </row>
    <row r="112" spans="1:17" x14ac:dyDescent="0.3">
      <c r="A112" s="7" t="s">
        <v>269</v>
      </c>
      <c r="B112" s="8">
        <v>44727</v>
      </c>
      <c r="C112" s="9" t="s">
        <v>270</v>
      </c>
      <c r="D112" s="10" t="s">
        <v>271</v>
      </c>
      <c r="E112" s="9">
        <v>3</v>
      </c>
      <c r="F112" s="9" t="str">
        <f>VLOOKUP(C112,[1]customers!$A$1:$I$1001, 2, FALSE)</f>
        <v>Marie-jeanne Redgrave</v>
      </c>
      <c r="G112" s="9" t="str">
        <f>VLOOKUP(orders!C112,[1]customers!$A$1:$I$1001, 3, FALSE)</f>
        <v>mredgrave32@cargocollective.com</v>
      </c>
      <c r="H112" s="9" t="str">
        <f>VLOOKUP(C112, [1]customers!$A$1:$I$1001, 7, FALSE)</f>
        <v>United States</v>
      </c>
      <c r="I112" s="11" t="str">
        <f>VLOOKUP(orders!D112,[1]products!$A$1:$G$49, 2,FALSE)</f>
        <v>Exc</v>
      </c>
      <c r="J112" s="11" t="str">
        <f>VLOOKUP(orders!D112,[1]products!$A$1:$G$49, 3,FALSE)</f>
        <v>L</v>
      </c>
      <c r="K112" s="12">
        <f>VLOOKUP(orders!D112,[1]products!$A$1:$G$49, 4,FALSE)</f>
        <v>0.2</v>
      </c>
      <c r="L112" s="12">
        <f>VLOOKUP(orders!D112,[1]products!$A$1:$G$49, 5,FALSE)</f>
        <v>4.4550000000000001</v>
      </c>
      <c r="M112" s="13">
        <f>PRODUCT(orders!$E112,orders!$L112)</f>
        <v>13.365</v>
      </c>
      <c r="N112" s="11" t="str">
        <f t="shared" si="2"/>
        <v>June</v>
      </c>
      <c r="O112" s="11">
        <f t="shared" si="3"/>
        <v>2022</v>
      </c>
      <c r="P112" s="11" t="str">
        <f>TEXT(orders!$B112, "DDD")</f>
        <v>Wed</v>
      </c>
      <c r="Q112" s="11" t="str">
        <f>VLOOKUP(orders!C112,[1]customers!$A$1:$I$1001, 6,FALSE)</f>
        <v>Springfield</v>
      </c>
    </row>
    <row r="113" spans="1:17" x14ac:dyDescent="0.3">
      <c r="A113" s="14" t="s">
        <v>272</v>
      </c>
      <c r="B113" s="15">
        <v>43642</v>
      </c>
      <c r="C113" s="16" t="s">
        <v>273</v>
      </c>
      <c r="D113" s="17" t="s">
        <v>163</v>
      </c>
      <c r="E113" s="16">
        <v>5</v>
      </c>
      <c r="F113" s="9" t="str">
        <f>VLOOKUP(C113,[1]customers!$A$1:$I$1001, 2, FALSE)</f>
        <v>Betty Fominov</v>
      </c>
      <c r="G113" s="16" t="str">
        <f>VLOOKUP(orders!C113,[1]customers!$A$1:$I$1001, 3, FALSE)</f>
        <v>bfominov33@yale.edu</v>
      </c>
      <c r="H113" s="16" t="str">
        <f>VLOOKUP(C113, [1]customers!$A$1:$I$1001, 7, FALSE)</f>
        <v>United States</v>
      </c>
      <c r="I113" s="18" t="str">
        <f>VLOOKUP(orders!D113,[1]products!$A$1:$G$49, 2,FALSE)</f>
        <v>Rob</v>
      </c>
      <c r="J113" s="18" t="str">
        <f>VLOOKUP(orders!D113,[1]products!$A$1:$G$49, 3,FALSE)</f>
        <v>D</v>
      </c>
      <c r="K113" s="19">
        <f>VLOOKUP(orders!D113,[1]products!$A$1:$G$49, 4,FALSE)</f>
        <v>0.5</v>
      </c>
      <c r="L113" s="19">
        <f>VLOOKUP(orders!D113,[1]products!$A$1:$G$49, 5,FALSE)</f>
        <v>5.3699999999999992</v>
      </c>
      <c r="M113" s="13">
        <f>PRODUCT(orders!$E113,orders!$L113)</f>
        <v>26.849999999999994</v>
      </c>
      <c r="N113" s="18" t="str">
        <f t="shared" si="2"/>
        <v>June</v>
      </c>
      <c r="O113" s="18">
        <f t="shared" si="3"/>
        <v>2019</v>
      </c>
      <c r="P113" s="11" t="str">
        <f>TEXT(orders!$B113, "DDD")</f>
        <v>Wed</v>
      </c>
      <c r="Q113" s="11" t="str">
        <f>VLOOKUP(orders!C113,[1]customers!$A$1:$I$1001, 6,FALSE)</f>
        <v>Pensacola</v>
      </c>
    </row>
    <row r="114" spans="1:17" x14ac:dyDescent="0.3">
      <c r="A114" s="7" t="s">
        <v>274</v>
      </c>
      <c r="B114" s="8">
        <v>44481</v>
      </c>
      <c r="C114" s="9" t="s">
        <v>275</v>
      </c>
      <c r="D114" s="10" t="s">
        <v>78</v>
      </c>
      <c r="E114" s="9">
        <v>1</v>
      </c>
      <c r="F114" s="9" t="str">
        <f>VLOOKUP(C114,[1]customers!$A$1:$I$1001, 2, FALSE)</f>
        <v>Shawnee Critchlow</v>
      </c>
      <c r="G114" s="9" t="str">
        <f>VLOOKUP(orders!C114,[1]customers!$A$1:$I$1001, 3, FALSE)</f>
        <v>scritchlow34@un.org</v>
      </c>
      <c r="H114" s="9" t="str">
        <f>VLOOKUP(C114, [1]customers!$A$1:$I$1001, 7, FALSE)</f>
        <v>United States</v>
      </c>
      <c r="I114" s="11" t="str">
        <f>VLOOKUP(orders!D114,[1]products!$A$1:$G$49, 2,FALSE)</f>
        <v>Ara</v>
      </c>
      <c r="J114" s="11" t="str">
        <f>VLOOKUP(orders!D114,[1]products!$A$1:$G$49, 3,FALSE)</f>
        <v>M</v>
      </c>
      <c r="K114" s="12">
        <f>VLOOKUP(orders!D114,[1]products!$A$1:$G$49, 4,FALSE)</f>
        <v>1</v>
      </c>
      <c r="L114" s="12">
        <f>VLOOKUP(orders!D114,[1]products!$A$1:$G$49, 5,FALSE)</f>
        <v>11.25</v>
      </c>
      <c r="M114" s="13">
        <f>PRODUCT(orders!$E114,orders!$L114)</f>
        <v>11.25</v>
      </c>
      <c r="N114" s="11" t="str">
        <f t="shared" si="2"/>
        <v>October</v>
      </c>
      <c r="O114" s="11">
        <f t="shared" si="3"/>
        <v>2021</v>
      </c>
      <c r="P114" s="11" t="str">
        <f>TEXT(orders!$B114, "DDD")</f>
        <v>Tue</v>
      </c>
      <c r="Q114" s="11" t="str">
        <f>VLOOKUP(orders!C114,[1]customers!$A$1:$I$1001, 6,FALSE)</f>
        <v>Richmond</v>
      </c>
    </row>
    <row r="115" spans="1:17" x14ac:dyDescent="0.3">
      <c r="A115" s="14" t="s">
        <v>276</v>
      </c>
      <c r="B115" s="15">
        <v>43556</v>
      </c>
      <c r="C115" s="16" t="s">
        <v>277</v>
      </c>
      <c r="D115" s="17" t="s">
        <v>113</v>
      </c>
      <c r="E115" s="16">
        <v>1</v>
      </c>
      <c r="F115" s="9" t="str">
        <f>VLOOKUP(C115,[1]customers!$A$1:$I$1001, 2, FALSE)</f>
        <v>Merrel Steptow</v>
      </c>
      <c r="G115" s="16" t="str">
        <f>VLOOKUP(orders!C115,[1]customers!$A$1:$I$1001, 3, FALSE)</f>
        <v>msteptow35@earthlink.net</v>
      </c>
      <c r="H115" s="16" t="str">
        <f>VLOOKUP(C115, [1]customers!$A$1:$I$1001, 7, FALSE)</f>
        <v>Ireland</v>
      </c>
      <c r="I115" s="18" t="str">
        <f>VLOOKUP(orders!D115,[1]products!$A$1:$G$49, 2,FALSE)</f>
        <v>Lib</v>
      </c>
      <c r="J115" s="18" t="str">
        <f>VLOOKUP(orders!D115,[1]products!$A$1:$G$49, 3,FALSE)</f>
        <v>M</v>
      </c>
      <c r="K115" s="19">
        <f>VLOOKUP(orders!D115,[1]products!$A$1:$G$49, 4,FALSE)</f>
        <v>1</v>
      </c>
      <c r="L115" s="19">
        <f>VLOOKUP(orders!D115,[1]products!$A$1:$G$49, 5,FALSE)</f>
        <v>14.55</v>
      </c>
      <c r="M115" s="13">
        <f>PRODUCT(orders!$E115,orders!$L115)</f>
        <v>14.55</v>
      </c>
      <c r="N115" s="18" t="str">
        <f t="shared" si="2"/>
        <v>April</v>
      </c>
      <c r="O115" s="18">
        <f t="shared" si="3"/>
        <v>2019</v>
      </c>
      <c r="P115" s="11" t="str">
        <f>TEXT(orders!$B115, "DDD")</f>
        <v>Mon</v>
      </c>
      <c r="Q115" s="11" t="str">
        <f>VLOOKUP(orders!C115,[1]customers!$A$1:$I$1001, 6,FALSE)</f>
        <v>Cherryville</v>
      </c>
    </row>
    <row r="116" spans="1:17" x14ac:dyDescent="0.3">
      <c r="A116" s="7" t="s">
        <v>278</v>
      </c>
      <c r="B116" s="8">
        <v>44265</v>
      </c>
      <c r="C116" s="9" t="s">
        <v>279</v>
      </c>
      <c r="D116" s="10" t="s">
        <v>199</v>
      </c>
      <c r="E116" s="9">
        <v>4</v>
      </c>
      <c r="F116" s="9" t="str">
        <f>VLOOKUP(C116,[1]customers!$A$1:$I$1001, 2, FALSE)</f>
        <v>Carmina Hubbuck</v>
      </c>
      <c r="G116" s="9">
        <f>VLOOKUP(orders!C116,[1]customers!$A$1:$I$1001, 3, FALSE)</f>
        <v>0</v>
      </c>
      <c r="H116" s="9" t="str">
        <f>VLOOKUP(C116, [1]customers!$A$1:$I$1001, 7, FALSE)</f>
        <v>United States</v>
      </c>
      <c r="I116" s="11" t="str">
        <f>VLOOKUP(orders!D116,[1]products!$A$1:$G$49, 2,FALSE)</f>
        <v>Rob</v>
      </c>
      <c r="J116" s="11" t="str">
        <f>VLOOKUP(orders!D116,[1]products!$A$1:$G$49, 3,FALSE)</f>
        <v>L</v>
      </c>
      <c r="K116" s="12">
        <f>VLOOKUP(orders!D116,[1]products!$A$1:$G$49, 4,FALSE)</f>
        <v>0.2</v>
      </c>
      <c r="L116" s="12">
        <f>VLOOKUP(orders!D116,[1]products!$A$1:$G$49, 5,FALSE)</f>
        <v>3.5849999999999995</v>
      </c>
      <c r="M116" s="13">
        <f>PRODUCT(orders!$E116,orders!$L116)</f>
        <v>14.339999999999998</v>
      </c>
      <c r="N116" s="11" t="str">
        <f t="shared" si="2"/>
        <v>March</v>
      </c>
      <c r="O116" s="11">
        <f t="shared" si="3"/>
        <v>2021</v>
      </c>
      <c r="P116" s="11" t="str">
        <f>TEXT(orders!$B116, "DDD")</f>
        <v>Wed</v>
      </c>
      <c r="Q116" s="11" t="str">
        <f>VLOOKUP(orders!C116,[1]customers!$A$1:$I$1001, 6,FALSE)</f>
        <v>Huntington</v>
      </c>
    </row>
    <row r="117" spans="1:17" x14ac:dyDescent="0.3">
      <c r="A117" s="14" t="s">
        <v>280</v>
      </c>
      <c r="B117" s="15">
        <v>43693</v>
      </c>
      <c r="C117" s="16" t="s">
        <v>281</v>
      </c>
      <c r="D117" s="17" t="s">
        <v>149</v>
      </c>
      <c r="E117" s="16">
        <v>1</v>
      </c>
      <c r="F117" s="9" t="str">
        <f>VLOOKUP(C117,[1]customers!$A$1:$I$1001, 2, FALSE)</f>
        <v>Ingeberg Mulliner</v>
      </c>
      <c r="G117" s="16" t="str">
        <f>VLOOKUP(orders!C117,[1]customers!$A$1:$I$1001, 3, FALSE)</f>
        <v>imulliner37@pinterest.com</v>
      </c>
      <c r="H117" s="16" t="str">
        <f>VLOOKUP(C117, [1]customers!$A$1:$I$1001, 7, FALSE)</f>
        <v>United Kingdom</v>
      </c>
      <c r="I117" s="18" t="str">
        <f>VLOOKUP(orders!D117,[1]products!$A$1:$G$49, 2,FALSE)</f>
        <v>Lib</v>
      </c>
      <c r="J117" s="18" t="str">
        <f>VLOOKUP(orders!D117,[1]products!$A$1:$G$49, 3,FALSE)</f>
        <v>L</v>
      </c>
      <c r="K117" s="19">
        <f>VLOOKUP(orders!D117,[1]products!$A$1:$G$49, 4,FALSE)</f>
        <v>1</v>
      </c>
      <c r="L117" s="19">
        <f>VLOOKUP(orders!D117,[1]products!$A$1:$G$49, 5,FALSE)</f>
        <v>15.85</v>
      </c>
      <c r="M117" s="13">
        <f>PRODUCT(orders!$E117,orders!$L117)</f>
        <v>15.85</v>
      </c>
      <c r="N117" s="18" t="str">
        <f t="shared" si="2"/>
        <v>August</v>
      </c>
      <c r="O117" s="18">
        <f t="shared" si="3"/>
        <v>2019</v>
      </c>
      <c r="P117" s="11" t="str">
        <f>TEXT(orders!$B117, "DDD")</f>
        <v>Fri</v>
      </c>
      <c r="Q117" s="11" t="str">
        <f>VLOOKUP(orders!C117,[1]customers!$A$1:$I$1001, 6,FALSE)</f>
        <v>Birmingham</v>
      </c>
    </row>
    <row r="118" spans="1:17" x14ac:dyDescent="0.3">
      <c r="A118" s="7" t="s">
        <v>282</v>
      </c>
      <c r="B118" s="8">
        <v>44054</v>
      </c>
      <c r="C118" s="9" t="s">
        <v>283</v>
      </c>
      <c r="D118" s="10" t="s">
        <v>36</v>
      </c>
      <c r="E118" s="9">
        <v>4</v>
      </c>
      <c r="F118" s="9" t="str">
        <f>VLOOKUP(C118,[1]customers!$A$1:$I$1001, 2, FALSE)</f>
        <v>Geneva Standley</v>
      </c>
      <c r="G118" s="9" t="str">
        <f>VLOOKUP(orders!C118,[1]customers!$A$1:$I$1001, 3, FALSE)</f>
        <v>gstandley38@dion.ne.jp</v>
      </c>
      <c r="H118" s="9" t="str">
        <f>VLOOKUP(C118, [1]customers!$A$1:$I$1001, 7, FALSE)</f>
        <v>Ireland</v>
      </c>
      <c r="I118" s="11" t="str">
        <f>VLOOKUP(orders!D118,[1]products!$A$1:$G$49, 2,FALSE)</f>
        <v>Lib</v>
      </c>
      <c r="J118" s="11" t="str">
        <f>VLOOKUP(orders!D118,[1]products!$A$1:$G$49, 3,FALSE)</f>
        <v>L</v>
      </c>
      <c r="K118" s="12">
        <f>VLOOKUP(orders!D118,[1]products!$A$1:$G$49, 4,FALSE)</f>
        <v>0.2</v>
      </c>
      <c r="L118" s="12">
        <f>VLOOKUP(orders!D118,[1]products!$A$1:$G$49, 5,FALSE)</f>
        <v>4.7549999999999999</v>
      </c>
      <c r="M118" s="13">
        <f>PRODUCT(orders!$E118,orders!$L118)</f>
        <v>19.02</v>
      </c>
      <c r="N118" s="11" t="str">
        <f t="shared" si="2"/>
        <v>August</v>
      </c>
      <c r="O118" s="11">
        <f t="shared" si="3"/>
        <v>2020</v>
      </c>
      <c r="P118" s="11" t="str">
        <f>TEXT(orders!$B118, "DDD")</f>
        <v>Tue</v>
      </c>
      <c r="Q118" s="11" t="str">
        <f>VLOOKUP(orders!C118,[1]customers!$A$1:$I$1001, 6,FALSE)</f>
        <v>Killorglin</v>
      </c>
    </row>
    <row r="119" spans="1:17" x14ac:dyDescent="0.3">
      <c r="A119" s="14" t="s">
        <v>284</v>
      </c>
      <c r="B119" s="15">
        <v>44656</v>
      </c>
      <c r="C119" s="16" t="s">
        <v>285</v>
      </c>
      <c r="D119" s="17" t="s">
        <v>100</v>
      </c>
      <c r="E119" s="16">
        <v>4</v>
      </c>
      <c r="F119" s="9" t="str">
        <f>VLOOKUP(C119,[1]customers!$A$1:$I$1001, 2, FALSE)</f>
        <v>Brook Drage</v>
      </c>
      <c r="G119" s="16" t="str">
        <f>VLOOKUP(orders!C119,[1]customers!$A$1:$I$1001, 3, FALSE)</f>
        <v>bdrage39@youku.com</v>
      </c>
      <c r="H119" s="16" t="str">
        <f>VLOOKUP(C119, [1]customers!$A$1:$I$1001, 7, FALSE)</f>
        <v>United States</v>
      </c>
      <c r="I119" s="18" t="str">
        <f>VLOOKUP(orders!D119,[1]products!$A$1:$G$49, 2,FALSE)</f>
        <v>Lib</v>
      </c>
      <c r="J119" s="18" t="str">
        <f>VLOOKUP(orders!D119,[1]products!$A$1:$G$49, 3,FALSE)</f>
        <v>L</v>
      </c>
      <c r="K119" s="19">
        <f>VLOOKUP(orders!D119,[1]products!$A$1:$G$49, 4,FALSE)</f>
        <v>0.5</v>
      </c>
      <c r="L119" s="19">
        <f>VLOOKUP(orders!D119,[1]products!$A$1:$G$49, 5,FALSE)</f>
        <v>9.51</v>
      </c>
      <c r="M119" s="13">
        <f>PRODUCT(orders!$E119,orders!$L119)</f>
        <v>38.04</v>
      </c>
      <c r="N119" s="18" t="str">
        <f t="shared" si="2"/>
        <v>April</v>
      </c>
      <c r="O119" s="18">
        <f t="shared" si="3"/>
        <v>2022</v>
      </c>
      <c r="P119" s="11" t="str">
        <f>TEXT(orders!$B119, "DDD")</f>
        <v>Tue</v>
      </c>
      <c r="Q119" s="11" t="str">
        <f>VLOOKUP(orders!C119,[1]customers!$A$1:$I$1001, 6,FALSE)</f>
        <v>Dayton</v>
      </c>
    </row>
    <row r="120" spans="1:17" x14ac:dyDescent="0.3">
      <c r="A120" s="7" t="s">
        <v>286</v>
      </c>
      <c r="B120" s="8">
        <v>43760</v>
      </c>
      <c r="C120" s="9" t="s">
        <v>287</v>
      </c>
      <c r="D120" s="10" t="s">
        <v>33</v>
      </c>
      <c r="E120" s="9">
        <v>3</v>
      </c>
      <c r="F120" s="9" t="str">
        <f>VLOOKUP(C120,[1]customers!$A$1:$I$1001, 2, FALSE)</f>
        <v>Muffin Yallop</v>
      </c>
      <c r="G120" s="9" t="str">
        <f>VLOOKUP(orders!C120,[1]customers!$A$1:$I$1001, 3, FALSE)</f>
        <v>myallop3a@fema.gov</v>
      </c>
      <c r="H120" s="9" t="str">
        <f>VLOOKUP(C120, [1]customers!$A$1:$I$1001, 7, FALSE)</f>
        <v>United States</v>
      </c>
      <c r="I120" s="11" t="str">
        <f>VLOOKUP(orders!D120,[1]products!$A$1:$G$49, 2,FALSE)</f>
        <v>Exc</v>
      </c>
      <c r="J120" s="11" t="str">
        <f>VLOOKUP(orders!D120,[1]products!$A$1:$G$49, 3,FALSE)</f>
        <v>D</v>
      </c>
      <c r="K120" s="12">
        <f>VLOOKUP(orders!D120,[1]products!$A$1:$G$49, 4,FALSE)</f>
        <v>0.5</v>
      </c>
      <c r="L120" s="12">
        <f>VLOOKUP(orders!D120,[1]products!$A$1:$G$49, 5,FALSE)</f>
        <v>7.29</v>
      </c>
      <c r="M120" s="13">
        <f>PRODUCT(orders!$E120,orders!$L120)</f>
        <v>21.87</v>
      </c>
      <c r="N120" s="11" t="str">
        <f t="shared" si="2"/>
        <v>October</v>
      </c>
      <c r="O120" s="11">
        <f t="shared" si="3"/>
        <v>2019</v>
      </c>
      <c r="P120" s="11" t="str">
        <f>TEXT(orders!$B120, "DDD")</f>
        <v>Tue</v>
      </c>
      <c r="Q120" s="11" t="str">
        <f>VLOOKUP(orders!C120,[1]customers!$A$1:$I$1001, 6,FALSE)</f>
        <v>Anchorage</v>
      </c>
    </row>
    <row r="121" spans="1:17" x14ac:dyDescent="0.3">
      <c r="A121" s="14" t="s">
        <v>288</v>
      </c>
      <c r="B121" s="15">
        <v>44471</v>
      </c>
      <c r="C121" s="16" t="s">
        <v>289</v>
      </c>
      <c r="D121" s="17" t="s">
        <v>81</v>
      </c>
      <c r="E121" s="16">
        <v>1</v>
      </c>
      <c r="F121" s="9" t="str">
        <f>VLOOKUP(C121,[1]customers!$A$1:$I$1001, 2, FALSE)</f>
        <v>Cordi Switsur</v>
      </c>
      <c r="G121" s="16" t="str">
        <f>VLOOKUP(orders!C121,[1]customers!$A$1:$I$1001, 3, FALSE)</f>
        <v>cswitsur3b@chronoengine.com</v>
      </c>
      <c r="H121" s="16" t="str">
        <f>VLOOKUP(C121, [1]customers!$A$1:$I$1001, 7, FALSE)</f>
        <v>United States</v>
      </c>
      <c r="I121" s="18" t="str">
        <f>VLOOKUP(orders!D121,[1]products!$A$1:$G$49, 2,FALSE)</f>
        <v>Exc</v>
      </c>
      <c r="J121" s="18" t="str">
        <f>VLOOKUP(orders!D121,[1]products!$A$1:$G$49, 3,FALSE)</f>
        <v>M</v>
      </c>
      <c r="K121" s="19">
        <f>VLOOKUP(orders!D121,[1]products!$A$1:$G$49, 4,FALSE)</f>
        <v>0.2</v>
      </c>
      <c r="L121" s="19">
        <f>VLOOKUP(orders!D121,[1]products!$A$1:$G$49, 5,FALSE)</f>
        <v>4.125</v>
      </c>
      <c r="M121" s="13">
        <f>PRODUCT(orders!$E121,orders!$L121)</f>
        <v>4.125</v>
      </c>
      <c r="N121" s="18" t="str">
        <f t="shared" si="2"/>
        <v>October</v>
      </c>
      <c r="O121" s="18">
        <f t="shared" si="3"/>
        <v>2021</v>
      </c>
      <c r="P121" s="11" t="str">
        <f>TEXT(orders!$B121, "DDD")</f>
        <v>Sat</v>
      </c>
      <c r="Q121" s="11" t="str">
        <f>VLOOKUP(orders!C121,[1]customers!$A$1:$I$1001, 6,FALSE)</f>
        <v>Nashville</v>
      </c>
    </row>
    <row r="122" spans="1:17" x14ac:dyDescent="0.3">
      <c r="A122" s="7" t="s">
        <v>288</v>
      </c>
      <c r="B122" s="8">
        <v>44471</v>
      </c>
      <c r="C122" s="9" t="s">
        <v>289</v>
      </c>
      <c r="D122" s="10" t="s">
        <v>132</v>
      </c>
      <c r="E122" s="9">
        <v>1</v>
      </c>
      <c r="F122" s="9" t="str">
        <f>VLOOKUP(C122,[1]customers!$A$1:$I$1001, 2, FALSE)</f>
        <v>Cordi Switsur</v>
      </c>
      <c r="G122" s="9" t="str">
        <f>VLOOKUP(orders!C122,[1]customers!$A$1:$I$1001, 3, FALSE)</f>
        <v>cswitsur3b@chronoengine.com</v>
      </c>
      <c r="H122" s="9" t="str">
        <f>VLOOKUP(C122, [1]customers!$A$1:$I$1001, 7, FALSE)</f>
        <v>United States</v>
      </c>
      <c r="I122" s="11" t="str">
        <f>VLOOKUP(orders!D122,[1]products!$A$1:$G$49, 2,FALSE)</f>
        <v>Ara</v>
      </c>
      <c r="J122" s="11" t="str">
        <f>VLOOKUP(orders!D122,[1]products!$A$1:$G$49, 3,FALSE)</f>
        <v>L</v>
      </c>
      <c r="K122" s="12">
        <f>VLOOKUP(orders!D122,[1]products!$A$1:$G$49, 4,FALSE)</f>
        <v>0.2</v>
      </c>
      <c r="L122" s="12">
        <f>VLOOKUP(orders!D122,[1]products!$A$1:$G$49, 5,FALSE)</f>
        <v>3.8849999999999998</v>
      </c>
      <c r="M122" s="13">
        <f>PRODUCT(orders!$E122,orders!$L122)</f>
        <v>3.8849999999999998</v>
      </c>
      <c r="N122" s="11" t="str">
        <f t="shared" si="2"/>
        <v>October</v>
      </c>
      <c r="O122" s="11">
        <f t="shared" si="3"/>
        <v>2021</v>
      </c>
      <c r="P122" s="11" t="str">
        <f>TEXT(orders!$B122, "DDD")</f>
        <v>Sat</v>
      </c>
      <c r="Q122" s="11" t="str">
        <f>VLOOKUP(orders!C122,[1]customers!$A$1:$I$1001, 6,FALSE)</f>
        <v>Nashville</v>
      </c>
    </row>
    <row r="123" spans="1:17" x14ac:dyDescent="0.3">
      <c r="A123" s="14" t="s">
        <v>288</v>
      </c>
      <c r="B123" s="15">
        <v>44471</v>
      </c>
      <c r="C123" s="16" t="s">
        <v>289</v>
      </c>
      <c r="D123" s="17" t="s">
        <v>26</v>
      </c>
      <c r="E123" s="16">
        <v>5</v>
      </c>
      <c r="F123" s="9" t="str">
        <f>VLOOKUP(C123,[1]customers!$A$1:$I$1001, 2, FALSE)</f>
        <v>Cordi Switsur</v>
      </c>
      <c r="G123" s="16" t="str">
        <f>VLOOKUP(orders!C123,[1]customers!$A$1:$I$1001, 3, FALSE)</f>
        <v>cswitsur3b@chronoengine.com</v>
      </c>
      <c r="H123" s="16" t="str">
        <f>VLOOKUP(C123, [1]customers!$A$1:$I$1001, 7, FALSE)</f>
        <v>United States</v>
      </c>
      <c r="I123" s="18" t="str">
        <f>VLOOKUP(orders!D123,[1]products!$A$1:$G$49, 2,FALSE)</f>
        <v>Exc</v>
      </c>
      <c r="J123" s="18" t="str">
        <f>VLOOKUP(orders!D123,[1]products!$A$1:$G$49, 3,FALSE)</f>
        <v>M</v>
      </c>
      <c r="K123" s="19">
        <f>VLOOKUP(orders!D123,[1]products!$A$1:$G$49, 4,FALSE)</f>
        <v>1</v>
      </c>
      <c r="L123" s="19">
        <f>VLOOKUP(orders!D123,[1]products!$A$1:$G$49, 5,FALSE)</f>
        <v>13.75</v>
      </c>
      <c r="M123" s="13">
        <f>PRODUCT(orders!$E123,orders!$L123)</f>
        <v>68.75</v>
      </c>
      <c r="N123" s="18" t="str">
        <f t="shared" si="2"/>
        <v>October</v>
      </c>
      <c r="O123" s="18">
        <f t="shared" si="3"/>
        <v>2021</v>
      </c>
      <c r="P123" s="11" t="str">
        <f>TEXT(orders!$B123, "DDD")</f>
        <v>Sat</v>
      </c>
      <c r="Q123" s="11" t="str">
        <f>VLOOKUP(orders!C123,[1]customers!$A$1:$I$1001, 6,FALSE)</f>
        <v>Nashville</v>
      </c>
    </row>
    <row r="124" spans="1:17" x14ac:dyDescent="0.3">
      <c r="A124" s="7" t="s">
        <v>290</v>
      </c>
      <c r="B124" s="8">
        <v>44268</v>
      </c>
      <c r="C124" s="9" t="s">
        <v>291</v>
      </c>
      <c r="D124" s="10" t="s">
        <v>89</v>
      </c>
      <c r="E124" s="9">
        <v>4</v>
      </c>
      <c r="F124" s="9" t="str">
        <f>VLOOKUP(C124,[1]customers!$A$1:$I$1001, 2, FALSE)</f>
        <v>Mahala Ludwell</v>
      </c>
      <c r="G124" s="9" t="str">
        <f>VLOOKUP(orders!C124,[1]customers!$A$1:$I$1001, 3, FALSE)</f>
        <v>mludwell3e@blogger.com</v>
      </c>
      <c r="H124" s="9" t="str">
        <f>VLOOKUP(C124, [1]customers!$A$1:$I$1001, 7, FALSE)</f>
        <v>United States</v>
      </c>
      <c r="I124" s="11" t="str">
        <f>VLOOKUP(orders!D124,[1]products!$A$1:$G$49, 2,FALSE)</f>
        <v>Ara</v>
      </c>
      <c r="J124" s="11" t="str">
        <f>VLOOKUP(orders!D124,[1]products!$A$1:$G$49, 3,FALSE)</f>
        <v>D</v>
      </c>
      <c r="K124" s="12">
        <f>VLOOKUP(orders!D124,[1]products!$A$1:$G$49, 4,FALSE)</f>
        <v>0.5</v>
      </c>
      <c r="L124" s="12">
        <f>VLOOKUP(orders!D124,[1]products!$A$1:$G$49, 5,FALSE)</f>
        <v>5.97</v>
      </c>
      <c r="M124" s="13">
        <f>PRODUCT(orders!$E124,orders!$L124)</f>
        <v>23.88</v>
      </c>
      <c r="N124" s="11" t="str">
        <f t="shared" si="2"/>
        <v>March</v>
      </c>
      <c r="O124" s="11">
        <f t="shared" si="3"/>
        <v>2021</v>
      </c>
      <c r="P124" s="11" t="str">
        <f>TEXT(orders!$B124, "DDD")</f>
        <v>Sat</v>
      </c>
      <c r="Q124" s="11" t="str">
        <f>VLOOKUP(orders!C124,[1]customers!$A$1:$I$1001, 6,FALSE)</f>
        <v>Denver</v>
      </c>
    </row>
    <row r="125" spans="1:17" x14ac:dyDescent="0.3">
      <c r="A125" s="14" t="s">
        <v>292</v>
      </c>
      <c r="B125" s="15">
        <v>44724</v>
      </c>
      <c r="C125" s="16" t="s">
        <v>293</v>
      </c>
      <c r="D125" s="17" t="s">
        <v>121</v>
      </c>
      <c r="E125" s="16">
        <v>4</v>
      </c>
      <c r="F125" s="9" t="str">
        <f>VLOOKUP(C125,[1]customers!$A$1:$I$1001, 2, FALSE)</f>
        <v>Doll Beauchamp</v>
      </c>
      <c r="G125" s="16" t="str">
        <f>VLOOKUP(orders!C125,[1]customers!$A$1:$I$1001, 3, FALSE)</f>
        <v>dbeauchamp3f@usda.gov</v>
      </c>
      <c r="H125" s="16" t="str">
        <f>VLOOKUP(C125, [1]customers!$A$1:$I$1001, 7, FALSE)</f>
        <v>United States</v>
      </c>
      <c r="I125" s="18" t="str">
        <f>VLOOKUP(orders!D125,[1]products!$A$1:$G$49, 2,FALSE)</f>
        <v>Lib</v>
      </c>
      <c r="J125" s="18" t="str">
        <f>VLOOKUP(orders!D125,[1]products!$A$1:$G$49, 3,FALSE)</f>
        <v>L</v>
      </c>
      <c r="K125" s="19">
        <f>VLOOKUP(orders!D125,[1]products!$A$1:$G$49, 4,FALSE)</f>
        <v>2.5</v>
      </c>
      <c r="L125" s="19">
        <f>VLOOKUP(orders!D125,[1]products!$A$1:$G$49, 5,FALSE)</f>
        <v>36.454999999999998</v>
      </c>
      <c r="M125" s="13">
        <f>PRODUCT(orders!$E125,orders!$L125)</f>
        <v>145.82</v>
      </c>
      <c r="N125" s="18" t="str">
        <f t="shared" si="2"/>
        <v>June</v>
      </c>
      <c r="O125" s="18">
        <f t="shared" si="3"/>
        <v>2022</v>
      </c>
      <c r="P125" s="11" t="str">
        <f>TEXT(orders!$B125, "DDD")</f>
        <v>Sun</v>
      </c>
      <c r="Q125" s="11" t="str">
        <f>VLOOKUP(orders!C125,[1]customers!$A$1:$I$1001, 6,FALSE)</f>
        <v>Stamford</v>
      </c>
    </row>
    <row r="126" spans="1:17" x14ac:dyDescent="0.3">
      <c r="A126" s="7" t="s">
        <v>294</v>
      </c>
      <c r="B126" s="8">
        <v>43582</v>
      </c>
      <c r="C126" s="9" t="s">
        <v>295</v>
      </c>
      <c r="D126" s="10" t="s">
        <v>94</v>
      </c>
      <c r="E126" s="9">
        <v>5</v>
      </c>
      <c r="F126" s="9" t="str">
        <f>VLOOKUP(C126,[1]customers!$A$1:$I$1001, 2, FALSE)</f>
        <v>Stanford Rodliff</v>
      </c>
      <c r="G126" s="9" t="str">
        <f>VLOOKUP(orders!C126,[1]customers!$A$1:$I$1001, 3, FALSE)</f>
        <v>srodliff3g@ted.com</v>
      </c>
      <c r="H126" s="9" t="str">
        <f>VLOOKUP(C126, [1]customers!$A$1:$I$1001, 7, FALSE)</f>
        <v>United States</v>
      </c>
      <c r="I126" s="11" t="str">
        <f>VLOOKUP(orders!D126,[1]products!$A$1:$G$49, 2,FALSE)</f>
        <v>Lib</v>
      </c>
      <c r="J126" s="11" t="str">
        <f>VLOOKUP(orders!D126,[1]products!$A$1:$G$49, 3,FALSE)</f>
        <v>M</v>
      </c>
      <c r="K126" s="12">
        <f>VLOOKUP(orders!D126,[1]products!$A$1:$G$49, 4,FALSE)</f>
        <v>0.2</v>
      </c>
      <c r="L126" s="12">
        <f>VLOOKUP(orders!D126,[1]products!$A$1:$G$49, 5,FALSE)</f>
        <v>4.3650000000000002</v>
      </c>
      <c r="M126" s="13">
        <f>PRODUCT(orders!$E126,orders!$L126)</f>
        <v>21.825000000000003</v>
      </c>
      <c r="N126" s="11" t="str">
        <f t="shared" si="2"/>
        <v>April</v>
      </c>
      <c r="O126" s="11">
        <f t="shared" si="3"/>
        <v>2019</v>
      </c>
      <c r="P126" s="11" t="str">
        <f>TEXT(orders!$B126, "DDD")</f>
        <v>Sat</v>
      </c>
      <c r="Q126" s="11" t="str">
        <f>VLOOKUP(orders!C126,[1]customers!$A$1:$I$1001, 6,FALSE)</f>
        <v>Newport News</v>
      </c>
    </row>
    <row r="127" spans="1:17" x14ac:dyDescent="0.3">
      <c r="A127" s="14" t="s">
        <v>296</v>
      </c>
      <c r="B127" s="15">
        <v>43608</v>
      </c>
      <c r="C127" s="16" t="s">
        <v>297</v>
      </c>
      <c r="D127" s="17" t="s">
        <v>95</v>
      </c>
      <c r="E127" s="16">
        <v>3</v>
      </c>
      <c r="F127" s="9" t="str">
        <f>VLOOKUP(C127,[1]customers!$A$1:$I$1001, 2, FALSE)</f>
        <v>Stevana Woodham</v>
      </c>
      <c r="G127" s="16" t="str">
        <f>VLOOKUP(orders!C127,[1]customers!$A$1:$I$1001, 3, FALSE)</f>
        <v>swoodham3h@businesswire.com</v>
      </c>
      <c r="H127" s="16" t="str">
        <f>VLOOKUP(C127, [1]customers!$A$1:$I$1001, 7, FALSE)</f>
        <v>Ireland</v>
      </c>
      <c r="I127" s="18" t="str">
        <f>VLOOKUP(orders!D127,[1]products!$A$1:$G$49, 2,FALSE)</f>
        <v>Lib</v>
      </c>
      <c r="J127" s="18" t="str">
        <f>VLOOKUP(orders!D127,[1]products!$A$1:$G$49, 3,FALSE)</f>
        <v>M</v>
      </c>
      <c r="K127" s="19">
        <f>VLOOKUP(orders!D127,[1]products!$A$1:$G$49, 4,FALSE)</f>
        <v>0.5</v>
      </c>
      <c r="L127" s="19">
        <f>VLOOKUP(orders!D127,[1]products!$A$1:$G$49, 5,FALSE)</f>
        <v>8.73</v>
      </c>
      <c r="M127" s="13">
        <f>PRODUCT(orders!$E127,orders!$L127)</f>
        <v>26.19</v>
      </c>
      <c r="N127" s="18" t="str">
        <f t="shared" si="2"/>
        <v>May</v>
      </c>
      <c r="O127" s="18">
        <f t="shared" si="3"/>
        <v>2019</v>
      </c>
      <c r="P127" s="11" t="str">
        <f>TEXT(orders!$B127, "DDD")</f>
        <v>Thu</v>
      </c>
      <c r="Q127" s="11" t="str">
        <f>VLOOKUP(orders!C127,[1]customers!$A$1:$I$1001, 6,FALSE)</f>
        <v>Drumcondra</v>
      </c>
    </row>
    <row r="128" spans="1:17" x14ac:dyDescent="0.3">
      <c r="A128" s="7" t="s">
        <v>298</v>
      </c>
      <c r="B128" s="8">
        <v>44026</v>
      </c>
      <c r="C128" s="9" t="s">
        <v>299</v>
      </c>
      <c r="D128" s="10" t="s">
        <v>78</v>
      </c>
      <c r="E128" s="9">
        <v>1</v>
      </c>
      <c r="F128" s="9" t="str">
        <f>VLOOKUP(C128,[1]customers!$A$1:$I$1001, 2, FALSE)</f>
        <v>Hewet Synnot</v>
      </c>
      <c r="G128" s="9" t="str">
        <f>VLOOKUP(orders!C128,[1]customers!$A$1:$I$1001, 3, FALSE)</f>
        <v>hsynnot3i@about.com</v>
      </c>
      <c r="H128" s="9" t="str">
        <f>VLOOKUP(C128, [1]customers!$A$1:$I$1001, 7, FALSE)</f>
        <v>United States</v>
      </c>
      <c r="I128" s="11" t="str">
        <f>VLOOKUP(orders!D128,[1]products!$A$1:$G$49, 2,FALSE)</f>
        <v>Ara</v>
      </c>
      <c r="J128" s="11" t="str">
        <f>VLOOKUP(orders!D128,[1]products!$A$1:$G$49, 3,FALSE)</f>
        <v>M</v>
      </c>
      <c r="K128" s="12">
        <f>VLOOKUP(orders!D128,[1]products!$A$1:$G$49, 4,FALSE)</f>
        <v>1</v>
      </c>
      <c r="L128" s="12">
        <f>VLOOKUP(orders!D128,[1]products!$A$1:$G$49, 5,FALSE)</f>
        <v>11.25</v>
      </c>
      <c r="M128" s="13">
        <f>PRODUCT(orders!$E128,orders!$L128)</f>
        <v>11.25</v>
      </c>
      <c r="N128" s="11" t="str">
        <f t="shared" si="2"/>
        <v>July</v>
      </c>
      <c r="O128" s="11">
        <f t="shared" si="3"/>
        <v>2020</v>
      </c>
      <c r="P128" s="11" t="str">
        <f>TEXT(orders!$B128, "DDD")</f>
        <v>Tue</v>
      </c>
      <c r="Q128" s="11" t="str">
        <f>VLOOKUP(orders!C128,[1]customers!$A$1:$I$1001, 6,FALSE)</f>
        <v>Anchorage</v>
      </c>
    </row>
    <row r="129" spans="1:17" x14ac:dyDescent="0.3">
      <c r="A129" s="14" t="s">
        <v>300</v>
      </c>
      <c r="B129" s="15">
        <v>44510</v>
      </c>
      <c r="C129" s="16" t="s">
        <v>301</v>
      </c>
      <c r="D129" s="17" t="s">
        <v>30</v>
      </c>
      <c r="E129" s="16">
        <v>6</v>
      </c>
      <c r="F129" s="9" t="str">
        <f>VLOOKUP(C129,[1]customers!$A$1:$I$1001, 2, FALSE)</f>
        <v>Raleigh Lepere</v>
      </c>
      <c r="G129" s="16" t="str">
        <f>VLOOKUP(orders!C129,[1]customers!$A$1:$I$1001, 3, FALSE)</f>
        <v>rlepere3j@shop-pro.jp</v>
      </c>
      <c r="H129" s="16" t="str">
        <f>VLOOKUP(C129, [1]customers!$A$1:$I$1001, 7, FALSE)</f>
        <v>Ireland</v>
      </c>
      <c r="I129" s="18" t="str">
        <f>VLOOKUP(orders!D129,[1]products!$A$1:$G$49, 2,FALSE)</f>
        <v>Lib</v>
      </c>
      <c r="J129" s="18" t="str">
        <f>VLOOKUP(orders!D129,[1]products!$A$1:$G$49, 3,FALSE)</f>
        <v>D</v>
      </c>
      <c r="K129" s="19">
        <f>VLOOKUP(orders!D129,[1]products!$A$1:$G$49, 4,FALSE)</f>
        <v>1</v>
      </c>
      <c r="L129" s="19">
        <f>VLOOKUP(orders!D129,[1]products!$A$1:$G$49, 5,FALSE)</f>
        <v>12.95</v>
      </c>
      <c r="M129" s="13">
        <f>PRODUCT(orders!$E129,orders!$L129)</f>
        <v>77.699999999999989</v>
      </c>
      <c r="N129" s="18" t="str">
        <f t="shared" si="2"/>
        <v>November</v>
      </c>
      <c r="O129" s="18">
        <f t="shared" si="3"/>
        <v>2021</v>
      </c>
      <c r="P129" s="11" t="str">
        <f>TEXT(orders!$B129, "DDD")</f>
        <v>Wed</v>
      </c>
      <c r="Q129" s="11" t="str">
        <f>VLOOKUP(orders!C129,[1]customers!$A$1:$I$1001, 6,FALSE)</f>
        <v>Beaumont</v>
      </c>
    </row>
    <row r="130" spans="1:17" x14ac:dyDescent="0.3">
      <c r="A130" s="7" t="s">
        <v>302</v>
      </c>
      <c r="B130" s="8">
        <v>44439</v>
      </c>
      <c r="C130" s="9" t="s">
        <v>303</v>
      </c>
      <c r="D130" s="10" t="s">
        <v>84</v>
      </c>
      <c r="E130" s="9">
        <v>1</v>
      </c>
      <c r="F130" s="9" t="str">
        <f>VLOOKUP(C130,[1]customers!$A$1:$I$1001, 2, FALSE)</f>
        <v>Timofei Woofinden</v>
      </c>
      <c r="G130" s="9" t="str">
        <f>VLOOKUP(orders!C130,[1]customers!$A$1:$I$1001, 3, FALSE)</f>
        <v>twoofinden3k@businesswire.com</v>
      </c>
      <c r="H130" s="9" t="str">
        <f>VLOOKUP(C130, [1]customers!$A$1:$I$1001, 7, FALSE)</f>
        <v>United States</v>
      </c>
      <c r="I130" s="11" t="str">
        <f>VLOOKUP(orders!D130,[1]products!$A$1:$G$49, 2,FALSE)</f>
        <v>Ara</v>
      </c>
      <c r="J130" s="11" t="str">
        <f>VLOOKUP(orders!D130,[1]products!$A$1:$G$49, 3,FALSE)</f>
        <v>M</v>
      </c>
      <c r="K130" s="12">
        <f>VLOOKUP(orders!D130,[1]products!$A$1:$G$49, 4,FALSE)</f>
        <v>0.5</v>
      </c>
      <c r="L130" s="12">
        <f>VLOOKUP(orders!D130,[1]products!$A$1:$G$49, 5,FALSE)</f>
        <v>6.75</v>
      </c>
      <c r="M130" s="13">
        <f>PRODUCT(orders!$E130,orders!$L130)</f>
        <v>6.75</v>
      </c>
      <c r="N130" s="11" t="str">
        <f t="shared" ref="N130:N193" si="4">TEXT(B130, "mmmm")</f>
        <v>August</v>
      </c>
      <c r="O130" s="11">
        <f t="shared" ref="O130:O193" si="5">YEAR(B130)</f>
        <v>2021</v>
      </c>
      <c r="P130" s="11" t="str">
        <f>TEXT(orders!$B130, "DDD")</f>
        <v>Tue</v>
      </c>
      <c r="Q130" s="11" t="str">
        <f>VLOOKUP(orders!C130,[1]customers!$A$1:$I$1001, 6,FALSE)</f>
        <v>Fargo</v>
      </c>
    </row>
    <row r="131" spans="1:17" x14ac:dyDescent="0.3">
      <c r="A131" s="14" t="s">
        <v>304</v>
      </c>
      <c r="B131" s="15">
        <v>43652</v>
      </c>
      <c r="C131" s="16" t="s">
        <v>305</v>
      </c>
      <c r="D131" s="17" t="s">
        <v>262</v>
      </c>
      <c r="E131" s="16">
        <v>1</v>
      </c>
      <c r="F131" s="9" t="str">
        <f>VLOOKUP(C131,[1]customers!$A$1:$I$1001, 2, FALSE)</f>
        <v>Evelina Dacca</v>
      </c>
      <c r="G131" s="16" t="str">
        <f>VLOOKUP(orders!C131,[1]customers!$A$1:$I$1001, 3, FALSE)</f>
        <v>edacca3l@google.pl</v>
      </c>
      <c r="H131" s="16" t="str">
        <f>VLOOKUP(C131, [1]customers!$A$1:$I$1001, 7, FALSE)</f>
        <v>United States</v>
      </c>
      <c r="I131" s="18" t="str">
        <f>VLOOKUP(orders!D131,[1]products!$A$1:$G$49, 2,FALSE)</f>
        <v>Exc</v>
      </c>
      <c r="J131" s="18" t="str">
        <f>VLOOKUP(orders!D131,[1]products!$A$1:$G$49, 3,FALSE)</f>
        <v>D</v>
      </c>
      <c r="K131" s="19">
        <f>VLOOKUP(orders!D131,[1]products!$A$1:$G$49, 4,FALSE)</f>
        <v>1</v>
      </c>
      <c r="L131" s="19">
        <f>VLOOKUP(orders!D131,[1]products!$A$1:$G$49, 5,FALSE)</f>
        <v>12.15</v>
      </c>
      <c r="M131" s="13">
        <f>PRODUCT(orders!$E131,orders!$L131)</f>
        <v>12.15</v>
      </c>
      <c r="N131" s="18" t="str">
        <f t="shared" si="4"/>
        <v>July</v>
      </c>
      <c r="O131" s="18">
        <f t="shared" si="5"/>
        <v>2019</v>
      </c>
      <c r="P131" s="11" t="str">
        <f>TEXT(orders!$B131, "DDD")</f>
        <v>Sat</v>
      </c>
      <c r="Q131" s="11" t="str">
        <f>VLOOKUP(orders!C131,[1]customers!$A$1:$I$1001, 6,FALSE)</f>
        <v>Evansville</v>
      </c>
    </row>
    <row r="132" spans="1:17" x14ac:dyDescent="0.3">
      <c r="A132" s="7" t="s">
        <v>306</v>
      </c>
      <c r="B132" s="8">
        <v>44624</v>
      </c>
      <c r="C132" s="9" t="s">
        <v>307</v>
      </c>
      <c r="D132" s="10" t="s">
        <v>221</v>
      </c>
      <c r="E132" s="9">
        <v>5</v>
      </c>
      <c r="F132" s="9" t="str">
        <f>VLOOKUP(C132,[1]customers!$A$1:$I$1001, 2, FALSE)</f>
        <v>Bidget Tremellier</v>
      </c>
      <c r="G132" s="9">
        <f>VLOOKUP(orders!C132,[1]customers!$A$1:$I$1001, 3, FALSE)</f>
        <v>0</v>
      </c>
      <c r="H132" s="9" t="str">
        <f>VLOOKUP(C132, [1]customers!$A$1:$I$1001, 7, FALSE)</f>
        <v>Ireland</v>
      </c>
      <c r="I132" s="11" t="str">
        <f>VLOOKUP(orders!D132,[1]products!$A$1:$G$49, 2,FALSE)</f>
        <v>Ara</v>
      </c>
      <c r="J132" s="11" t="str">
        <f>VLOOKUP(orders!D132,[1]products!$A$1:$G$49, 3,FALSE)</f>
        <v>L</v>
      </c>
      <c r="K132" s="12">
        <f>VLOOKUP(orders!D132,[1]products!$A$1:$G$49, 4,FALSE)</f>
        <v>2.5</v>
      </c>
      <c r="L132" s="12">
        <f>VLOOKUP(orders!D132,[1]products!$A$1:$G$49, 5,FALSE)</f>
        <v>29.784999999999997</v>
      </c>
      <c r="M132" s="13">
        <f>PRODUCT(orders!$E132,orders!$L132)</f>
        <v>148.92499999999998</v>
      </c>
      <c r="N132" s="11" t="str">
        <f t="shared" si="4"/>
        <v>March</v>
      </c>
      <c r="O132" s="11">
        <f t="shared" si="5"/>
        <v>2022</v>
      </c>
      <c r="P132" s="11" t="str">
        <f>TEXT(orders!$B132, "DDD")</f>
        <v>Fri</v>
      </c>
      <c r="Q132" s="11" t="str">
        <f>VLOOKUP(orders!C132,[1]customers!$A$1:$I$1001, 6,FALSE)</f>
        <v>Cherryville</v>
      </c>
    </row>
    <row r="133" spans="1:17" x14ac:dyDescent="0.3">
      <c r="A133" s="14" t="s">
        <v>308</v>
      </c>
      <c r="B133" s="15">
        <v>44196</v>
      </c>
      <c r="C133" s="16" t="s">
        <v>309</v>
      </c>
      <c r="D133" s="17" t="s">
        <v>33</v>
      </c>
      <c r="E133" s="16">
        <v>2</v>
      </c>
      <c r="F133" s="9" t="str">
        <f>VLOOKUP(C133,[1]customers!$A$1:$I$1001, 2, FALSE)</f>
        <v>Bobinette Hindsberg</v>
      </c>
      <c r="G133" s="16" t="str">
        <f>VLOOKUP(orders!C133,[1]customers!$A$1:$I$1001, 3, FALSE)</f>
        <v>bhindsberg3n@blogs.com</v>
      </c>
      <c r="H133" s="16" t="str">
        <f>VLOOKUP(C133, [1]customers!$A$1:$I$1001, 7, FALSE)</f>
        <v>United States</v>
      </c>
      <c r="I133" s="18" t="str">
        <f>VLOOKUP(orders!D133,[1]products!$A$1:$G$49, 2,FALSE)</f>
        <v>Exc</v>
      </c>
      <c r="J133" s="18" t="str">
        <f>VLOOKUP(orders!D133,[1]products!$A$1:$G$49, 3,FALSE)</f>
        <v>D</v>
      </c>
      <c r="K133" s="19">
        <f>VLOOKUP(orders!D133,[1]products!$A$1:$G$49, 4,FALSE)</f>
        <v>0.5</v>
      </c>
      <c r="L133" s="19">
        <f>VLOOKUP(orders!D133,[1]products!$A$1:$G$49, 5,FALSE)</f>
        <v>7.29</v>
      </c>
      <c r="M133" s="13">
        <f>PRODUCT(orders!$E133,orders!$L133)</f>
        <v>14.58</v>
      </c>
      <c r="N133" s="18" t="str">
        <f t="shared" si="4"/>
        <v>December</v>
      </c>
      <c r="O133" s="18">
        <f t="shared" si="5"/>
        <v>2020</v>
      </c>
      <c r="P133" s="11" t="str">
        <f>TEXT(orders!$B133, "DDD")</f>
        <v>Thu</v>
      </c>
      <c r="Q133" s="11" t="str">
        <f>VLOOKUP(orders!C133,[1]customers!$A$1:$I$1001, 6,FALSE)</f>
        <v>Charlotte</v>
      </c>
    </row>
    <row r="134" spans="1:17" x14ac:dyDescent="0.3">
      <c r="A134" s="7" t="s">
        <v>310</v>
      </c>
      <c r="B134" s="8">
        <v>44043</v>
      </c>
      <c r="C134" s="9" t="s">
        <v>311</v>
      </c>
      <c r="D134" s="10" t="s">
        <v>221</v>
      </c>
      <c r="E134" s="9">
        <v>5</v>
      </c>
      <c r="F134" s="9" t="str">
        <f>VLOOKUP(C134,[1]customers!$A$1:$I$1001, 2, FALSE)</f>
        <v>Osbert Robins</v>
      </c>
      <c r="G134" s="9" t="str">
        <f>VLOOKUP(orders!C134,[1]customers!$A$1:$I$1001, 3, FALSE)</f>
        <v>orobins3o@salon.com</v>
      </c>
      <c r="H134" s="9" t="str">
        <f>VLOOKUP(C134, [1]customers!$A$1:$I$1001, 7, FALSE)</f>
        <v>United States</v>
      </c>
      <c r="I134" s="11" t="str">
        <f>VLOOKUP(orders!D134,[1]products!$A$1:$G$49, 2,FALSE)</f>
        <v>Ara</v>
      </c>
      <c r="J134" s="11" t="str">
        <f>VLOOKUP(orders!D134,[1]products!$A$1:$G$49, 3,FALSE)</f>
        <v>L</v>
      </c>
      <c r="K134" s="12">
        <f>VLOOKUP(orders!D134,[1]products!$A$1:$G$49, 4,FALSE)</f>
        <v>2.5</v>
      </c>
      <c r="L134" s="12">
        <f>VLOOKUP(orders!D134,[1]products!$A$1:$G$49, 5,FALSE)</f>
        <v>29.784999999999997</v>
      </c>
      <c r="M134" s="13">
        <f>PRODUCT(orders!$E134,orders!$L134)</f>
        <v>148.92499999999998</v>
      </c>
      <c r="N134" s="11" t="str">
        <f t="shared" si="4"/>
        <v>July</v>
      </c>
      <c r="O134" s="11">
        <f t="shared" si="5"/>
        <v>2020</v>
      </c>
      <c r="P134" s="11" t="str">
        <f>TEXT(orders!$B134, "DDD")</f>
        <v>Fri</v>
      </c>
      <c r="Q134" s="11" t="str">
        <f>VLOOKUP(orders!C134,[1]customers!$A$1:$I$1001, 6,FALSE)</f>
        <v>Huntsville</v>
      </c>
    </row>
    <row r="135" spans="1:17" x14ac:dyDescent="0.3">
      <c r="A135" s="14" t="s">
        <v>312</v>
      </c>
      <c r="B135" s="15">
        <v>44340</v>
      </c>
      <c r="C135" s="16" t="s">
        <v>313</v>
      </c>
      <c r="D135" s="17" t="s">
        <v>30</v>
      </c>
      <c r="E135" s="16">
        <v>1</v>
      </c>
      <c r="F135" s="9" t="str">
        <f>VLOOKUP(C135,[1]customers!$A$1:$I$1001, 2, FALSE)</f>
        <v>Othello Syseland</v>
      </c>
      <c r="G135" s="16" t="str">
        <f>VLOOKUP(orders!C135,[1]customers!$A$1:$I$1001, 3, FALSE)</f>
        <v>osyseland3p@independent.co.uk</v>
      </c>
      <c r="H135" s="16" t="str">
        <f>VLOOKUP(C135, [1]customers!$A$1:$I$1001, 7, FALSE)</f>
        <v>United States</v>
      </c>
      <c r="I135" s="18" t="str">
        <f>VLOOKUP(orders!D135,[1]products!$A$1:$G$49, 2,FALSE)</f>
        <v>Lib</v>
      </c>
      <c r="J135" s="18" t="str">
        <f>VLOOKUP(orders!D135,[1]products!$A$1:$G$49, 3,FALSE)</f>
        <v>D</v>
      </c>
      <c r="K135" s="19">
        <f>VLOOKUP(orders!D135,[1]products!$A$1:$G$49, 4,FALSE)</f>
        <v>1</v>
      </c>
      <c r="L135" s="19">
        <f>VLOOKUP(orders!D135,[1]products!$A$1:$G$49, 5,FALSE)</f>
        <v>12.95</v>
      </c>
      <c r="M135" s="13">
        <f>PRODUCT(orders!$E135,orders!$L135)</f>
        <v>12.95</v>
      </c>
      <c r="N135" s="18" t="str">
        <f t="shared" si="4"/>
        <v>May</v>
      </c>
      <c r="O135" s="18">
        <f t="shared" si="5"/>
        <v>2021</v>
      </c>
      <c r="P135" s="11" t="str">
        <f>TEXT(orders!$B135, "DDD")</f>
        <v>Mon</v>
      </c>
      <c r="Q135" s="11" t="str">
        <f>VLOOKUP(orders!C135,[1]customers!$A$1:$I$1001, 6,FALSE)</f>
        <v>Santa Ana</v>
      </c>
    </row>
    <row r="136" spans="1:17" x14ac:dyDescent="0.3">
      <c r="A136" s="7" t="s">
        <v>314</v>
      </c>
      <c r="B136" s="8">
        <v>44758</v>
      </c>
      <c r="C136" s="9" t="s">
        <v>315</v>
      </c>
      <c r="D136" s="10" t="s">
        <v>129</v>
      </c>
      <c r="E136" s="9">
        <v>3</v>
      </c>
      <c r="F136" s="9" t="str">
        <f>VLOOKUP(C136,[1]customers!$A$1:$I$1001, 2, FALSE)</f>
        <v>Ewell Hanby</v>
      </c>
      <c r="G136" s="9">
        <f>VLOOKUP(orders!C136,[1]customers!$A$1:$I$1001, 3, FALSE)</f>
        <v>0</v>
      </c>
      <c r="H136" s="9" t="str">
        <f>VLOOKUP(C136, [1]customers!$A$1:$I$1001, 7, FALSE)</f>
        <v>United States</v>
      </c>
      <c r="I136" s="11" t="str">
        <f>VLOOKUP(orders!D136,[1]products!$A$1:$G$49, 2,FALSE)</f>
        <v>Exc</v>
      </c>
      <c r="J136" s="11" t="str">
        <f>VLOOKUP(orders!D136,[1]products!$A$1:$G$49, 3,FALSE)</f>
        <v>M</v>
      </c>
      <c r="K136" s="12">
        <f>VLOOKUP(orders!D136,[1]products!$A$1:$G$49, 4,FALSE)</f>
        <v>2.5</v>
      </c>
      <c r="L136" s="12">
        <f>VLOOKUP(orders!D136,[1]products!$A$1:$G$49, 5,FALSE)</f>
        <v>31.624999999999996</v>
      </c>
      <c r="M136" s="13">
        <f>PRODUCT(orders!$E136,orders!$L136)</f>
        <v>94.874999999999986</v>
      </c>
      <c r="N136" s="11" t="str">
        <f t="shared" si="4"/>
        <v>July</v>
      </c>
      <c r="O136" s="11">
        <f t="shared" si="5"/>
        <v>2022</v>
      </c>
      <c r="P136" s="11" t="str">
        <f>TEXT(orders!$B136, "DDD")</f>
        <v>Sat</v>
      </c>
      <c r="Q136" s="11" t="str">
        <f>VLOOKUP(orders!C136,[1]customers!$A$1:$I$1001, 6,FALSE)</f>
        <v>Washington</v>
      </c>
    </row>
    <row r="137" spans="1:17" x14ac:dyDescent="0.3">
      <c r="A137" s="14" t="s">
        <v>316</v>
      </c>
      <c r="B137" s="15">
        <v>44232</v>
      </c>
      <c r="C137" s="16" t="s">
        <v>317</v>
      </c>
      <c r="D137" s="17" t="s">
        <v>209</v>
      </c>
      <c r="E137" s="16">
        <v>5</v>
      </c>
      <c r="F137" s="9" t="str">
        <f>VLOOKUP(C137,[1]customers!$A$1:$I$1001, 2, FALSE)</f>
        <v>Blancha McAmish</v>
      </c>
      <c r="G137" s="16" t="str">
        <f>VLOOKUP(orders!C137,[1]customers!$A$1:$I$1001, 3, FALSE)</f>
        <v>bmcamish2e@tripadvisor.com</v>
      </c>
      <c r="H137" s="16" t="str">
        <f>VLOOKUP(C137, [1]customers!$A$1:$I$1001, 7, FALSE)</f>
        <v>United States</v>
      </c>
      <c r="I137" s="18" t="str">
        <f>VLOOKUP(orders!D137,[1]products!$A$1:$G$49, 2,FALSE)</f>
        <v>Ara</v>
      </c>
      <c r="J137" s="18" t="str">
        <f>VLOOKUP(orders!D137,[1]products!$A$1:$G$49, 3,FALSE)</f>
        <v>L</v>
      </c>
      <c r="K137" s="19">
        <f>VLOOKUP(orders!D137,[1]products!$A$1:$G$49, 4,FALSE)</f>
        <v>0.5</v>
      </c>
      <c r="L137" s="19">
        <f>VLOOKUP(orders!D137,[1]products!$A$1:$G$49, 5,FALSE)</f>
        <v>7.77</v>
      </c>
      <c r="M137" s="13">
        <f>PRODUCT(orders!$E137,orders!$L137)</f>
        <v>38.849999999999994</v>
      </c>
      <c r="N137" s="18" t="str">
        <f t="shared" si="4"/>
        <v>February</v>
      </c>
      <c r="O137" s="18">
        <f t="shared" si="5"/>
        <v>2021</v>
      </c>
      <c r="P137" s="11" t="str">
        <f>TEXT(orders!$B137, "DDD")</f>
        <v>Fri</v>
      </c>
      <c r="Q137" s="11" t="str">
        <f>VLOOKUP(orders!C137,[1]customers!$A$1:$I$1001, 6,FALSE)</f>
        <v>Oklahoma City</v>
      </c>
    </row>
    <row r="138" spans="1:17" x14ac:dyDescent="0.3">
      <c r="A138" s="7" t="s">
        <v>318</v>
      </c>
      <c r="B138" s="8">
        <v>44406</v>
      </c>
      <c r="C138" s="9" t="s">
        <v>319</v>
      </c>
      <c r="D138" s="10" t="s">
        <v>71</v>
      </c>
      <c r="E138" s="9">
        <v>4</v>
      </c>
      <c r="F138" s="9" t="str">
        <f>VLOOKUP(C138,[1]customers!$A$1:$I$1001, 2, FALSE)</f>
        <v>Lowell Keenleyside</v>
      </c>
      <c r="G138" s="9" t="str">
        <f>VLOOKUP(orders!C138,[1]customers!$A$1:$I$1001, 3, FALSE)</f>
        <v>lkeenleyside3s@topsy.com</v>
      </c>
      <c r="H138" s="9" t="str">
        <f>VLOOKUP(C138, [1]customers!$A$1:$I$1001, 7, FALSE)</f>
        <v>United States</v>
      </c>
      <c r="I138" s="11" t="str">
        <f>VLOOKUP(orders!D138,[1]products!$A$1:$G$49, 2,FALSE)</f>
        <v>Ara</v>
      </c>
      <c r="J138" s="11" t="str">
        <f>VLOOKUP(orders!D138,[1]products!$A$1:$G$49, 3,FALSE)</f>
        <v>D</v>
      </c>
      <c r="K138" s="12">
        <f>VLOOKUP(orders!D138,[1]products!$A$1:$G$49, 4,FALSE)</f>
        <v>0.2</v>
      </c>
      <c r="L138" s="12">
        <f>VLOOKUP(orders!D138,[1]products!$A$1:$G$49, 5,FALSE)</f>
        <v>2.9849999999999999</v>
      </c>
      <c r="M138" s="13">
        <f>PRODUCT(orders!$E138,orders!$L138)</f>
        <v>11.94</v>
      </c>
      <c r="N138" s="11" t="str">
        <f t="shared" si="4"/>
        <v>July</v>
      </c>
      <c r="O138" s="11">
        <f t="shared" si="5"/>
        <v>2021</v>
      </c>
      <c r="P138" s="11" t="str">
        <f>TEXT(orders!$B138, "DDD")</f>
        <v>Thu</v>
      </c>
      <c r="Q138" s="11" t="str">
        <f>VLOOKUP(orders!C138,[1]customers!$A$1:$I$1001, 6,FALSE)</f>
        <v>Saint Louis</v>
      </c>
    </row>
    <row r="139" spans="1:17" x14ac:dyDescent="0.3">
      <c r="A139" s="14" t="s">
        <v>320</v>
      </c>
      <c r="B139" s="15">
        <v>44637</v>
      </c>
      <c r="C139" s="16" t="s">
        <v>321</v>
      </c>
      <c r="D139" s="17" t="s">
        <v>47</v>
      </c>
      <c r="E139" s="16">
        <v>3</v>
      </c>
      <c r="F139" s="9" t="str">
        <f>VLOOKUP(C139,[1]customers!$A$1:$I$1001, 2, FALSE)</f>
        <v>Elonore Joliffe</v>
      </c>
      <c r="G139" s="16">
        <f>VLOOKUP(orders!C139,[1]customers!$A$1:$I$1001, 3, FALSE)</f>
        <v>0</v>
      </c>
      <c r="H139" s="16" t="str">
        <f>VLOOKUP(C139, [1]customers!$A$1:$I$1001, 7, FALSE)</f>
        <v>Ireland</v>
      </c>
      <c r="I139" s="18" t="str">
        <f>VLOOKUP(orders!D139,[1]products!$A$1:$G$49, 2,FALSE)</f>
        <v>Exc</v>
      </c>
      <c r="J139" s="18" t="str">
        <f>VLOOKUP(orders!D139,[1]products!$A$1:$G$49, 3,FALSE)</f>
        <v>L</v>
      </c>
      <c r="K139" s="19">
        <f>VLOOKUP(orders!D139,[1]products!$A$1:$G$49, 4,FALSE)</f>
        <v>2.5</v>
      </c>
      <c r="L139" s="19">
        <f>VLOOKUP(orders!D139,[1]products!$A$1:$G$49, 5,FALSE)</f>
        <v>34.154999999999994</v>
      </c>
      <c r="M139" s="13">
        <f>PRODUCT(orders!$E139,orders!$L139)</f>
        <v>102.46499999999997</v>
      </c>
      <c r="N139" s="18" t="str">
        <f t="shared" si="4"/>
        <v>March</v>
      </c>
      <c r="O139" s="18">
        <f t="shared" si="5"/>
        <v>2022</v>
      </c>
      <c r="P139" s="11" t="str">
        <f>TEXT(orders!$B139, "DDD")</f>
        <v>Thu</v>
      </c>
      <c r="Q139" s="11" t="str">
        <f>VLOOKUP(orders!C139,[1]customers!$A$1:$I$1001, 6,FALSE)</f>
        <v>Bailieborough</v>
      </c>
    </row>
    <row r="140" spans="1:17" x14ac:dyDescent="0.3">
      <c r="A140" s="7" t="s">
        <v>322</v>
      </c>
      <c r="B140" s="8">
        <v>44238</v>
      </c>
      <c r="C140" s="9" t="s">
        <v>323</v>
      </c>
      <c r="D140" s="10" t="s">
        <v>262</v>
      </c>
      <c r="E140" s="9">
        <v>4</v>
      </c>
      <c r="F140" s="9" t="str">
        <f>VLOOKUP(C140,[1]customers!$A$1:$I$1001, 2, FALSE)</f>
        <v>Abraham Coleman</v>
      </c>
      <c r="G140" s="9">
        <f>VLOOKUP(orders!C140,[1]customers!$A$1:$I$1001, 3, FALSE)</f>
        <v>0</v>
      </c>
      <c r="H140" s="9" t="str">
        <f>VLOOKUP(C140, [1]customers!$A$1:$I$1001, 7, FALSE)</f>
        <v>United States</v>
      </c>
      <c r="I140" s="11" t="str">
        <f>VLOOKUP(orders!D140,[1]products!$A$1:$G$49, 2,FALSE)</f>
        <v>Exc</v>
      </c>
      <c r="J140" s="11" t="str">
        <f>VLOOKUP(orders!D140,[1]products!$A$1:$G$49, 3,FALSE)</f>
        <v>D</v>
      </c>
      <c r="K140" s="12">
        <f>VLOOKUP(orders!D140,[1]products!$A$1:$G$49, 4,FALSE)</f>
        <v>1</v>
      </c>
      <c r="L140" s="12">
        <f>VLOOKUP(orders!D140,[1]products!$A$1:$G$49, 5,FALSE)</f>
        <v>12.15</v>
      </c>
      <c r="M140" s="13">
        <f>PRODUCT(orders!$E140,orders!$L140)</f>
        <v>48.6</v>
      </c>
      <c r="N140" s="11" t="str">
        <f t="shared" si="4"/>
        <v>February</v>
      </c>
      <c r="O140" s="11">
        <f t="shared" si="5"/>
        <v>2021</v>
      </c>
      <c r="P140" s="11" t="str">
        <f>TEXT(orders!$B140, "DDD")</f>
        <v>Thu</v>
      </c>
      <c r="Q140" s="11" t="str">
        <f>VLOOKUP(orders!C140,[1]customers!$A$1:$I$1001, 6,FALSE)</f>
        <v>Honolulu</v>
      </c>
    </row>
    <row r="141" spans="1:17" x14ac:dyDescent="0.3">
      <c r="A141" s="14" t="s">
        <v>324</v>
      </c>
      <c r="B141" s="15">
        <v>43509</v>
      </c>
      <c r="C141" s="16" t="s">
        <v>325</v>
      </c>
      <c r="D141" s="17" t="s">
        <v>30</v>
      </c>
      <c r="E141" s="16">
        <v>6</v>
      </c>
      <c r="F141" s="9" t="str">
        <f>VLOOKUP(C141,[1]customers!$A$1:$I$1001, 2, FALSE)</f>
        <v>Rivy Farington</v>
      </c>
      <c r="G141" s="16">
        <f>VLOOKUP(orders!C141,[1]customers!$A$1:$I$1001, 3, FALSE)</f>
        <v>0</v>
      </c>
      <c r="H141" s="16" t="str">
        <f>VLOOKUP(C141, [1]customers!$A$1:$I$1001, 7, FALSE)</f>
        <v>United States</v>
      </c>
      <c r="I141" s="18" t="str">
        <f>VLOOKUP(orders!D141,[1]products!$A$1:$G$49, 2,FALSE)</f>
        <v>Lib</v>
      </c>
      <c r="J141" s="18" t="str">
        <f>VLOOKUP(orders!D141,[1]products!$A$1:$G$49, 3,FALSE)</f>
        <v>D</v>
      </c>
      <c r="K141" s="19">
        <f>VLOOKUP(orders!D141,[1]products!$A$1:$G$49, 4,FALSE)</f>
        <v>1</v>
      </c>
      <c r="L141" s="19">
        <f>VLOOKUP(orders!D141,[1]products!$A$1:$G$49, 5,FALSE)</f>
        <v>12.95</v>
      </c>
      <c r="M141" s="13">
        <f>PRODUCT(orders!$E141,orders!$L141)</f>
        <v>77.699999999999989</v>
      </c>
      <c r="N141" s="18" t="str">
        <f t="shared" si="4"/>
        <v>February</v>
      </c>
      <c r="O141" s="18">
        <f t="shared" si="5"/>
        <v>2019</v>
      </c>
      <c r="P141" s="11" t="str">
        <f>TEXT(orders!$B141, "DDD")</f>
        <v>Wed</v>
      </c>
      <c r="Q141" s="11" t="str">
        <f>VLOOKUP(orders!C141,[1]customers!$A$1:$I$1001, 6,FALSE)</f>
        <v>Corona</v>
      </c>
    </row>
    <row r="142" spans="1:17" x14ac:dyDescent="0.3">
      <c r="A142" s="7" t="s">
        <v>326</v>
      </c>
      <c r="B142" s="8">
        <v>44694</v>
      </c>
      <c r="C142" s="9" t="s">
        <v>327</v>
      </c>
      <c r="D142" s="10" t="s">
        <v>126</v>
      </c>
      <c r="E142" s="9">
        <v>1</v>
      </c>
      <c r="F142" s="9" t="str">
        <f>VLOOKUP(C142,[1]customers!$A$1:$I$1001, 2, FALSE)</f>
        <v>Vallie Kundt</v>
      </c>
      <c r="G142" s="9" t="str">
        <f>VLOOKUP(orders!C142,[1]customers!$A$1:$I$1001, 3, FALSE)</f>
        <v>vkundt3w@bigcartel.com</v>
      </c>
      <c r="H142" s="9" t="str">
        <f>VLOOKUP(C142, [1]customers!$A$1:$I$1001, 7, FALSE)</f>
        <v>Ireland</v>
      </c>
      <c r="I142" s="11" t="str">
        <f>VLOOKUP(orders!D142,[1]products!$A$1:$G$49, 2,FALSE)</f>
        <v>Lib</v>
      </c>
      <c r="J142" s="11" t="str">
        <f>VLOOKUP(orders!D142,[1]products!$A$1:$G$49, 3,FALSE)</f>
        <v>D</v>
      </c>
      <c r="K142" s="12">
        <f>VLOOKUP(orders!D142,[1]products!$A$1:$G$49, 4,FALSE)</f>
        <v>2.5</v>
      </c>
      <c r="L142" s="12">
        <f>VLOOKUP(orders!D142,[1]products!$A$1:$G$49, 5,FALSE)</f>
        <v>29.784999999999997</v>
      </c>
      <c r="M142" s="13">
        <f>PRODUCT(orders!$E142,orders!$L142)</f>
        <v>29.784999999999997</v>
      </c>
      <c r="N142" s="11" t="str">
        <f t="shared" si="4"/>
        <v>May</v>
      </c>
      <c r="O142" s="11">
        <f t="shared" si="5"/>
        <v>2022</v>
      </c>
      <c r="P142" s="11" t="str">
        <f>TEXT(orders!$B142, "DDD")</f>
        <v>Fri</v>
      </c>
      <c r="Q142" s="11" t="str">
        <f>VLOOKUP(orders!C142,[1]customers!$A$1:$I$1001, 6,FALSE)</f>
        <v>Ballivor</v>
      </c>
    </row>
    <row r="143" spans="1:17" x14ac:dyDescent="0.3">
      <c r="A143" s="14" t="s">
        <v>328</v>
      </c>
      <c r="B143" s="15">
        <v>43970</v>
      </c>
      <c r="C143" s="16" t="s">
        <v>329</v>
      </c>
      <c r="D143" s="17" t="s">
        <v>132</v>
      </c>
      <c r="E143" s="16">
        <v>4</v>
      </c>
      <c r="F143" s="9" t="str">
        <f>VLOOKUP(C143,[1]customers!$A$1:$I$1001, 2, FALSE)</f>
        <v>Boyd Bett</v>
      </c>
      <c r="G143" s="16" t="str">
        <f>VLOOKUP(orders!C143,[1]customers!$A$1:$I$1001, 3, FALSE)</f>
        <v>bbett3x@google.de</v>
      </c>
      <c r="H143" s="16" t="str">
        <f>VLOOKUP(C143, [1]customers!$A$1:$I$1001, 7, FALSE)</f>
        <v>United States</v>
      </c>
      <c r="I143" s="18" t="str">
        <f>VLOOKUP(orders!D143,[1]products!$A$1:$G$49, 2,FALSE)</f>
        <v>Ara</v>
      </c>
      <c r="J143" s="18" t="str">
        <f>VLOOKUP(orders!D143,[1]products!$A$1:$G$49, 3,FALSE)</f>
        <v>L</v>
      </c>
      <c r="K143" s="19">
        <f>VLOOKUP(orders!D143,[1]products!$A$1:$G$49, 4,FALSE)</f>
        <v>0.2</v>
      </c>
      <c r="L143" s="19">
        <f>VLOOKUP(orders!D143,[1]products!$A$1:$G$49, 5,FALSE)</f>
        <v>3.8849999999999998</v>
      </c>
      <c r="M143" s="13">
        <f>PRODUCT(orders!$E143,orders!$L143)</f>
        <v>15.54</v>
      </c>
      <c r="N143" s="18" t="str">
        <f t="shared" si="4"/>
        <v>May</v>
      </c>
      <c r="O143" s="18">
        <f t="shared" si="5"/>
        <v>2020</v>
      </c>
      <c r="P143" s="11" t="str">
        <f>TEXT(orders!$B143, "DDD")</f>
        <v>Tue</v>
      </c>
      <c r="Q143" s="11" t="str">
        <f>VLOOKUP(orders!C143,[1]customers!$A$1:$I$1001, 6,FALSE)</f>
        <v>Washington</v>
      </c>
    </row>
    <row r="144" spans="1:17" x14ac:dyDescent="0.3">
      <c r="A144" s="7" t="s">
        <v>330</v>
      </c>
      <c r="B144" s="8">
        <v>44678</v>
      </c>
      <c r="C144" s="9" t="s">
        <v>331</v>
      </c>
      <c r="D144" s="10" t="s">
        <v>47</v>
      </c>
      <c r="E144" s="9">
        <v>4</v>
      </c>
      <c r="F144" s="9" t="str">
        <f>VLOOKUP(C144,[1]customers!$A$1:$I$1001, 2, FALSE)</f>
        <v>Julio Armytage</v>
      </c>
      <c r="G144" s="9">
        <f>VLOOKUP(orders!C144,[1]customers!$A$1:$I$1001, 3, FALSE)</f>
        <v>0</v>
      </c>
      <c r="H144" s="9" t="str">
        <f>VLOOKUP(C144, [1]customers!$A$1:$I$1001, 7, FALSE)</f>
        <v>Ireland</v>
      </c>
      <c r="I144" s="11" t="str">
        <f>VLOOKUP(orders!D144,[1]products!$A$1:$G$49, 2,FALSE)</f>
        <v>Exc</v>
      </c>
      <c r="J144" s="11" t="str">
        <f>VLOOKUP(orders!D144,[1]products!$A$1:$G$49, 3,FALSE)</f>
        <v>L</v>
      </c>
      <c r="K144" s="12">
        <f>VLOOKUP(orders!D144,[1]products!$A$1:$G$49, 4,FALSE)</f>
        <v>2.5</v>
      </c>
      <c r="L144" s="12">
        <f>VLOOKUP(orders!D144,[1]products!$A$1:$G$49, 5,FALSE)</f>
        <v>34.154999999999994</v>
      </c>
      <c r="M144" s="13">
        <f>PRODUCT(orders!$E144,orders!$L144)</f>
        <v>136.61999999999998</v>
      </c>
      <c r="N144" s="11" t="str">
        <f t="shared" si="4"/>
        <v>April</v>
      </c>
      <c r="O144" s="11">
        <f t="shared" si="5"/>
        <v>2022</v>
      </c>
      <c r="P144" s="11" t="str">
        <f>TEXT(orders!$B144, "DDD")</f>
        <v>Wed</v>
      </c>
      <c r="Q144" s="11" t="str">
        <f>VLOOKUP(orders!C144,[1]customers!$A$1:$I$1001, 6,FALSE)</f>
        <v>Portumna</v>
      </c>
    </row>
    <row r="145" spans="1:17" x14ac:dyDescent="0.3">
      <c r="A145" s="14" t="s">
        <v>332</v>
      </c>
      <c r="B145" s="15">
        <v>44083</v>
      </c>
      <c r="C145" s="16" t="s">
        <v>333</v>
      </c>
      <c r="D145" s="17" t="s">
        <v>95</v>
      </c>
      <c r="E145" s="16">
        <v>2</v>
      </c>
      <c r="F145" s="9" t="str">
        <f>VLOOKUP(C145,[1]customers!$A$1:$I$1001, 2, FALSE)</f>
        <v>Deana Staite</v>
      </c>
      <c r="G145" s="16" t="str">
        <f>VLOOKUP(orders!C145,[1]customers!$A$1:$I$1001, 3, FALSE)</f>
        <v>dstaite3z@scientificamerican.com</v>
      </c>
      <c r="H145" s="16" t="str">
        <f>VLOOKUP(C145, [1]customers!$A$1:$I$1001, 7, FALSE)</f>
        <v>United States</v>
      </c>
      <c r="I145" s="18" t="str">
        <f>VLOOKUP(orders!D145,[1]products!$A$1:$G$49, 2,FALSE)</f>
        <v>Lib</v>
      </c>
      <c r="J145" s="18" t="str">
        <f>VLOOKUP(orders!D145,[1]products!$A$1:$G$49, 3,FALSE)</f>
        <v>M</v>
      </c>
      <c r="K145" s="19">
        <f>VLOOKUP(orders!D145,[1]products!$A$1:$G$49, 4,FALSE)</f>
        <v>0.5</v>
      </c>
      <c r="L145" s="19">
        <f>VLOOKUP(orders!D145,[1]products!$A$1:$G$49, 5,FALSE)</f>
        <v>8.73</v>
      </c>
      <c r="M145" s="13">
        <f>PRODUCT(orders!$E145,orders!$L145)</f>
        <v>17.46</v>
      </c>
      <c r="N145" s="18" t="str">
        <f t="shared" si="4"/>
        <v>September</v>
      </c>
      <c r="O145" s="18">
        <f t="shared" si="5"/>
        <v>2020</v>
      </c>
      <c r="P145" s="11" t="str">
        <f>TEXT(orders!$B145, "DDD")</f>
        <v>Wed</v>
      </c>
      <c r="Q145" s="11" t="str">
        <f>VLOOKUP(orders!C145,[1]customers!$A$1:$I$1001, 6,FALSE)</f>
        <v>Houston</v>
      </c>
    </row>
    <row r="146" spans="1:17" x14ac:dyDescent="0.3">
      <c r="A146" s="7" t="s">
        <v>334</v>
      </c>
      <c r="B146" s="8">
        <v>44265</v>
      </c>
      <c r="C146" s="9" t="s">
        <v>335</v>
      </c>
      <c r="D146" s="10" t="s">
        <v>47</v>
      </c>
      <c r="E146" s="9">
        <v>2</v>
      </c>
      <c r="F146" s="9" t="str">
        <f>VLOOKUP(C146,[1]customers!$A$1:$I$1001, 2, FALSE)</f>
        <v>Winn Keyse</v>
      </c>
      <c r="G146" s="9" t="str">
        <f>VLOOKUP(orders!C146,[1]customers!$A$1:$I$1001, 3, FALSE)</f>
        <v>wkeyse40@apple.com</v>
      </c>
      <c r="H146" s="9" t="str">
        <f>VLOOKUP(C146, [1]customers!$A$1:$I$1001, 7, FALSE)</f>
        <v>United States</v>
      </c>
      <c r="I146" s="11" t="str">
        <f>VLOOKUP(orders!D146,[1]products!$A$1:$G$49, 2,FALSE)</f>
        <v>Exc</v>
      </c>
      <c r="J146" s="11" t="str">
        <f>VLOOKUP(orders!D146,[1]products!$A$1:$G$49, 3,FALSE)</f>
        <v>L</v>
      </c>
      <c r="K146" s="12">
        <f>VLOOKUP(orders!D146,[1]products!$A$1:$G$49, 4,FALSE)</f>
        <v>2.5</v>
      </c>
      <c r="L146" s="12">
        <f>VLOOKUP(orders!D146,[1]products!$A$1:$G$49, 5,FALSE)</f>
        <v>34.154999999999994</v>
      </c>
      <c r="M146" s="13">
        <f>PRODUCT(orders!$E146,orders!$L146)</f>
        <v>68.309999999999988</v>
      </c>
      <c r="N146" s="11" t="str">
        <f t="shared" si="4"/>
        <v>March</v>
      </c>
      <c r="O146" s="11">
        <f t="shared" si="5"/>
        <v>2021</v>
      </c>
      <c r="P146" s="11" t="str">
        <f>TEXT(orders!$B146, "DDD")</f>
        <v>Wed</v>
      </c>
      <c r="Q146" s="11" t="str">
        <f>VLOOKUP(orders!C146,[1]customers!$A$1:$I$1001, 6,FALSE)</f>
        <v>Orange</v>
      </c>
    </row>
    <row r="147" spans="1:17" x14ac:dyDescent="0.3">
      <c r="A147" s="14" t="s">
        <v>336</v>
      </c>
      <c r="B147" s="15">
        <v>43562</v>
      </c>
      <c r="C147" s="16" t="s">
        <v>337</v>
      </c>
      <c r="D147" s="17" t="s">
        <v>94</v>
      </c>
      <c r="E147" s="16">
        <v>4</v>
      </c>
      <c r="F147" s="9" t="str">
        <f>VLOOKUP(C147,[1]customers!$A$1:$I$1001, 2, FALSE)</f>
        <v>Osmund Clausen-Thue</v>
      </c>
      <c r="G147" s="16" t="str">
        <f>VLOOKUP(orders!C147,[1]customers!$A$1:$I$1001, 3, FALSE)</f>
        <v>oclausenthue41@marriott.com</v>
      </c>
      <c r="H147" s="16" t="str">
        <f>VLOOKUP(C147, [1]customers!$A$1:$I$1001, 7, FALSE)</f>
        <v>United States</v>
      </c>
      <c r="I147" s="18" t="str">
        <f>VLOOKUP(orders!D147,[1]products!$A$1:$G$49, 2,FALSE)</f>
        <v>Lib</v>
      </c>
      <c r="J147" s="18" t="str">
        <f>VLOOKUP(orders!D147,[1]products!$A$1:$G$49, 3,FALSE)</f>
        <v>M</v>
      </c>
      <c r="K147" s="19">
        <f>VLOOKUP(orders!D147,[1]products!$A$1:$G$49, 4,FALSE)</f>
        <v>0.2</v>
      </c>
      <c r="L147" s="19">
        <f>VLOOKUP(orders!D147,[1]products!$A$1:$G$49, 5,FALSE)</f>
        <v>4.3650000000000002</v>
      </c>
      <c r="M147" s="13">
        <f>PRODUCT(orders!$E147,orders!$L147)</f>
        <v>17.46</v>
      </c>
      <c r="N147" s="18" t="str">
        <f t="shared" si="4"/>
        <v>April</v>
      </c>
      <c r="O147" s="18">
        <f t="shared" si="5"/>
        <v>2019</v>
      </c>
      <c r="P147" s="11" t="str">
        <f>TEXT(orders!$B147, "DDD")</f>
        <v>Sun</v>
      </c>
      <c r="Q147" s="11" t="str">
        <f>VLOOKUP(orders!C147,[1]customers!$A$1:$I$1001, 6,FALSE)</f>
        <v>El Paso</v>
      </c>
    </row>
    <row r="148" spans="1:17" x14ac:dyDescent="0.3">
      <c r="A148" s="7" t="s">
        <v>338</v>
      </c>
      <c r="B148" s="8">
        <v>44024</v>
      </c>
      <c r="C148" s="9" t="s">
        <v>339</v>
      </c>
      <c r="D148" s="10" t="s">
        <v>113</v>
      </c>
      <c r="E148" s="9">
        <v>3</v>
      </c>
      <c r="F148" s="9" t="str">
        <f>VLOOKUP(C148,[1]customers!$A$1:$I$1001, 2, FALSE)</f>
        <v>Leonore Francisco</v>
      </c>
      <c r="G148" s="9" t="str">
        <f>VLOOKUP(orders!C148,[1]customers!$A$1:$I$1001, 3, FALSE)</f>
        <v>lfrancisco42@fema.gov</v>
      </c>
      <c r="H148" s="9" t="str">
        <f>VLOOKUP(C148, [1]customers!$A$1:$I$1001, 7, FALSE)</f>
        <v>United States</v>
      </c>
      <c r="I148" s="11" t="str">
        <f>VLOOKUP(orders!D148,[1]products!$A$1:$G$49, 2,FALSE)</f>
        <v>Lib</v>
      </c>
      <c r="J148" s="11" t="str">
        <f>VLOOKUP(orders!D148,[1]products!$A$1:$G$49, 3,FALSE)</f>
        <v>M</v>
      </c>
      <c r="K148" s="12">
        <f>VLOOKUP(orders!D148,[1]products!$A$1:$G$49, 4,FALSE)</f>
        <v>1</v>
      </c>
      <c r="L148" s="12">
        <f>VLOOKUP(orders!D148,[1]products!$A$1:$G$49, 5,FALSE)</f>
        <v>14.55</v>
      </c>
      <c r="M148" s="13">
        <f>PRODUCT(orders!$E148,orders!$L148)</f>
        <v>43.650000000000006</v>
      </c>
      <c r="N148" s="11" t="str">
        <f t="shared" si="4"/>
        <v>July</v>
      </c>
      <c r="O148" s="11">
        <f t="shared" si="5"/>
        <v>2020</v>
      </c>
      <c r="P148" s="11" t="str">
        <f>TEXT(orders!$B148, "DDD")</f>
        <v>Sun</v>
      </c>
      <c r="Q148" s="11" t="str">
        <f>VLOOKUP(orders!C148,[1]customers!$A$1:$I$1001, 6,FALSE)</f>
        <v>Carson City</v>
      </c>
    </row>
    <row r="149" spans="1:17" x14ac:dyDescent="0.3">
      <c r="A149" s="14" t="s">
        <v>338</v>
      </c>
      <c r="B149" s="15">
        <v>44024</v>
      </c>
      <c r="C149" s="16" t="s">
        <v>339</v>
      </c>
      <c r="D149" s="17" t="s">
        <v>26</v>
      </c>
      <c r="E149" s="16">
        <v>2</v>
      </c>
      <c r="F149" s="9" t="str">
        <f>VLOOKUP(C149,[1]customers!$A$1:$I$1001, 2, FALSE)</f>
        <v>Leonore Francisco</v>
      </c>
      <c r="G149" s="16" t="str">
        <f>VLOOKUP(orders!C149,[1]customers!$A$1:$I$1001, 3, FALSE)</f>
        <v>lfrancisco42@fema.gov</v>
      </c>
      <c r="H149" s="16" t="str">
        <f>VLOOKUP(C149, [1]customers!$A$1:$I$1001, 7, FALSE)</f>
        <v>United States</v>
      </c>
      <c r="I149" s="18" t="str">
        <f>VLOOKUP(orders!D149,[1]products!$A$1:$G$49, 2,FALSE)</f>
        <v>Exc</v>
      </c>
      <c r="J149" s="18" t="str">
        <f>VLOOKUP(orders!D149,[1]products!$A$1:$G$49, 3,FALSE)</f>
        <v>M</v>
      </c>
      <c r="K149" s="19">
        <f>VLOOKUP(orders!D149,[1]products!$A$1:$G$49, 4,FALSE)</f>
        <v>1</v>
      </c>
      <c r="L149" s="19">
        <f>VLOOKUP(orders!D149,[1]products!$A$1:$G$49, 5,FALSE)</f>
        <v>13.75</v>
      </c>
      <c r="M149" s="13">
        <f>PRODUCT(orders!$E149,orders!$L149)</f>
        <v>27.5</v>
      </c>
      <c r="N149" s="18" t="str">
        <f t="shared" si="4"/>
        <v>July</v>
      </c>
      <c r="O149" s="18">
        <f t="shared" si="5"/>
        <v>2020</v>
      </c>
      <c r="P149" s="11" t="str">
        <f>TEXT(orders!$B149, "DDD")</f>
        <v>Sun</v>
      </c>
      <c r="Q149" s="11" t="str">
        <f>VLOOKUP(orders!C149,[1]customers!$A$1:$I$1001, 6,FALSE)</f>
        <v>Carson City</v>
      </c>
    </row>
    <row r="150" spans="1:17" x14ac:dyDescent="0.3">
      <c r="A150" s="7" t="s">
        <v>340</v>
      </c>
      <c r="B150" s="8">
        <v>44551</v>
      </c>
      <c r="C150" s="9" t="s">
        <v>341</v>
      </c>
      <c r="D150" s="10" t="s">
        <v>68</v>
      </c>
      <c r="E150" s="9">
        <v>5</v>
      </c>
      <c r="F150" s="9" t="str">
        <f>VLOOKUP(C150,[1]customers!$A$1:$I$1001, 2, FALSE)</f>
        <v>Giacobo Skingle</v>
      </c>
      <c r="G150" s="9" t="str">
        <f>VLOOKUP(orders!C150,[1]customers!$A$1:$I$1001, 3, FALSE)</f>
        <v>gskingle44@clickbank.net</v>
      </c>
      <c r="H150" s="9" t="str">
        <f>VLOOKUP(C150, [1]customers!$A$1:$I$1001, 7, FALSE)</f>
        <v>United States</v>
      </c>
      <c r="I150" s="11" t="str">
        <f>VLOOKUP(orders!D150,[1]products!$A$1:$G$49, 2,FALSE)</f>
        <v>Exc</v>
      </c>
      <c r="J150" s="11" t="str">
        <f>VLOOKUP(orders!D150,[1]products!$A$1:$G$49, 3,FALSE)</f>
        <v>D</v>
      </c>
      <c r="K150" s="12">
        <f>VLOOKUP(orders!D150,[1]products!$A$1:$G$49, 4,FALSE)</f>
        <v>0.2</v>
      </c>
      <c r="L150" s="12">
        <f>VLOOKUP(orders!D150,[1]products!$A$1:$G$49, 5,FALSE)</f>
        <v>3.645</v>
      </c>
      <c r="M150" s="13">
        <f>PRODUCT(orders!$E150,orders!$L150)</f>
        <v>18.225000000000001</v>
      </c>
      <c r="N150" s="11" t="str">
        <f t="shared" si="4"/>
        <v>December</v>
      </c>
      <c r="O150" s="11">
        <f t="shared" si="5"/>
        <v>2021</v>
      </c>
      <c r="P150" s="11" t="str">
        <f>TEXT(orders!$B150, "DDD")</f>
        <v>Tue</v>
      </c>
      <c r="Q150" s="11" t="str">
        <f>VLOOKUP(orders!C150,[1]customers!$A$1:$I$1001, 6,FALSE)</f>
        <v>Provo</v>
      </c>
    </row>
    <row r="151" spans="1:17" x14ac:dyDescent="0.3">
      <c r="A151" s="14" t="s">
        <v>342</v>
      </c>
      <c r="B151" s="15">
        <v>44108</v>
      </c>
      <c r="C151" s="16" t="s">
        <v>343</v>
      </c>
      <c r="D151" s="17" t="s">
        <v>188</v>
      </c>
      <c r="E151" s="16">
        <v>2</v>
      </c>
      <c r="F151" s="9" t="str">
        <f>VLOOKUP(C151,[1]customers!$A$1:$I$1001, 2, FALSE)</f>
        <v>Gerard Pirdy</v>
      </c>
      <c r="G151" s="16">
        <f>VLOOKUP(orders!C151,[1]customers!$A$1:$I$1001, 3, FALSE)</f>
        <v>0</v>
      </c>
      <c r="H151" s="16" t="str">
        <f>VLOOKUP(C151, [1]customers!$A$1:$I$1001, 7, FALSE)</f>
        <v>United States</v>
      </c>
      <c r="I151" s="18" t="str">
        <f>VLOOKUP(orders!D151,[1]products!$A$1:$G$49, 2,FALSE)</f>
        <v>Ara</v>
      </c>
      <c r="J151" s="18" t="str">
        <f>VLOOKUP(orders!D151,[1]products!$A$1:$G$49, 3,FALSE)</f>
        <v>M</v>
      </c>
      <c r="K151" s="19">
        <f>VLOOKUP(orders!D151,[1]products!$A$1:$G$49, 4,FALSE)</f>
        <v>2.5</v>
      </c>
      <c r="L151" s="19">
        <f>VLOOKUP(orders!D151,[1]products!$A$1:$G$49, 5,FALSE)</f>
        <v>25.874999999999996</v>
      </c>
      <c r="M151" s="13">
        <f>PRODUCT(orders!$E151,orders!$L151)</f>
        <v>51.749999999999993</v>
      </c>
      <c r="N151" s="18" t="str">
        <f t="shared" si="4"/>
        <v>October</v>
      </c>
      <c r="O151" s="18">
        <f t="shared" si="5"/>
        <v>2020</v>
      </c>
      <c r="P151" s="11" t="str">
        <f>TEXT(orders!$B151, "DDD")</f>
        <v>Sun</v>
      </c>
      <c r="Q151" s="11" t="str">
        <f>VLOOKUP(orders!C151,[1]customers!$A$1:$I$1001, 6,FALSE)</f>
        <v>Boca Raton</v>
      </c>
    </row>
    <row r="152" spans="1:17" x14ac:dyDescent="0.3">
      <c r="A152" s="7" t="s">
        <v>344</v>
      </c>
      <c r="B152" s="8">
        <v>44051</v>
      </c>
      <c r="C152" s="9" t="s">
        <v>345</v>
      </c>
      <c r="D152" s="10" t="s">
        <v>30</v>
      </c>
      <c r="E152" s="9">
        <v>1</v>
      </c>
      <c r="F152" s="9" t="str">
        <f>VLOOKUP(C152,[1]customers!$A$1:$I$1001, 2, FALSE)</f>
        <v>Jacinthe Balsillie</v>
      </c>
      <c r="G152" s="9" t="str">
        <f>VLOOKUP(orders!C152,[1]customers!$A$1:$I$1001, 3, FALSE)</f>
        <v>jbalsillie46@princeton.edu</v>
      </c>
      <c r="H152" s="9" t="str">
        <f>VLOOKUP(C152, [1]customers!$A$1:$I$1001, 7, FALSE)</f>
        <v>United States</v>
      </c>
      <c r="I152" s="11" t="str">
        <f>VLOOKUP(orders!D152,[1]products!$A$1:$G$49, 2,FALSE)</f>
        <v>Lib</v>
      </c>
      <c r="J152" s="11" t="str">
        <f>VLOOKUP(orders!D152,[1]products!$A$1:$G$49, 3,FALSE)</f>
        <v>D</v>
      </c>
      <c r="K152" s="12">
        <f>VLOOKUP(orders!D152,[1]products!$A$1:$G$49, 4,FALSE)</f>
        <v>1</v>
      </c>
      <c r="L152" s="12">
        <f>VLOOKUP(orders!D152,[1]products!$A$1:$G$49, 5,FALSE)</f>
        <v>12.95</v>
      </c>
      <c r="M152" s="13">
        <f>PRODUCT(orders!$E152,orders!$L152)</f>
        <v>12.95</v>
      </c>
      <c r="N152" s="11" t="str">
        <f t="shared" si="4"/>
        <v>August</v>
      </c>
      <c r="O152" s="11">
        <f t="shared" si="5"/>
        <v>2020</v>
      </c>
      <c r="P152" s="11" t="str">
        <f>TEXT(orders!$B152, "DDD")</f>
        <v>Sat</v>
      </c>
      <c r="Q152" s="11" t="str">
        <f>VLOOKUP(orders!C152,[1]customers!$A$1:$I$1001, 6,FALSE)</f>
        <v>Roanoke</v>
      </c>
    </row>
    <row r="153" spans="1:17" x14ac:dyDescent="0.3">
      <c r="A153" s="14" t="s">
        <v>346</v>
      </c>
      <c r="B153" s="15">
        <v>44115</v>
      </c>
      <c r="C153" s="16" t="s">
        <v>347</v>
      </c>
      <c r="D153" s="17" t="s">
        <v>78</v>
      </c>
      <c r="E153" s="16">
        <v>3</v>
      </c>
      <c r="F153" s="9" t="str">
        <f>VLOOKUP(C153,[1]customers!$A$1:$I$1001, 2, FALSE)</f>
        <v>Quinton Fouracres</v>
      </c>
      <c r="G153" s="16">
        <f>VLOOKUP(orders!C153,[1]customers!$A$1:$I$1001, 3, FALSE)</f>
        <v>0</v>
      </c>
      <c r="H153" s="16" t="str">
        <f>VLOOKUP(C153, [1]customers!$A$1:$I$1001, 7, FALSE)</f>
        <v>United States</v>
      </c>
      <c r="I153" s="18" t="str">
        <f>VLOOKUP(orders!D153,[1]products!$A$1:$G$49, 2,FALSE)</f>
        <v>Ara</v>
      </c>
      <c r="J153" s="18" t="str">
        <f>VLOOKUP(orders!D153,[1]products!$A$1:$G$49, 3,FALSE)</f>
        <v>M</v>
      </c>
      <c r="K153" s="19">
        <f>VLOOKUP(orders!D153,[1]products!$A$1:$G$49, 4,FALSE)</f>
        <v>1</v>
      </c>
      <c r="L153" s="19">
        <f>VLOOKUP(orders!D153,[1]products!$A$1:$G$49, 5,FALSE)</f>
        <v>11.25</v>
      </c>
      <c r="M153" s="13">
        <f>PRODUCT(orders!$E153,orders!$L153)</f>
        <v>33.75</v>
      </c>
      <c r="N153" s="18" t="str">
        <f t="shared" si="4"/>
        <v>October</v>
      </c>
      <c r="O153" s="18">
        <f t="shared" si="5"/>
        <v>2020</v>
      </c>
      <c r="P153" s="11" t="str">
        <f>TEXT(orders!$B153, "DDD")</f>
        <v>Sun</v>
      </c>
      <c r="Q153" s="11" t="str">
        <f>VLOOKUP(orders!C153,[1]customers!$A$1:$I$1001, 6,FALSE)</f>
        <v>Des Moines</v>
      </c>
    </row>
    <row r="154" spans="1:17" x14ac:dyDescent="0.3">
      <c r="A154" s="7" t="s">
        <v>348</v>
      </c>
      <c r="B154" s="8">
        <v>44510</v>
      </c>
      <c r="C154" s="9" t="s">
        <v>349</v>
      </c>
      <c r="D154" s="10" t="s">
        <v>58</v>
      </c>
      <c r="E154" s="9">
        <v>3</v>
      </c>
      <c r="F154" s="9" t="str">
        <f>VLOOKUP(C154,[1]customers!$A$1:$I$1001, 2, FALSE)</f>
        <v>Bettina Leffek</v>
      </c>
      <c r="G154" s="9" t="str">
        <f>VLOOKUP(orders!C154,[1]customers!$A$1:$I$1001, 3, FALSE)</f>
        <v>bleffek48@ning.com</v>
      </c>
      <c r="H154" s="9" t="str">
        <f>VLOOKUP(C154, [1]customers!$A$1:$I$1001, 7, FALSE)</f>
        <v>United States</v>
      </c>
      <c r="I154" s="11" t="str">
        <f>VLOOKUP(orders!D154,[1]products!$A$1:$G$49, 2,FALSE)</f>
        <v>Rob</v>
      </c>
      <c r="J154" s="11" t="str">
        <f>VLOOKUP(orders!D154,[1]products!$A$1:$G$49, 3,FALSE)</f>
        <v>M</v>
      </c>
      <c r="K154" s="12">
        <f>VLOOKUP(orders!D154,[1]products!$A$1:$G$49, 4,FALSE)</f>
        <v>2.5</v>
      </c>
      <c r="L154" s="12">
        <f>VLOOKUP(orders!D154,[1]products!$A$1:$G$49, 5,FALSE)</f>
        <v>22.884999999999998</v>
      </c>
      <c r="M154" s="13">
        <f>PRODUCT(orders!$E154,orders!$L154)</f>
        <v>68.655000000000001</v>
      </c>
      <c r="N154" s="11" t="str">
        <f t="shared" si="4"/>
        <v>November</v>
      </c>
      <c r="O154" s="11">
        <f t="shared" si="5"/>
        <v>2021</v>
      </c>
      <c r="P154" s="11" t="str">
        <f>TEXT(orders!$B154, "DDD")</f>
        <v>Wed</v>
      </c>
      <c r="Q154" s="11" t="str">
        <f>VLOOKUP(orders!C154,[1]customers!$A$1:$I$1001, 6,FALSE)</f>
        <v>Honolulu</v>
      </c>
    </row>
    <row r="155" spans="1:17" x14ac:dyDescent="0.3">
      <c r="A155" s="14" t="s">
        <v>350</v>
      </c>
      <c r="B155" s="15">
        <v>44367</v>
      </c>
      <c r="C155" s="16" t="s">
        <v>351</v>
      </c>
      <c r="D155" s="17" t="s">
        <v>118</v>
      </c>
      <c r="E155" s="16">
        <v>1</v>
      </c>
      <c r="F155" s="9" t="str">
        <f>VLOOKUP(C155,[1]customers!$A$1:$I$1001, 2, FALSE)</f>
        <v>Hetti Penson</v>
      </c>
      <c r="G155" s="16">
        <f>VLOOKUP(orders!C155,[1]customers!$A$1:$I$1001, 3, FALSE)</f>
        <v>0</v>
      </c>
      <c r="H155" s="16" t="str">
        <f>VLOOKUP(C155, [1]customers!$A$1:$I$1001, 7, FALSE)</f>
        <v>United States</v>
      </c>
      <c r="I155" s="18" t="str">
        <f>VLOOKUP(orders!D155,[1]products!$A$1:$G$49, 2,FALSE)</f>
        <v>Rob</v>
      </c>
      <c r="J155" s="18" t="str">
        <f>VLOOKUP(orders!D155,[1]products!$A$1:$G$49, 3,FALSE)</f>
        <v>D</v>
      </c>
      <c r="K155" s="19">
        <f>VLOOKUP(orders!D155,[1]products!$A$1:$G$49, 4,FALSE)</f>
        <v>0.2</v>
      </c>
      <c r="L155" s="19">
        <f>VLOOKUP(orders!D155,[1]products!$A$1:$G$49, 5,FALSE)</f>
        <v>2.6849999999999996</v>
      </c>
      <c r="M155" s="13">
        <f>PRODUCT(orders!$E155,orders!$L155)</f>
        <v>2.6849999999999996</v>
      </c>
      <c r="N155" s="18" t="str">
        <f t="shared" si="4"/>
        <v>June</v>
      </c>
      <c r="O155" s="18">
        <f t="shared" si="5"/>
        <v>2021</v>
      </c>
      <c r="P155" s="11" t="str">
        <f>TEXT(orders!$B155, "DDD")</f>
        <v>Sun</v>
      </c>
      <c r="Q155" s="11" t="str">
        <f>VLOOKUP(orders!C155,[1]customers!$A$1:$I$1001, 6,FALSE)</f>
        <v>Fort Lauderdale</v>
      </c>
    </row>
    <row r="156" spans="1:17" x14ac:dyDescent="0.3">
      <c r="A156" s="7" t="s">
        <v>352</v>
      </c>
      <c r="B156" s="8">
        <v>44473</v>
      </c>
      <c r="C156" s="9" t="s">
        <v>353</v>
      </c>
      <c r="D156" s="10" t="s">
        <v>135</v>
      </c>
      <c r="E156" s="9">
        <v>5</v>
      </c>
      <c r="F156" s="9" t="str">
        <f>VLOOKUP(C156,[1]customers!$A$1:$I$1001, 2, FALSE)</f>
        <v>Jocko Pray</v>
      </c>
      <c r="G156" s="9" t="str">
        <f>VLOOKUP(orders!C156,[1]customers!$A$1:$I$1001, 3, FALSE)</f>
        <v>jpray4a@youtube.com</v>
      </c>
      <c r="H156" s="9" t="str">
        <f>VLOOKUP(C156, [1]customers!$A$1:$I$1001, 7, FALSE)</f>
        <v>United States</v>
      </c>
      <c r="I156" s="11" t="str">
        <f>VLOOKUP(orders!D156,[1]products!$A$1:$G$49, 2,FALSE)</f>
        <v>Ara</v>
      </c>
      <c r="J156" s="11" t="str">
        <f>VLOOKUP(orders!D156,[1]products!$A$1:$G$49, 3,FALSE)</f>
        <v>D</v>
      </c>
      <c r="K156" s="12">
        <f>VLOOKUP(orders!D156,[1]products!$A$1:$G$49, 4,FALSE)</f>
        <v>2.5</v>
      </c>
      <c r="L156" s="12">
        <f>VLOOKUP(orders!D156,[1]products!$A$1:$G$49, 5,FALSE)</f>
        <v>22.884999999999998</v>
      </c>
      <c r="M156" s="13">
        <f>PRODUCT(orders!$E156,orders!$L156)</f>
        <v>114.42499999999998</v>
      </c>
      <c r="N156" s="11" t="str">
        <f t="shared" si="4"/>
        <v>October</v>
      </c>
      <c r="O156" s="11">
        <f t="shared" si="5"/>
        <v>2021</v>
      </c>
      <c r="P156" s="11" t="str">
        <f>TEXT(orders!$B156, "DDD")</f>
        <v>Mon</v>
      </c>
      <c r="Q156" s="11" t="str">
        <f>VLOOKUP(orders!C156,[1]customers!$A$1:$I$1001, 6,FALSE)</f>
        <v>Philadelphia</v>
      </c>
    </row>
    <row r="157" spans="1:17" x14ac:dyDescent="0.3">
      <c r="A157" s="14" t="s">
        <v>354</v>
      </c>
      <c r="B157" s="15">
        <v>43640</v>
      </c>
      <c r="C157" s="16" t="s">
        <v>355</v>
      </c>
      <c r="D157" s="17" t="s">
        <v>188</v>
      </c>
      <c r="E157" s="16">
        <v>6</v>
      </c>
      <c r="F157" s="9" t="str">
        <f>VLOOKUP(C157,[1]customers!$A$1:$I$1001, 2, FALSE)</f>
        <v>Grete Holborn</v>
      </c>
      <c r="G157" s="16" t="str">
        <f>VLOOKUP(orders!C157,[1]customers!$A$1:$I$1001, 3, FALSE)</f>
        <v>gholborn4b@ow.ly</v>
      </c>
      <c r="H157" s="16" t="str">
        <f>VLOOKUP(C157, [1]customers!$A$1:$I$1001, 7, FALSE)</f>
        <v>United States</v>
      </c>
      <c r="I157" s="18" t="str">
        <f>VLOOKUP(orders!D157,[1]products!$A$1:$G$49, 2,FALSE)</f>
        <v>Ara</v>
      </c>
      <c r="J157" s="18" t="str">
        <f>VLOOKUP(orders!D157,[1]products!$A$1:$G$49, 3,FALSE)</f>
        <v>M</v>
      </c>
      <c r="K157" s="19">
        <f>VLOOKUP(orders!D157,[1]products!$A$1:$G$49, 4,FALSE)</f>
        <v>2.5</v>
      </c>
      <c r="L157" s="19">
        <f>VLOOKUP(orders!D157,[1]products!$A$1:$G$49, 5,FALSE)</f>
        <v>25.874999999999996</v>
      </c>
      <c r="M157" s="13">
        <f>PRODUCT(orders!$E157,orders!$L157)</f>
        <v>155.24999999999997</v>
      </c>
      <c r="N157" s="18" t="str">
        <f t="shared" si="4"/>
        <v>June</v>
      </c>
      <c r="O157" s="18">
        <f t="shared" si="5"/>
        <v>2019</v>
      </c>
      <c r="P157" s="11" t="str">
        <f>TEXT(orders!$B157, "DDD")</f>
        <v>Mon</v>
      </c>
      <c r="Q157" s="11" t="str">
        <f>VLOOKUP(orders!C157,[1]customers!$A$1:$I$1001, 6,FALSE)</f>
        <v>Norwalk</v>
      </c>
    </row>
    <row r="158" spans="1:17" x14ac:dyDescent="0.3">
      <c r="A158" s="7" t="s">
        <v>356</v>
      </c>
      <c r="B158" s="8">
        <v>43764</v>
      </c>
      <c r="C158" s="9" t="s">
        <v>357</v>
      </c>
      <c r="D158" s="10" t="s">
        <v>188</v>
      </c>
      <c r="E158" s="9">
        <v>3</v>
      </c>
      <c r="F158" s="9" t="str">
        <f>VLOOKUP(C158,[1]customers!$A$1:$I$1001, 2, FALSE)</f>
        <v>Fielding Keinrat</v>
      </c>
      <c r="G158" s="9" t="str">
        <f>VLOOKUP(orders!C158,[1]customers!$A$1:$I$1001, 3, FALSE)</f>
        <v>fkeinrat4c@dailymail.co.uk</v>
      </c>
      <c r="H158" s="9" t="str">
        <f>VLOOKUP(C158, [1]customers!$A$1:$I$1001, 7, FALSE)</f>
        <v>United States</v>
      </c>
      <c r="I158" s="11" t="str">
        <f>VLOOKUP(orders!D158,[1]products!$A$1:$G$49, 2,FALSE)</f>
        <v>Ara</v>
      </c>
      <c r="J158" s="11" t="str">
        <f>VLOOKUP(orders!D158,[1]products!$A$1:$G$49, 3,FALSE)</f>
        <v>M</v>
      </c>
      <c r="K158" s="12">
        <f>VLOOKUP(orders!D158,[1]products!$A$1:$G$49, 4,FALSE)</f>
        <v>2.5</v>
      </c>
      <c r="L158" s="12">
        <f>VLOOKUP(orders!D158,[1]products!$A$1:$G$49, 5,FALSE)</f>
        <v>25.874999999999996</v>
      </c>
      <c r="M158" s="13">
        <f>PRODUCT(orders!$E158,orders!$L158)</f>
        <v>77.624999999999986</v>
      </c>
      <c r="N158" s="11" t="str">
        <f t="shared" si="4"/>
        <v>October</v>
      </c>
      <c r="O158" s="11">
        <f t="shared" si="5"/>
        <v>2019</v>
      </c>
      <c r="P158" s="11" t="str">
        <f>TEXT(orders!$B158, "DDD")</f>
        <v>Sat</v>
      </c>
      <c r="Q158" s="11" t="str">
        <f>VLOOKUP(orders!C158,[1]customers!$A$1:$I$1001, 6,FALSE)</f>
        <v>Arlington</v>
      </c>
    </row>
    <row r="159" spans="1:17" x14ac:dyDescent="0.3">
      <c r="A159" s="14" t="s">
        <v>358</v>
      </c>
      <c r="B159" s="15">
        <v>44374</v>
      </c>
      <c r="C159" s="16" t="s">
        <v>359</v>
      </c>
      <c r="D159" s="17" t="s">
        <v>52</v>
      </c>
      <c r="E159" s="16">
        <v>3</v>
      </c>
      <c r="F159" s="9" t="str">
        <f>VLOOKUP(C159,[1]customers!$A$1:$I$1001, 2, FALSE)</f>
        <v>Paulo Yea</v>
      </c>
      <c r="G159" s="16" t="str">
        <f>VLOOKUP(orders!C159,[1]customers!$A$1:$I$1001, 3, FALSE)</f>
        <v>pyea4d@aol.com</v>
      </c>
      <c r="H159" s="16" t="str">
        <f>VLOOKUP(C159, [1]customers!$A$1:$I$1001, 7, FALSE)</f>
        <v>Ireland</v>
      </c>
      <c r="I159" s="18" t="str">
        <f>VLOOKUP(orders!D159,[1]products!$A$1:$G$49, 2,FALSE)</f>
        <v>Rob</v>
      </c>
      <c r="J159" s="18" t="str">
        <f>VLOOKUP(orders!D159,[1]products!$A$1:$G$49, 3,FALSE)</f>
        <v>D</v>
      </c>
      <c r="K159" s="19">
        <f>VLOOKUP(orders!D159,[1]products!$A$1:$G$49, 4,FALSE)</f>
        <v>2.5</v>
      </c>
      <c r="L159" s="19">
        <f>VLOOKUP(orders!D159,[1]products!$A$1:$G$49, 5,FALSE)</f>
        <v>20.584999999999997</v>
      </c>
      <c r="M159" s="13">
        <f>PRODUCT(orders!$E159,orders!$L159)</f>
        <v>61.754999999999995</v>
      </c>
      <c r="N159" s="18" t="str">
        <f t="shared" si="4"/>
        <v>June</v>
      </c>
      <c r="O159" s="18">
        <f t="shared" si="5"/>
        <v>2021</v>
      </c>
      <c r="P159" s="11" t="str">
        <f>TEXT(orders!$B159, "DDD")</f>
        <v>Sun</v>
      </c>
      <c r="Q159" s="11" t="str">
        <f>VLOOKUP(orders!C159,[1]customers!$A$1:$I$1001, 6,FALSE)</f>
        <v>Ashford</v>
      </c>
    </row>
    <row r="160" spans="1:17" x14ac:dyDescent="0.3">
      <c r="A160" s="7" t="s">
        <v>360</v>
      </c>
      <c r="B160" s="8">
        <v>43714</v>
      </c>
      <c r="C160" s="9" t="s">
        <v>361</v>
      </c>
      <c r="D160" s="10" t="s">
        <v>52</v>
      </c>
      <c r="E160" s="9">
        <v>6</v>
      </c>
      <c r="F160" s="9" t="str">
        <f>VLOOKUP(C160,[1]customers!$A$1:$I$1001, 2, FALSE)</f>
        <v>Say Risborough</v>
      </c>
      <c r="G160" s="9">
        <f>VLOOKUP(orders!C160,[1]customers!$A$1:$I$1001, 3, FALSE)</f>
        <v>0</v>
      </c>
      <c r="H160" s="9" t="str">
        <f>VLOOKUP(C160, [1]customers!$A$1:$I$1001, 7, FALSE)</f>
        <v>United States</v>
      </c>
      <c r="I160" s="11" t="str">
        <f>VLOOKUP(orders!D160,[1]products!$A$1:$G$49, 2,FALSE)</f>
        <v>Rob</v>
      </c>
      <c r="J160" s="11" t="str">
        <f>VLOOKUP(orders!D160,[1]products!$A$1:$G$49, 3,FALSE)</f>
        <v>D</v>
      </c>
      <c r="K160" s="12">
        <f>VLOOKUP(orders!D160,[1]products!$A$1:$G$49, 4,FALSE)</f>
        <v>2.5</v>
      </c>
      <c r="L160" s="12">
        <f>VLOOKUP(orders!D160,[1]products!$A$1:$G$49, 5,FALSE)</f>
        <v>20.584999999999997</v>
      </c>
      <c r="M160" s="13">
        <f>PRODUCT(orders!$E160,orders!$L160)</f>
        <v>123.50999999999999</v>
      </c>
      <c r="N160" s="11" t="str">
        <f t="shared" si="4"/>
        <v>September</v>
      </c>
      <c r="O160" s="11">
        <f t="shared" si="5"/>
        <v>2019</v>
      </c>
      <c r="P160" s="11" t="str">
        <f>TEXT(orders!$B160, "DDD")</f>
        <v>Fri</v>
      </c>
      <c r="Q160" s="11" t="str">
        <f>VLOOKUP(orders!C160,[1]customers!$A$1:$I$1001, 6,FALSE)</f>
        <v>Chattanooga</v>
      </c>
    </row>
    <row r="161" spans="1:17" x14ac:dyDescent="0.3">
      <c r="A161" s="14" t="s">
        <v>362</v>
      </c>
      <c r="B161" s="15">
        <v>44316</v>
      </c>
      <c r="C161" s="16" t="s">
        <v>363</v>
      </c>
      <c r="D161" s="17" t="s">
        <v>121</v>
      </c>
      <c r="E161" s="16">
        <v>6</v>
      </c>
      <c r="F161" s="9" t="str">
        <f>VLOOKUP(C161,[1]customers!$A$1:$I$1001, 2, FALSE)</f>
        <v>Alexa Sizey</v>
      </c>
      <c r="G161" s="16">
        <f>VLOOKUP(orders!C161,[1]customers!$A$1:$I$1001, 3, FALSE)</f>
        <v>0</v>
      </c>
      <c r="H161" s="16" t="str">
        <f>VLOOKUP(C161, [1]customers!$A$1:$I$1001, 7, FALSE)</f>
        <v>United States</v>
      </c>
      <c r="I161" s="18" t="str">
        <f>VLOOKUP(orders!D161,[1]products!$A$1:$G$49, 2,FALSE)</f>
        <v>Lib</v>
      </c>
      <c r="J161" s="18" t="str">
        <f>VLOOKUP(orders!D161,[1]products!$A$1:$G$49, 3,FALSE)</f>
        <v>L</v>
      </c>
      <c r="K161" s="19">
        <f>VLOOKUP(orders!D161,[1]products!$A$1:$G$49, 4,FALSE)</f>
        <v>2.5</v>
      </c>
      <c r="L161" s="19">
        <f>VLOOKUP(orders!D161,[1]products!$A$1:$G$49, 5,FALSE)</f>
        <v>36.454999999999998</v>
      </c>
      <c r="M161" s="13">
        <f>PRODUCT(orders!$E161,orders!$L161)</f>
        <v>218.73</v>
      </c>
      <c r="N161" s="18" t="str">
        <f t="shared" si="4"/>
        <v>April</v>
      </c>
      <c r="O161" s="18">
        <f t="shared" si="5"/>
        <v>2021</v>
      </c>
      <c r="P161" s="11" t="str">
        <f>TEXT(orders!$B161, "DDD")</f>
        <v>Fri</v>
      </c>
      <c r="Q161" s="11" t="str">
        <f>VLOOKUP(orders!C161,[1]customers!$A$1:$I$1001, 6,FALSE)</f>
        <v>Portland</v>
      </c>
    </row>
    <row r="162" spans="1:17" x14ac:dyDescent="0.3">
      <c r="A162" s="7" t="s">
        <v>364</v>
      </c>
      <c r="B162" s="8">
        <v>43837</v>
      </c>
      <c r="C162" s="9" t="s">
        <v>365</v>
      </c>
      <c r="D162" s="10" t="s">
        <v>20</v>
      </c>
      <c r="E162" s="9">
        <v>4</v>
      </c>
      <c r="F162" s="9" t="str">
        <f>VLOOKUP(C162,[1]customers!$A$1:$I$1001, 2, FALSE)</f>
        <v>Kari Swede</v>
      </c>
      <c r="G162" s="9" t="str">
        <f>VLOOKUP(orders!C162,[1]customers!$A$1:$I$1001, 3, FALSE)</f>
        <v>kswede4g@addthis.com</v>
      </c>
      <c r="H162" s="9" t="str">
        <f>VLOOKUP(C162, [1]customers!$A$1:$I$1001, 7, FALSE)</f>
        <v>United States</v>
      </c>
      <c r="I162" s="11" t="str">
        <f>VLOOKUP(orders!D162,[1]products!$A$1:$G$49, 2,FALSE)</f>
        <v>Exc</v>
      </c>
      <c r="J162" s="11" t="str">
        <f>VLOOKUP(orders!D162,[1]products!$A$1:$G$49, 3,FALSE)</f>
        <v>M</v>
      </c>
      <c r="K162" s="12">
        <f>VLOOKUP(orders!D162,[1]products!$A$1:$G$49, 4,FALSE)</f>
        <v>0.5</v>
      </c>
      <c r="L162" s="12">
        <f>VLOOKUP(orders!D162,[1]products!$A$1:$G$49, 5,FALSE)</f>
        <v>8.25</v>
      </c>
      <c r="M162" s="13">
        <f>PRODUCT(orders!$E162,orders!$L162)</f>
        <v>33</v>
      </c>
      <c r="N162" s="11" t="str">
        <f t="shared" si="4"/>
        <v>January</v>
      </c>
      <c r="O162" s="11">
        <f t="shared" si="5"/>
        <v>2020</v>
      </c>
      <c r="P162" s="11" t="str">
        <f>TEXT(orders!$B162, "DDD")</f>
        <v>Tue</v>
      </c>
      <c r="Q162" s="11" t="str">
        <f>VLOOKUP(orders!C162,[1]customers!$A$1:$I$1001, 6,FALSE)</f>
        <v>Oklahoma City</v>
      </c>
    </row>
    <row r="163" spans="1:17" x14ac:dyDescent="0.3">
      <c r="A163" s="14" t="s">
        <v>366</v>
      </c>
      <c r="B163" s="15">
        <v>44207</v>
      </c>
      <c r="C163" s="16" t="s">
        <v>367</v>
      </c>
      <c r="D163" s="17" t="s">
        <v>209</v>
      </c>
      <c r="E163" s="16">
        <v>3</v>
      </c>
      <c r="F163" s="9" t="str">
        <f>VLOOKUP(C163,[1]customers!$A$1:$I$1001, 2, FALSE)</f>
        <v>Leontine Rubrow</v>
      </c>
      <c r="G163" s="16" t="str">
        <f>VLOOKUP(orders!C163,[1]customers!$A$1:$I$1001, 3, FALSE)</f>
        <v>lrubrow4h@microsoft.com</v>
      </c>
      <c r="H163" s="16" t="str">
        <f>VLOOKUP(C163, [1]customers!$A$1:$I$1001, 7, FALSE)</f>
        <v>United States</v>
      </c>
      <c r="I163" s="18" t="str">
        <f>VLOOKUP(orders!D163,[1]products!$A$1:$G$49, 2,FALSE)</f>
        <v>Ara</v>
      </c>
      <c r="J163" s="18" t="str">
        <f>VLOOKUP(orders!D163,[1]products!$A$1:$G$49, 3,FALSE)</f>
        <v>L</v>
      </c>
      <c r="K163" s="19">
        <f>VLOOKUP(orders!D163,[1]products!$A$1:$G$49, 4,FALSE)</f>
        <v>0.5</v>
      </c>
      <c r="L163" s="19">
        <f>VLOOKUP(orders!D163,[1]products!$A$1:$G$49, 5,FALSE)</f>
        <v>7.77</v>
      </c>
      <c r="M163" s="13">
        <f>PRODUCT(orders!$E163,orders!$L163)</f>
        <v>23.31</v>
      </c>
      <c r="N163" s="18" t="str">
        <f t="shared" si="4"/>
        <v>January</v>
      </c>
      <c r="O163" s="18">
        <f t="shared" si="5"/>
        <v>2021</v>
      </c>
      <c r="P163" s="11" t="str">
        <f>TEXT(orders!$B163, "DDD")</f>
        <v>Mon</v>
      </c>
      <c r="Q163" s="11" t="str">
        <f>VLOOKUP(orders!C163,[1]customers!$A$1:$I$1001, 6,FALSE)</f>
        <v>Washington</v>
      </c>
    </row>
    <row r="164" spans="1:17" x14ac:dyDescent="0.3">
      <c r="A164" s="7" t="s">
        <v>368</v>
      </c>
      <c r="B164" s="8">
        <v>44515</v>
      </c>
      <c r="C164" s="9" t="s">
        <v>369</v>
      </c>
      <c r="D164" s="10" t="s">
        <v>33</v>
      </c>
      <c r="E164" s="9">
        <v>3</v>
      </c>
      <c r="F164" s="9" t="str">
        <f>VLOOKUP(C164,[1]customers!$A$1:$I$1001, 2, FALSE)</f>
        <v>Dottie Tift</v>
      </c>
      <c r="G164" s="9" t="str">
        <f>VLOOKUP(orders!C164,[1]customers!$A$1:$I$1001, 3, FALSE)</f>
        <v>dtift4i@netvibes.com</v>
      </c>
      <c r="H164" s="9" t="str">
        <f>VLOOKUP(C164, [1]customers!$A$1:$I$1001, 7, FALSE)</f>
        <v>United States</v>
      </c>
      <c r="I164" s="11" t="str">
        <f>VLOOKUP(orders!D164,[1]products!$A$1:$G$49, 2,FALSE)</f>
        <v>Exc</v>
      </c>
      <c r="J164" s="11" t="str">
        <f>VLOOKUP(orders!D164,[1]products!$A$1:$G$49, 3,FALSE)</f>
        <v>D</v>
      </c>
      <c r="K164" s="12">
        <f>VLOOKUP(orders!D164,[1]products!$A$1:$G$49, 4,FALSE)</f>
        <v>0.5</v>
      </c>
      <c r="L164" s="12">
        <f>VLOOKUP(orders!D164,[1]products!$A$1:$G$49, 5,FALSE)</f>
        <v>7.29</v>
      </c>
      <c r="M164" s="13">
        <f>PRODUCT(orders!$E164,orders!$L164)</f>
        <v>21.87</v>
      </c>
      <c r="N164" s="11" t="str">
        <f t="shared" si="4"/>
        <v>November</v>
      </c>
      <c r="O164" s="11">
        <f t="shared" si="5"/>
        <v>2021</v>
      </c>
      <c r="P164" s="11" t="str">
        <f>TEXT(orders!$B164, "DDD")</f>
        <v>Mon</v>
      </c>
      <c r="Q164" s="11" t="str">
        <f>VLOOKUP(orders!C164,[1]customers!$A$1:$I$1001, 6,FALSE)</f>
        <v>Greensboro</v>
      </c>
    </row>
    <row r="165" spans="1:17" x14ac:dyDescent="0.3">
      <c r="A165" s="14" t="s">
        <v>370</v>
      </c>
      <c r="B165" s="15">
        <v>43619</v>
      </c>
      <c r="C165" s="16" t="s">
        <v>371</v>
      </c>
      <c r="D165" s="17" t="s">
        <v>118</v>
      </c>
      <c r="E165" s="16">
        <v>6</v>
      </c>
      <c r="F165" s="9" t="str">
        <f>VLOOKUP(C165,[1]customers!$A$1:$I$1001, 2, FALSE)</f>
        <v>Gerardo Schonfeld</v>
      </c>
      <c r="G165" s="16" t="str">
        <f>VLOOKUP(orders!C165,[1]customers!$A$1:$I$1001, 3, FALSE)</f>
        <v>gschonfeld4j@oracle.com</v>
      </c>
      <c r="H165" s="16" t="str">
        <f>VLOOKUP(C165, [1]customers!$A$1:$I$1001, 7, FALSE)</f>
        <v>United States</v>
      </c>
      <c r="I165" s="18" t="str">
        <f>VLOOKUP(orders!D165,[1]products!$A$1:$G$49, 2,FALSE)</f>
        <v>Rob</v>
      </c>
      <c r="J165" s="18" t="str">
        <f>VLOOKUP(orders!D165,[1]products!$A$1:$G$49, 3,FALSE)</f>
        <v>D</v>
      </c>
      <c r="K165" s="19">
        <f>VLOOKUP(orders!D165,[1]products!$A$1:$G$49, 4,FALSE)</f>
        <v>0.2</v>
      </c>
      <c r="L165" s="19">
        <f>VLOOKUP(orders!D165,[1]products!$A$1:$G$49, 5,FALSE)</f>
        <v>2.6849999999999996</v>
      </c>
      <c r="M165" s="13">
        <f>PRODUCT(orders!$E165,orders!$L165)</f>
        <v>16.11</v>
      </c>
      <c r="N165" s="18" t="str">
        <f t="shared" si="4"/>
        <v>June</v>
      </c>
      <c r="O165" s="18">
        <f t="shared" si="5"/>
        <v>2019</v>
      </c>
      <c r="P165" s="11" t="str">
        <f>TEXT(orders!$B165, "DDD")</f>
        <v>Mon</v>
      </c>
      <c r="Q165" s="11" t="str">
        <f>VLOOKUP(orders!C165,[1]customers!$A$1:$I$1001, 6,FALSE)</f>
        <v>Alexandria</v>
      </c>
    </row>
    <row r="166" spans="1:17" x14ac:dyDescent="0.3">
      <c r="A166" s="7" t="s">
        <v>372</v>
      </c>
      <c r="B166" s="8">
        <v>44182</v>
      </c>
      <c r="C166" s="9" t="s">
        <v>373</v>
      </c>
      <c r="D166" s="10" t="s">
        <v>33</v>
      </c>
      <c r="E166" s="9">
        <v>4</v>
      </c>
      <c r="F166" s="9" t="str">
        <f>VLOOKUP(C166,[1]customers!$A$1:$I$1001, 2, FALSE)</f>
        <v>Claiborne Feye</v>
      </c>
      <c r="G166" s="9" t="str">
        <f>VLOOKUP(orders!C166,[1]customers!$A$1:$I$1001, 3, FALSE)</f>
        <v>cfeye4k@google.co.jp</v>
      </c>
      <c r="H166" s="9" t="str">
        <f>VLOOKUP(C166, [1]customers!$A$1:$I$1001, 7, FALSE)</f>
        <v>Ireland</v>
      </c>
      <c r="I166" s="11" t="str">
        <f>VLOOKUP(orders!D166,[1]products!$A$1:$G$49, 2,FALSE)</f>
        <v>Exc</v>
      </c>
      <c r="J166" s="11" t="str">
        <f>VLOOKUP(orders!D166,[1]products!$A$1:$G$49, 3,FALSE)</f>
        <v>D</v>
      </c>
      <c r="K166" s="12">
        <f>VLOOKUP(orders!D166,[1]products!$A$1:$G$49, 4,FALSE)</f>
        <v>0.5</v>
      </c>
      <c r="L166" s="12">
        <f>VLOOKUP(orders!D166,[1]products!$A$1:$G$49, 5,FALSE)</f>
        <v>7.29</v>
      </c>
      <c r="M166" s="13">
        <f>PRODUCT(orders!$E166,orders!$L166)</f>
        <v>29.16</v>
      </c>
      <c r="N166" s="11" t="str">
        <f t="shared" si="4"/>
        <v>December</v>
      </c>
      <c r="O166" s="11">
        <f t="shared" si="5"/>
        <v>2020</v>
      </c>
      <c r="P166" s="11" t="str">
        <f>TEXT(orders!$B166, "DDD")</f>
        <v>Thu</v>
      </c>
      <c r="Q166" s="11" t="str">
        <f>VLOOKUP(orders!C166,[1]customers!$A$1:$I$1001, 6,FALSE)</f>
        <v>Castlebridge</v>
      </c>
    </row>
    <row r="167" spans="1:17" x14ac:dyDescent="0.3">
      <c r="A167" s="14" t="s">
        <v>374</v>
      </c>
      <c r="B167" s="15">
        <v>44234</v>
      </c>
      <c r="C167" s="16" t="s">
        <v>375</v>
      </c>
      <c r="D167" s="17" t="s">
        <v>196</v>
      </c>
      <c r="E167" s="16">
        <v>6</v>
      </c>
      <c r="F167" s="9" t="str">
        <f>VLOOKUP(C167,[1]customers!$A$1:$I$1001, 2, FALSE)</f>
        <v>Mina Elstone</v>
      </c>
      <c r="G167" s="16">
        <f>VLOOKUP(orders!C167,[1]customers!$A$1:$I$1001, 3, FALSE)</f>
        <v>0</v>
      </c>
      <c r="H167" s="16" t="str">
        <f>VLOOKUP(C167, [1]customers!$A$1:$I$1001, 7, FALSE)</f>
        <v>United States</v>
      </c>
      <c r="I167" s="18" t="str">
        <f>VLOOKUP(orders!D167,[1]products!$A$1:$G$49, 2,FALSE)</f>
        <v>Rob</v>
      </c>
      <c r="J167" s="18" t="str">
        <f>VLOOKUP(orders!D167,[1]products!$A$1:$G$49, 3,FALSE)</f>
        <v>D</v>
      </c>
      <c r="K167" s="19">
        <f>VLOOKUP(orders!D167,[1]products!$A$1:$G$49, 4,FALSE)</f>
        <v>1</v>
      </c>
      <c r="L167" s="19">
        <f>VLOOKUP(orders!D167,[1]products!$A$1:$G$49, 5,FALSE)</f>
        <v>8.9499999999999993</v>
      </c>
      <c r="M167" s="13">
        <f>PRODUCT(orders!$E167,orders!$L167)</f>
        <v>53.699999999999996</v>
      </c>
      <c r="N167" s="18" t="str">
        <f t="shared" si="4"/>
        <v>February</v>
      </c>
      <c r="O167" s="18">
        <f t="shared" si="5"/>
        <v>2021</v>
      </c>
      <c r="P167" s="11" t="str">
        <f>TEXT(orders!$B167, "DDD")</f>
        <v>Sun</v>
      </c>
      <c r="Q167" s="11" t="str">
        <f>VLOOKUP(orders!C167,[1]customers!$A$1:$I$1001, 6,FALSE)</f>
        <v>Racine</v>
      </c>
    </row>
    <row r="168" spans="1:17" x14ac:dyDescent="0.3">
      <c r="A168" s="7" t="s">
        <v>376</v>
      </c>
      <c r="B168" s="8">
        <v>44270</v>
      </c>
      <c r="C168" s="9" t="s">
        <v>377</v>
      </c>
      <c r="D168" s="10" t="s">
        <v>163</v>
      </c>
      <c r="E168" s="9">
        <v>5</v>
      </c>
      <c r="F168" s="9" t="str">
        <f>VLOOKUP(C168,[1]customers!$A$1:$I$1001, 2, FALSE)</f>
        <v>Sherman Mewrcik</v>
      </c>
      <c r="G168" s="9">
        <f>VLOOKUP(orders!C168,[1]customers!$A$1:$I$1001, 3, FALSE)</f>
        <v>0</v>
      </c>
      <c r="H168" s="9" t="str">
        <f>VLOOKUP(C168, [1]customers!$A$1:$I$1001, 7, FALSE)</f>
        <v>United States</v>
      </c>
      <c r="I168" s="11" t="str">
        <f>VLOOKUP(orders!D168,[1]products!$A$1:$G$49, 2,FALSE)</f>
        <v>Rob</v>
      </c>
      <c r="J168" s="11" t="str">
        <f>VLOOKUP(orders!D168,[1]products!$A$1:$G$49, 3,FALSE)</f>
        <v>D</v>
      </c>
      <c r="K168" s="12">
        <f>VLOOKUP(orders!D168,[1]products!$A$1:$G$49, 4,FALSE)</f>
        <v>0.5</v>
      </c>
      <c r="L168" s="12">
        <f>VLOOKUP(orders!D168,[1]products!$A$1:$G$49, 5,FALSE)</f>
        <v>5.3699999999999992</v>
      </c>
      <c r="M168" s="13">
        <f>PRODUCT(orders!$E168,orders!$L168)</f>
        <v>26.849999999999994</v>
      </c>
      <c r="N168" s="11" t="str">
        <f t="shared" si="4"/>
        <v>March</v>
      </c>
      <c r="O168" s="11">
        <f t="shared" si="5"/>
        <v>2021</v>
      </c>
      <c r="P168" s="11" t="str">
        <f>TEXT(orders!$B168, "DDD")</f>
        <v>Mon</v>
      </c>
      <c r="Q168" s="11" t="str">
        <f>VLOOKUP(orders!C168,[1]customers!$A$1:$I$1001, 6,FALSE)</f>
        <v>Clearwater</v>
      </c>
    </row>
    <row r="169" spans="1:17" x14ac:dyDescent="0.3">
      <c r="A169" s="14" t="s">
        <v>378</v>
      </c>
      <c r="B169" s="15">
        <v>44777</v>
      </c>
      <c r="C169" s="16" t="s">
        <v>379</v>
      </c>
      <c r="D169" s="17" t="s">
        <v>20</v>
      </c>
      <c r="E169" s="16">
        <v>5</v>
      </c>
      <c r="F169" s="9" t="str">
        <f>VLOOKUP(C169,[1]customers!$A$1:$I$1001, 2, FALSE)</f>
        <v>Tamarah Fero</v>
      </c>
      <c r="G169" s="16" t="str">
        <f>VLOOKUP(orders!C169,[1]customers!$A$1:$I$1001, 3, FALSE)</f>
        <v>tfero4n@comsenz.com</v>
      </c>
      <c r="H169" s="16" t="str">
        <f>VLOOKUP(C169, [1]customers!$A$1:$I$1001, 7, FALSE)</f>
        <v>United States</v>
      </c>
      <c r="I169" s="18" t="str">
        <f>VLOOKUP(orders!D169,[1]products!$A$1:$G$49, 2,FALSE)</f>
        <v>Exc</v>
      </c>
      <c r="J169" s="18" t="str">
        <f>VLOOKUP(orders!D169,[1]products!$A$1:$G$49, 3,FALSE)</f>
        <v>M</v>
      </c>
      <c r="K169" s="19">
        <f>VLOOKUP(orders!D169,[1]products!$A$1:$G$49, 4,FALSE)</f>
        <v>0.5</v>
      </c>
      <c r="L169" s="19">
        <f>VLOOKUP(orders!D169,[1]products!$A$1:$G$49, 5,FALSE)</f>
        <v>8.25</v>
      </c>
      <c r="M169" s="13">
        <f>PRODUCT(orders!$E169,orders!$L169)</f>
        <v>41.25</v>
      </c>
      <c r="N169" s="18" t="str">
        <f t="shared" si="4"/>
        <v>August</v>
      </c>
      <c r="O169" s="18">
        <f t="shared" si="5"/>
        <v>2022</v>
      </c>
      <c r="P169" s="11" t="str">
        <f>TEXT(orders!$B169, "DDD")</f>
        <v>Thu</v>
      </c>
      <c r="Q169" s="11" t="str">
        <f>VLOOKUP(orders!C169,[1]customers!$A$1:$I$1001, 6,FALSE)</f>
        <v>Racine</v>
      </c>
    </row>
    <row r="170" spans="1:17" x14ac:dyDescent="0.3">
      <c r="A170" s="7" t="s">
        <v>380</v>
      </c>
      <c r="B170" s="8">
        <v>43484</v>
      </c>
      <c r="C170" s="9" t="s">
        <v>381</v>
      </c>
      <c r="D170" s="10" t="s">
        <v>84</v>
      </c>
      <c r="E170" s="9">
        <v>6</v>
      </c>
      <c r="F170" s="9" t="str">
        <f>VLOOKUP(C170,[1]customers!$A$1:$I$1001, 2, FALSE)</f>
        <v>Stanislaus Valsler</v>
      </c>
      <c r="G170" s="9">
        <f>VLOOKUP(orders!C170,[1]customers!$A$1:$I$1001, 3, FALSE)</f>
        <v>0</v>
      </c>
      <c r="H170" s="9" t="str">
        <f>VLOOKUP(C170, [1]customers!$A$1:$I$1001, 7, FALSE)</f>
        <v>Ireland</v>
      </c>
      <c r="I170" s="11" t="str">
        <f>VLOOKUP(orders!D170,[1]products!$A$1:$G$49, 2,FALSE)</f>
        <v>Ara</v>
      </c>
      <c r="J170" s="11" t="str">
        <f>VLOOKUP(orders!D170,[1]products!$A$1:$G$49, 3,FALSE)</f>
        <v>M</v>
      </c>
      <c r="K170" s="12">
        <f>VLOOKUP(orders!D170,[1]products!$A$1:$G$49, 4,FALSE)</f>
        <v>0.5</v>
      </c>
      <c r="L170" s="12">
        <f>VLOOKUP(orders!D170,[1]products!$A$1:$G$49, 5,FALSE)</f>
        <v>6.75</v>
      </c>
      <c r="M170" s="13">
        <f>PRODUCT(orders!$E170,orders!$L170)</f>
        <v>40.5</v>
      </c>
      <c r="N170" s="11" t="str">
        <f t="shared" si="4"/>
        <v>January</v>
      </c>
      <c r="O170" s="11">
        <f t="shared" si="5"/>
        <v>2019</v>
      </c>
      <c r="P170" s="11" t="str">
        <f>TEXT(orders!$B170, "DDD")</f>
        <v>Sat</v>
      </c>
      <c r="Q170" s="11" t="str">
        <f>VLOOKUP(orders!C170,[1]customers!$A$1:$I$1001, 6,FALSE)</f>
        <v>Castlebridge</v>
      </c>
    </row>
    <row r="171" spans="1:17" x14ac:dyDescent="0.3">
      <c r="A171" s="14" t="s">
        <v>382</v>
      </c>
      <c r="B171" s="15">
        <v>44643</v>
      </c>
      <c r="C171" s="16" t="s">
        <v>383</v>
      </c>
      <c r="D171" s="17" t="s">
        <v>196</v>
      </c>
      <c r="E171" s="16">
        <v>2</v>
      </c>
      <c r="F171" s="9" t="str">
        <f>VLOOKUP(C171,[1]customers!$A$1:$I$1001, 2, FALSE)</f>
        <v>Felita Dauney</v>
      </c>
      <c r="G171" s="16" t="str">
        <f>VLOOKUP(orders!C171,[1]customers!$A$1:$I$1001, 3, FALSE)</f>
        <v>fdauney4p@sphinn.com</v>
      </c>
      <c r="H171" s="16" t="str">
        <f>VLOOKUP(C171, [1]customers!$A$1:$I$1001, 7, FALSE)</f>
        <v>Ireland</v>
      </c>
      <c r="I171" s="18" t="str">
        <f>VLOOKUP(orders!D171,[1]products!$A$1:$G$49, 2,FALSE)</f>
        <v>Rob</v>
      </c>
      <c r="J171" s="18" t="str">
        <f>VLOOKUP(orders!D171,[1]products!$A$1:$G$49, 3,FALSE)</f>
        <v>D</v>
      </c>
      <c r="K171" s="19">
        <f>VLOOKUP(orders!D171,[1]products!$A$1:$G$49, 4,FALSE)</f>
        <v>1</v>
      </c>
      <c r="L171" s="19">
        <f>VLOOKUP(orders!D171,[1]products!$A$1:$G$49, 5,FALSE)</f>
        <v>8.9499999999999993</v>
      </c>
      <c r="M171" s="13">
        <f>PRODUCT(orders!$E171,orders!$L171)</f>
        <v>17.899999999999999</v>
      </c>
      <c r="N171" s="18" t="str">
        <f t="shared" si="4"/>
        <v>March</v>
      </c>
      <c r="O171" s="18">
        <f t="shared" si="5"/>
        <v>2022</v>
      </c>
      <c r="P171" s="11" t="str">
        <f>TEXT(orders!$B171, "DDD")</f>
        <v>Wed</v>
      </c>
      <c r="Q171" s="11" t="str">
        <f>VLOOKUP(orders!C171,[1]customers!$A$1:$I$1001, 6,FALSE)</f>
        <v>Castlebellingham</v>
      </c>
    </row>
    <row r="172" spans="1:17" x14ac:dyDescent="0.3">
      <c r="A172" s="7" t="s">
        <v>384</v>
      </c>
      <c r="B172" s="8">
        <v>44476</v>
      </c>
      <c r="C172" s="9" t="s">
        <v>385</v>
      </c>
      <c r="D172" s="10" t="s">
        <v>47</v>
      </c>
      <c r="E172" s="9">
        <v>2</v>
      </c>
      <c r="F172" s="9" t="str">
        <f>VLOOKUP(C172,[1]customers!$A$1:$I$1001, 2, FALSE)</f>
        <v>Serena Earley</v>
      </c>
      <c r="G172" s="9" t="str">
        <f>VLOOKUP(orders!C172,[1]customers!$A$1:$I$1001, 3, FALSE)</f>
        <v>searley4q@youku.com</v>
      </c>
      <c r="H172" s="9" t="str">
        <f>VLOOKUP(C172, [1]customers!$A$1:$I$1001, 7, FALSE)</f>
        <v>United Kingdom</v>
      </c>
      <c r="I172" s="11" t="str">
        <f>VLOOKUP(orders!D172,[1]products!$A$1:$G$49, 2,FALSE)</f>
        <v>Exc</v>
      </c>
      <c r="J172" s="11" t="str">
        <f>VLOOKUP(orders!D172,[1]products!$A$1:$G$49, 3,FALSE)</f>
        <v>L</v>
      </c>
      <c r="K172" s="12">
        <f>VLOOKUP(orders!D172,[1]products!$A$1:$G$49, 4,FALSE)</f>
        <v>2.5</v>
      </c>
      <c r="L172" s="12">
        <f>VLOOKUP(orders!D172,[1]products!$A$1:$G$49, 5,FALSE)</f>
        <v>34.154999999999994</v>
      </c>
      <c r="M172" s="13">
        <f>PRODUCT(orders!$E172,orders!$L172)</f>
        <v>68.309999999999988</v>
      </c>
      <c r="N172" s="11" t="str">
        <f t="shared" si="4"/>
        <v>October</v>
      </c>
      <c r="O172" s="11">
        <f t="shared" si="5"/>
        <v>2021</v>
      </c>
      <c r="P172" s="11" t="str">
        <f>TEXT(orders!$B172, "DDD")</f>
        <v>Thu</v>
      </c>
      <c r="Q172" s="11" t="str">
        <f>VLOOKUP(orders!C172,[1]customers!$A$1:$I$1001, 6,FALSE)</f>
        <v>Craigavon</v>
      </c>
    </row>
    <row r="173" spans="1:17" x14ac:dyDescent="0.3">
      <c r="A173" s="14" t="s">
        <v>386</v>
      </c>
      <c r="B173" s="15">
        <v>43544</v>
      </c>
      <c r="C173" s="16" t="s">
        <v>387</v>
      </c>
      <c r="D173" s="17" t="s">
        <v>129</v>
      </c>
      <c r="E173" s="16">
        <v>2</v>
      </c>
      <c r="F173" s="9" t="str">
        <f>VLOOKUP(C173,[1]customers!$A$1:$I$1001, 2, FALSE)</f>
        <v>Minny Chamberlayne</v>
      </c>
      <c r="G173" s="16" t="str">
        <f>VLOOKUP(orders!C173,[1]customers!$A$1:$I$1001, 3, FALSE)</f>
        <v>mchamberlayne4r@bigcartel.com</v>
      </c>
      <c r="H173" s="16" t="str">
        <f>VLOOKUP(C173, [1]customers!$A$1:$I$1001, 7, FALSE)</f>
        <v>United States</v>
      </c>
      <c r="I173" s="18" t="str">
        <f>VLOOKUP(orders!D173,[1]products!$A$1:$G$49, 2,FALSE)</f>
        <v>Exc</v>
      </c>
      <c r="J173" s="18" t="str">
        <f>VLOOKUP(orders!D173,[1]products!$A$1:$G$49, 3,FALSE)</f>
        <v>M</v>
      </c>
      <c r="K173" s="19">
        <f>VLOOKUP(orders!D173,[1]products!$A$1:$G$49, 4,FALSE)</f>
        <v>2.5</v>
      </c>
      <c r="L173" s="19">
        <f>VLOOKUP(orders!D173,[1]products!$A$1:$G$49, 5,FALSE)</f>
        <v>31.624999999999996</v>
      </c>
      <c r="M173" s="13">
        <f>PRODUCT(orders!$E173,orders!$L173)</f>
        <v>63.249999999999993</v>
      </c>
      <c r="N173" s="18" t="str">
        <f t="shared" si="4"/>
        <v>March</v>
      </c>
      <c r="O173" s="18">
        <f t="shared" si="5"/>
        <v>2019</v>
      </c>
      <c r="P173" s="11" t="str">
        <f>TEXT(orders!$B173, "DDD")</f>
        <v>Wed</v>
      </c>
      <c r="Q173" s="11" t="str">
        <f>VLOOKUP(orders!C173,[1]customers!$A$1:$I$1001, 6,FALSE)</f>
        <v>Tampa</v>
      </c>
    </row>
    <row r="174" spans="1:17" x14ac:dyDescent="0.3">
      <c r="A174" s="7" t="s">
        <v>388</v>
      </c>
      <c r="B174" s="8">
        <v>44545</v>
      </c>
      <c r="C174" s="9" t="s">
        <v>389</v>
      </c>
      <c r="D174" s="10" t="s">
        <v>33</v>
      </c>
      <c r="E174" s="9">
        <v>3</v>
      </c>
      <c r="F174" s="9" t="str">
        <f>VLOOKUP(C174,[1]customers!$A$1:$I$1001, 2, FALSE)</f>
        <v>Bartholemy Flaherty</v>
      </c>
      <c r="G174" s="9" t="str">
        <f>VLOOKUP(orders!C174,[1]customers!$A$1:$I$1001, 3, FALSE)</f>
        <v>bflaherty4s@moonfruit.com</v>
      </c>
      <c r="H174" s="9" t="str">
        <f>VLOOKUP(C174, [1]customers!$A$1:$I$1001, 7, FALSE)</f>
        <v>Ireland</v>
      </c>
      <c r="I174" s="11" t="str">
        <f>VLOOKUP(orders!D174,[1]products!$A$1:$G$49, 2,FALSE)</f>
        <v>Exc</v>
      </c>
      <c r="J174" s="11" t="str">
        <f>VLOOKUP(orders!D174,[1]products!$A$1:$G$49, 3,FALSE)</f>
        <v>D</v>
      </c>
      <c r="K174" s="12">
        <f>VLOOKUP(orders!D174,[1]products!$A$1:$G$49, 4,FALSE)</f>
        <v>0.5</v>
      </c>
      <c r="L174" s="12">
        <f>VLOOKUP(orders!D174,[1]products!$A$1:$G$49, 5,FALSE)</f>
        <v>7.29</v>
      </c>
      <c r="M174" s="13">
        <f>PRODUCT(orders!$E174,orders!$L174)</f>
        <v>21.87</v>
      </c>
      <c r="N174" s="11" t="str">
        <f t="shared" si="4"/>
        <v>December</v>
      </c>
      <c r="O174" s="11">
        <f t="shared" si="5"/>
        <v>2021</v>
      </c>
      <c r="P174" s="11" t="str">
        <f>TEXT(orders!$B174, "DDD")</f>
        <v>Wed</v>
      </c>
      <c r="Q174" s="11" t="str">
        <f>VLOOKUP(orders!C174,[1]customers!$A$1:$I$1001, 6,FALSE)</f>
        <v>Eadestown</v>
      </c>
    </row>
    <row r="175" spans="1:17" x14ac:dyDescent="0.3">
      <c r="A175" s="14" t="s">
        <v>390</v>
      </c>
      <c r="B175" s="15">
        <v>44720</v>
      </c>
      <c r="C175" s="16" t="s">
        <v>391</v>
      </c>
      <c r="D175" s="17" t="s">
        <v>58</v>
      </c>
      <c r="E175" s="16">
        <v>4</v>
      </c>
      <c r="F175" s="9" t="str">
        <f>VLOOKUP(C175,[1]customers!$A$1:$I$1001, 2, FALSE)</f>
        <v>Oran Colbeck</v>
      </c>
      <c r="G175" s="16" t="str">
        <f>VLOOKUP(orders!C175,[1]customers!$A$1:$I$1001, 3, FALSE)</f>
        <v>ocolbeck4t@sina.com.cn</v>
      </c>
      <c r="H175" s="16" t="str">
        <f>VLOOKUP(C175, [1]customers!$A$1:$I$1001, 7, FALSE)</f>
        <v>United States</v>
      </c>
      <c r="I175" s="18" t="str">
        <f>VLOOKUP(orders!D175,[1]products!$A$1:$G$49, 2,FALSE)</f>
        <v>Rob</v>
      </c>
      <c r="J175" s="18" t="str">
        <f>VLOOKUP(orders!D175,[1]products!$A$1:$G$49, 3,FALSE)</f>
        <v>M</v>
      </c>
      <c r="K175" s="19">
        <f>VLOOKUP(orders!D175,[1]products!$A$1:$G$49, 4,FALSE)</f>
        <v>2.5</v>
      </c>
      <c r="L175" s="19">
        <f>VLOOKUP(orders!D175,[1]products!$A$1:$G$49, 5,FALSE)</f>
        <v>22.884999999999998</v>
      </c>
      <c r="M175" s="13">
        <f>PRODUCT(orders!$E175,orders!$L175)</f>
        <v>91.539999999999992</v>
      </c>
      <c r="N175" s="18" t="str">
        <f t="shared" si="4"/>
        <v>June</v>
      </c>
      <c r="O175" s="18">
        <f t="shared" si="5"/>
        <v>2022</v>
      </c>
      <c r="P175" s="11" t="str">
        <f>TEXT(orders!$B175, "DDD")</f>
        <v>Wed</v>
      </c>
      <c r="Q175" s="11" t="str">
        <f>VLOOKUP(orders!C175,[1]customers!$A$1:$I$1001, 6,FALSE)</f>
        <v>Montgomery</v>
      </c>
    </row>
    <row r="176" spans="1:17" x14ac:dyDescent="0.3">
      <c r="A176" s="7" t="s">
        <v>392</v>
      </c>
      <c r="B176" s="8">
        <v>43813</v>
      </c>
      <c r="C176" s="9" t="s">
        <v>393</v>
      </c>
      <c r="D176" s="10" t="s">
        <v>47</v>
      </c>
      <c r="E176" s="9">
        <v>6</v>
      </c>
      <c r="F176" s="9" t="str">
        <f>VLOOKUP(C176,[1]customers!$A$1:$I$1001, 2, FALSE)</f>
        <v>Elysee Sketch</v>
      </c>
      <c r="G176" s="9">
        <f>VLOOKUP(orders!C176,[1]customers!$A$1:$I$1001, 3, FALSE)</f>
        <v>0</v>
      </c>
      <c r="H176" s="9" t="str">
        <f>VLOOKUP(C176, [1]customers!$A$1:$I$1001, 7, FALSE)</f>
        <v>United States</v>
      </c>
      <c r="I176" s="11" t="str">
        <f>VLOOKUP(orders!D176,[1]products!$A$1:$G$49, 2,FALSE)</f>
        <v>Exc</v>
      </c>
      <c r="J176" s="11" t="str">
        <f>VLOOKUP(orders!D176,[1]products!$A$1:$G$49, 3,FALSE)</f>
        <v>L</v>
      </c>
      <c r="K176" s="12">
        <f>VLOOKUP(orders!D176,[1]products!$A$1:$G$49, 4,FALSE)</f>
        <v>2.5</v>
      </c>
      <c r="L176" s="12">
        <f>VLOOKUP(orders!D176,[1]products!$A$1:$G$49, 5,FALSE)</f>
        <v>34.154999999999994</v>
      </c>
      <c r="M176" s="13">
        <f>PRODUCT(orders!$E176,orders!$L176)</f>
        <v>204.92999999999995</v>
      </c>
      <c r="N176" s="11" t="str">
        <f t="shared" si="4"/>
        <v>December</v>
      </c>
      <c r="O176" s="11">
        <f t="shared" si="5"/>
        <v>2019</v>
      </c>
      <c r="P176" s="11" t="str">
        <f>TEXT(orders!$B176, "DDD")</f>
        <v>Sat</v>
      </c>
      <c r="Q176" s="11" t="str">
        <f>VLOOKUP(orders!C176,[1]customers!$A$1:$I$1001, 6,FALSE)</f>
        <v>Sparks</v>
      </c>
    </row>
    <row r="177" spans="1:17" x14ac:dyDescent="0.3">
      <c r="A177" s="14" t="s">
        <v>394</v>
      </c>
      <c r="B177" s="15">
        <v>44296</v>
      </c>
      <c r="C177" s="16" t="s">
        <v>395</v>
      </c>
      <c r="D177" s="17" t="s">
        <v>129</v>
      </c>
      <c r="E177" s="16">
        <v>2</v>
      </c>
      <c r="F177" s="9" t="str">
        <f>VLOOKUP(C177,[1]customers!$A$1:$I$1001, 2, FALSE)</f>
        <v>Ethelda Hobbing</v>
      </c>
      <c r="G177" s="16" t="str">
        <f>VLOOKUP(orders!C177,[1]customers!$A$1:$I$1001, 3, FALSE)</f>
        <v>ehobbing4v@nsw.gov.au</v>
      </c>
      <c r="H177" s="16" t="str">
        <f>VLOOKUP(C177, [1]customers!$A$1:$I$1001, 7, FALSE)</f>
        <v>United States</v>
      </c>
      <c r="I177" s="18" t="str">
        <f>VLOOKUP(orders!D177,[1]products!$A$1:$G$49, 2,FALSE)</f>
        <v>Exc</v>
      </c>
      <c r="J177" s="18" t="str">
        <f>VLOOKUP(orders!D177,[1]products!$A$1:$G$49, 3,FALSE)</f>
        <v>M</v>
      </c>
      <c r="K177" s="19">
        <f>VLOOKUP(orders!D177,[1]products!$A$1:$G$49, 4,FALSE)</f>
        <v>2.5</v>
      </c>
      <c r="L177" s="19">
        <f>VLOOKUP(orders!D177,[1]products!$A$1:$G$49, 5,FALSE)</f>
        <v>31.624999999999996</v>
      </c>
      <c r="M177" s="13">
        <f>PRODUCT(orders!$E177,orders!$L177)</f>
        <v>63.249999999999993</v>
      </c>
      <c r="N177" s="18" t="str">
        <f t="shared" si="4"/>
        <v>April</v>
      </c>
      <c r="O177" s="18">
        <f t="shared" si="5"/>
        <v>2021</v>
      </c>
      <c r="P177" s="11" t="str">
        <f>TEXT(orders!$B177, "DDD")</f>
        <v>Sat</v>
      </c>
      <c r="Q177" s="11" t="str">
        <f>VLOOKUP(orders!C177,[1]customers!$A$1:$I$1001, 6,FALSE)</f>
        <v>Macon</v>
      </c>
    </row>
    <row r="178" spans="1:17" x14ac:dyDescent="0.3">
      <c r="A178" s="7" t="s">
        <v>396</v>
      </c>
      <c r="B178" s="8">
        <v>43900</v>
      </c>
      <c r="C178" s="9" t="s">
        <v>397</v>
      </c>
      <c r="D178" s="10" t="s">
        <v>47</v>
      </c>
      <c r="E178" s="9">
        <v>1</v>
      </c>
      <c r="F178" s="9" t="str">
        <f>VLOOKUP(C178,[1]customers!$A$1:$I$1001, 2, FALSE)</f>
        <v>Odille Thynne</v>
      </c>
      <c r="G178" s="9" t="str">
        <f>VLOOKUP(orders!C178,[1]customers!$A$1:$I$1001, 3, FALSE)</f>
        <v>othynne4w@auda.org.au</v>
      </c>
      <c r="H178" s="9" t="str">
        <f>VLOOKUP(C178, [1]customers!$A$1:$I$1001, 7, FALSE)</f>
        <v>United States</v>
      </c>
      <c r="I178" s="11" t="str">
        <f>VLOOKUP(orders!D178,[1]products!$A$1:$G$49, 2,FALSE)</f>
        <v>Exc</v>
      </c>
      <c r="J178" s="11" t="str">
        <f>VLOOKUP(orders!D178,[1]products!$A$1:$G$49, 3,FALSE)</f>
        <v>L</v>
      </c>
      <c r="K178" s="12">
        <f>VLOOKUP(orders!D178,[1]products!$A$1:$G$49, 4,FALSE)</f>
        <v>2.5</v>
      </c>
      <c r="L178" s="12">
        <f>VLOOKUP(orders!D178,[1]products!$A$1:$G$49, 5,FALSE)</f>
        <v>34.154999999999994</v>
      </c>
      <c r="M178" s="13">
        <f>PRODUCT(orders!$E178,orders!$L178)</f>
        <v>34.154999999999994</v>
      </c>
      <c r="N178" s="11" t="str">
        <f t="shared" si="4"/>
        <v>March</v>
      </c>
      <c r="O178" s="11">
        <f t="shared" si="5"/>
        <v>2020</v>
      </c>
      <c r="P178" s="11" t="str">
        <f>TEXT(orders!$B178, "DDD")</f>
        <v>Tue</v>
      </c>
      <c r="Q178" s="11" t="str">
        <f>VLOOKUP(orders!C178,[1]customers!$A$1:$I$1001, 6,FALSE)</f>
        <v>Whittier</v>
      </c>
    </row>
    <row r="179" spans="1:17" x14ac:dyDescent="0.3">
      <c r="A179" s="14" t="s">
        <v>398</v>
      </c>
      <c r="B179" s="15">
        <v>44120</v>
      </c>
      <c r="C179" s="16" t="s">
        <v>399</v>
      </c>
      <c r="D179" s="17" t="s">
        <v>27</v>
      </c>
      <c r="E179" s="16">
        <v>4</v>
      </c>
      <c r="F179" s="9" t="str">
        <f>VLOOKUP(C179,[1]customers!$A$1:$I$1001, 2, FALSE)</f>
        <v>Emlynne Heining</v>
      </c>
      <c r="G179" s="16" t="str">
        <f>VLOOKUP(orders!C179,[1]customers!$A$1:$I$1001, 3, FALSE)</f>
        <v>eheining4x@flickr.com</v>
      </c>
      <c r="H179" s="16" t="str">
        <f>VLOOKUP(C179, [1]customers!$A$1:$I$1001, 7, FALSE)</f>
        <v>United States</v>
      </c>
      <c r="I179" s="18" t="str">
        <f>VLOOKUP(orders!D179,[1]products!$A$1:$G$49, 2,FALSE)</f>
        <v>Rob</v>
      </c>
      <c r="J179" s="18" t="str">
        <f>VLOOKUP(orders!D179,[1]products!$A$1:$G$49, 3,FALSE)</f>
        <v>L</v>
      </c>
      <c r="K179" s="19">
        <f>VLOOKUP(orders!D179,[1]products!$A$1:$G$49, 4,FALSE)</f>
        <v>2.5</v>
      </c>
      <c r="L179" s="19">
        <f>VLOOKUP(orders!D179,[1]products!$A$1:$G$49, 5,FALSE)</f>
        <v>27.484999999999996</v>
      </c>
      <c r="M179" s="13">
        <f>PRODUCT(orders!$E179,orders!$L179)</f>
        <v>109.93999999999998</v>
      </c>
      <c r="N179" s="18" t="str">
        <f t="shared" si="4"/>
        <v>October</v>
      </c>
      <c r="O179" s="18">
        <f t="shared" si="5"/>
        <v>2020</v>
      </c>
      <c r="P179" s="11" t="str">
        <f>TEXT(orders!$B179, "DDD")</f>
        <v>Fri</v>
      </c>
      <c r="Q179" s="11" t="str">
        <f>VLOOKUP(orders!C179,[1]customers!$A$1:$I$1001, 6,FALSE)</f>
        <v>Johnson City</v>
      </c>
    </row>
    <row r="180" spans="1:17" x14ac:dyDescent="0.3">
      <c r="A180" s="7" t="s">
        <v>400</v>
      </c>
      <c r="B180" s="8">
        <v>43746</v>
      </c>
      <c r="C180" s="9" t="s">
        <v>401</v>
      </c>
      <c r="D180" s="10" t="s">
        <v>23</v>
      </c>
      <c r="E180" s="9">
        <v>2</v>
      </c>
      <c r="F180" s="9" t="str">
        <f>VLOOKUP(C180,[1]customers!$A$1:$I$1001, 2, FALSE)</f>
        <v>Katerina Melloi</v>
      </c>
      <c r="G180" s="9" t="str">
        <f>VLOOKUP(orders!C180,[1]customers!$A$1:$I$1001, 3, FALSE)</f>
        <v>kmelloi4y@imdb.com</v>
      </c>
      <c r="H180" s="9" t="str">
        <f>VLOOKUP(C180, [1]customers!$A$1:$I$1001, 7, FALSE)</f>
        <v>United States</v>
      </c>
      <c r="I180" s="11" t="str">
        <f>VLOOKUP(orders!D180,[1]products!$A$1:$G$49, 2,FALSE)</f>
        <v>Ara</v>
      </c>
      <c r="J180" s="11" t="str">
        <f>VLOOKUP(orders!D180,[1]products!$A$1:$G$49, 3,FALSE)</f>
        <v>L</v>
      </c>
      <c r="K180" s="12">
        <f>VLOOKUP(orders!D180,[1]products!$A$1:$G$49, 4,FALSE)</f>
        <v>1</v>
      </c>
      <c r="L180" s="12">
        <f>VLOOKUP(orders!D180,[1]products!$A$1:$G$49, 5,FALSE)</f>
        <v>12.95</v>
      </c>
      <c r="M180" s="13">
        <f>PRODUCT(orders!$E180,orders!$L180)</f>
        <v>25.9</v>
      </c>
      <c r="N180" s="11" t="str">
        <f t="shared" si="4"/>
        <v>October</v>
      </c>
      <c r="O180" s="11">
        <f t="shared" si="5"/>
        <v>2019</v>
      </c>
      <c r="P180" s="11" t="str">
        <f>TEXT(orders!$B180, "DDD")</f>
        <v>Tue</v>
      </c>
      <c r="Q180" s="11" t="str">
        <f>VLOOKUP(orders!C180,[1]customers!$A$1:$I$1001, 6,FALSE)</f>
        <v>Rochester</v>
      </c>
    </row>
    <row r="181" spans="1:17" x14ac:dyDescent="0.3">
      <c r="A181" s="14" t="s">
        <v>402</v>
      </c>
      <c r="B181" s="15">
        <v>43830</v>
      </c>
      <c r="C181" s="16" t="s">
        <v>403</v>
      </c>
      <c r="D181" s="17" t="s">
        <v>71</v>
      </c>
      <c r="E181" s="16">
        <v>1</v>
      </c>
      <c r="F181" s="9" t="str">
        <f>VLOOKUP(C181,[1]customers!$A$1:$I$1001, 2, FALSE)</f>
        <v>Tiffany Scardafield</v>
      </c>
      <c r="G181" s="16">
        <f>VLOOKUP(orders!C181,[1]customers!$A$1:$I$1001, 3, FALSE)</f>
        <v>0</v>
      </c>
      <c r="H181" s="16" t="str">
        <f>VLOOKUP(C181, [1]customers!$A$1:$I$1001, 7, FALSE)</f>
        <v>Ireland</v>
      </c>
      <c r="I181" s="18" t="str">
        <f>VLOOKUP(orders!D181,[1]products!$A$1:$G$49, 2,FALSE)</f>
        <v>Ara</v>
      </c>
      <c r="J181" s="18" t="str">
        <f>VLOOKUP(orders!D181,[1]products!$A$1:$G$49, 3,FALSE)</f>
        <v>D</v>
      </c>
      <c r="K181" s="19">
        <f>VLOOKUP(orders!D181,[1]products!$A$1:$G$49, 4,FALSE)</f>
        <v>0.2</v>
      </c>
      <c r="L181" s="19">
        <f>VLOOKUP(orders!D181,[1]products!$A$1:$G$49, 5,FALSE)</f>
        <v>2.9849999999999999</v>
      </c>
      <c r="M181" s="13">
        <f>PRODUCT(orders!$E181,orders!$L181)</f>
        <v>2.9849999999999999</v>
      </c>
      <c r="N181" s="18" t="str">
        <f t="shared" si="4"/>
        <v>December</v>
      </c>
      <c r="O181" s="18">
        <f t="shared" si="5"/>
        <v>2019</v>
      </c>
      <c r="P181" s="11" t="str">
        <f>TEXT(orders!$B181, "DDD")</f>
        <v>Tue</v>
      </c>
      <c r="Q181" s="11" t="str">
        <f>VLOOKUP(orders!C181,[1]customers!$A$1:$I$1001, 6,FALSE)</f>
        <v>Portarlington</v>
      </c>
    </row>
    <row r="182" spans="1:17" x14ac:dyDescent="0.3">
      <c r="A182" s="7" t="s">
        <v>404</v>
      </c>
      <c r="B182" s="8">
        <v>43910</v>
      </c>
      <c r="C182" s="9" t="s">
        <v>405</v>
      </c>
      <c r="D182" s="10" t="s">
        <v>271</v>
      </c>
      <c r="E182" s="9">
        <v>5</v>
      </c>
      <c r="F182" s="9" t="str">
        <f>VLOOKUP(C182,[1]customers!$A$1:$I$1001, 2, FALSE)</f>
        <v>Abrahan Mussen</v>
      </c>
      <c r="G182" s="9" t="str">
        <f>VLOOKUP(orders!C182,[1]customers!$A$1:$I$1001, 3, FALSE)</f>
        <v>amussen50@51.la</v>
      </c>
      <c r="H182" s="9" t="str">
        <f>VLOOKUP(C182, [1]customers!$A$1:$I$1001, 7, FALSE)</f>
        <v>United States</v>
      </c>
      <c r="I182" s="11" t="str">
        <f>VLOOKUP(orders!D182,[1]products!$A$1:$G$49, 2,FALSE)</f>
        <v>Exc</v>
      </c>
      <c r="J182" s="11" t="str">
        <f>VLOOKUP(orders!D182,[1]products!$A$1:$G$49, 3,FALSE)</f>
        <v>L</v>
      </c>
      <c r="K182" s="12">
        <f>VLOOKUP(orders!D182,[1]products!$A$1:$G$49, 4,FALSE)</f>
        <v>0.2</v>
      </c>
      <c r="L182" s="12">
        <f>VLOOKUP(orders!D182,[1]products!$A$1:$G$49, 5,FALSE)</f>
        <v>4.4550000000000001</v>
      </c>
      <c r="M182" s="13">
        <f>PRODUCT(orders!$E182,orders!$L182)</f>
        <v>22.274999999999999</v>
      </c>
      <c r="N182" s="11" t="str">
        <f t="shared" si="4"/>
        <v>March</v>
      </c>
      <c r="O182" s="11">
        <f t="shared" si="5"/>
        <v>2020</v>
      </c>
      <c r="P182" s="11" t="str">
        <f>TEXT(orders!$B182, "DDD")</f>
        <v>Fri</v>
      </c>
      <c r="Q182" s="11" t="str">
        <f>VLOOKUP(orders!C182,[1]customers!$A$1:$I$1001, 6,FALSE)</f>
        <v>Brooklyn</v>
      </c>
    </row>
    <row r="183" spans="1:17" x14ac:dyDescent="0.3">
      <c r="A183" s="14" t="s">
        <v>404</v>
      </c>
      <c r="B183" s="15">
        <v>43910</v>
      </c>
      <c r="C183" s="16" t="s">
        <v>405</v>
      </c>
      <c r="D183" s="17" t="s">
        <v>89</v>
      </c>
      <c r="E183" s="16">
        <v>5</v>
      </c>
      <c r="F183" s="9" t="str">
        <f>VLOOKUP(C183,[1]customers!$A$1:$I$1001, 2, FALSE)</f>
        <v>Abrahan Mussen</v>
      </c>
      <c r="G183" s="16" t="str">
        <f>VLOOKUP(orders!C183,[1]customers!$A$1:$I$1001, 3, FALSE)</f>
        <v>amussen50@51.la</v>
      </c>
      <c r="H183" s="16" t="str">
        <f>VLOOKUP(C183, [1]customers!$A$1:$I$1001, 7, FALSE)</f>
        <v>United States</v>
      </c>
      <c r="I183" s="18" t="str">
        <f>VLOOKUP(orders!D183,[1]products!$A$1:$G$49, 2,FALSE)</f>
        <v>Ara</v>
      </c>
      <c r="J183" s="18" t="str">
        <f>VLOOKUP(orders!D183,[1]products!$A$1:$G$49, 3,FALSE)</f>
        <v>D</v>
      </c>
      <c r="K183" s="19">
        <f>VLOOKUP(orders!D183,[1]products!$A$1:$G$49, 4,FALSE)</f>
        <v>0.5</v>
      </c>
      <c r="L183" s="19">
        <f>VLOOKUP(orders!D183,[1]products!$A$1:$G$49, 5,FALSE)</f>
        <v>5.97</v>
      </c>
      <c r="M183" s="13">
        <f>PRODUCT(orders!$E183,orders!$L183)</f>
        <v>29.849999999999998</v>
      </c>
      <c r="N183" s="18" t="str">
        <f t="shared" si="4"/>
        <v>March</v>
      </c>
      <c r="O183" s="18">
        <f t="shared" si="5"/>
        <v>2020</v>
      </c>
      <c r="P183" s="11" t="str">
        <f>TEXT(orders!$B183, "DDD")</f>
        <v>Fri</v>
      </c>
      <c r="Q183" s="11" t="str">
        <f>VLOOKUP(orders!C183,[1]customers!$A$1:$I$1001, 6,FALSE)</f>
        <v>Brooklyn</v>
      </c>
    </row>
    <row r="184" spans="1:17" x14ac:dyDescent="0.3">
      <c r="A184" s="7" t="s">
        <v>406</v>
      </c>
      <c r="B184" s="8">
        <v>44284</v>
      </c>
      <c r="C184" s="9" t="s">
        <v>407</v>
      </c>
      <c r="D184" s="10" t="s">
        <v>163</v>
      </c>
      <c r="E184" s="9">
        <v>6</v>
      </c>
      <c r="F184" s="9" t="str">
        <f>VLOOKUP(C184,[1]customers!$A$1:$I$1001, 2, FALSE)</f>
        <v>Anny Mundford</v>
      </c>
      <c r="G184" s="9" t="str">
        <f>VLOOKUP(orders!C184,[1]customers!$A$1:$I$1001, 3, FALSE)</f>
        <v>amundford52@nbcnews.com</v>
      </c>
      <c r="H184" s="9" t="str">
        <f>VLOOKUP(C184, [1]customers!$A$1:$I$1001, 7, FALSE)</f>
        <v>United States</v>
      </c>
      <c r="I184" s="11" t="str">
        <f>VLOOKUP(orders!D184,[1]products!$A$1:$G$49, 2,FALSE)</f>
        <v>Rob</v>
      </c>
      <c r="J184" s="11" t="str">
        <f>VLOOKUP(orders!D184,[1]products!$A$1:$G$49, 3,FALSE)</f>
        <v>D</v>
      </c>
      <c r="K184" s="12">
        <f>VLOOKUP(orders!D184,[1]products!$A$1:$G$49, 4,FALSE)</f>
        <v>0.5</v>
      </c>
      <c r="L184" s="12">
        <f>VLOOKUP(orders!D184,[1]products!$A$1:$G$49, 5,FALSE)</f>
        <v>5.3699999999999992</v>
      </c>
      <c r="M184" s="13">
        <f>PRODUCT(orders!$E184,orders!$L184)</f>
        <v>32.22</v>
      </c>
      <c r="N184" s="11" t="str">
        <f t="shared" si="4"/>
        <v>March</v>
      </c>
      <c r="O184" s="11">
        <f t="shared" si="5"/>
        <v>2021</v>
      </c>
      <c r="P184" s="11" t="str">
        <f>TEXT(orders!$B184, "DDD")</f>
        <v>Mon</v>
      </c>
      <c r="Q184" s="11" t="str">
        <f>VLOOKUP(orders!C184,[1]customers!$A$1:$I$1001, 6,FALSE)</f>
        <v>Charlottesville</v>
      </c>
    </row>
    <row r="185" spans="1:17" x14ac:dyDescent="0.3">
      <c r="A185" s="14" t="s">
        <v>408</v>
      </c>
      <c r="B185" s="15">
        <v>44512</v>
      </c>
      <c r="C185" s="16" t="s">
        <v>409</v>
      </c>
      <c r="D185" s="17" t="s">
        <v>81</v>
      </c>
      <c r="E185" s="16">
        <v>2</v>
      </c>
      <c r="F185" s="9" t="str">
        <f>VLOOKUP(C185,[1]customers!$A$1:$I$1001, 2, FALSE)</f>
        <v>Tory Walas</v>
      </c>
      <c r="G185" s="16" t="str">
        <f>VLOOKUP(orders!C185,[1]customers!$A$1:$I$1001, 3, FALSE)</f>
        <v>twalas53@google.ca</v>
      </c>
      <c r="H185" s="16" t="str">
        <f>VLOOKUP(C185, [1]customers!$A$1:$I$1001, 7, FALSE)</f>
        <v>United States</v>
      </c>
      <c r="I185" s="18" t="str">
        <f>VLOOKUP(orders!D185,[1]products!$A$1:$G$49, 2,FALSE)</f>
        <v>Exc</v>
      </c>
      <c r="J185" s="18" t="str">
        <f>VLOOKUP(orders!D185,[1]products!$A$1:$G$49, 3,FALSE)</f>
        <v>M</v>
      </c>
      <c r="K185" s="19">
        <f>VLOOKUP(orders!D185,[1]products!$A$1:$G$49, 4,FALSE)</f>
        <v>0.2</v>
      </c>
      <c r="L185" s="19">
        <f>VLOOKUP(orders!D185,[1]products!$A$1:$G$49, 5,FALSE)</f>
        <v>4.125</v>
      </c>
      <c r="M185" s="13">
        <f>PRODUCT(orders!$E185,orders!$L185)</f>
        <v>8.25</v>
      </c>
      <c r="N185" s="18" t="str">
        <f t="shared" si="4"/>
        <v>November</v>
      </c>
      <c r="O185" s="18">
        <f t="shared" si="5"/>
        <v>2021</v>
      </c>
      <c r="P185" s="11" t="str">
        <f>TEXT(orders!$B185, "DDD")</f>
        <v>Fri</v>
      </c>
      <c r="Q185" s="11" t="str">
        <f>VLOOKUP(orders!C185,[1]customers!$A$1:$I$1001, 6,FALSE)</f>
        <v>Garland</v>
      </c>
    </row>
    <row r="186" spans="1:17" x14ac:dyDescent="0.3">
      <c r="A186" s="7" t="s">
        <v>410</v>
      </c>
      <c r="B186" s="8">
        <v>44397</v>
      </c>
      <c r="C186" s="9" t="s">
        <v>411</v>
      </c>
      <c r="D186" s="10" t="s">
        <v>209</v>
      </c>
      <c r="E186" s="9">
        <v>4</v>
      </c>
      <c r="F186" s="9" t="str">
        <f>VLOOKUP(C186,[1]customers!$A$1:$I$1001, 2, FALSE)</f>
        <v>Isa Blazewicz</v>
      </c>
      <c r="G186" s="9" t="str">
        <f>VLOOKUP(orders!C186,[1]customers!$A$1:$I$1001, 3, FALSE)</f>
        <v>iblazewicz54@thetimes.co.uk</v>
      </c>
      <c r="H186" s="9" t="str">
        <f>VLOOKUP(C186, [1]customers!$A$1:$I$1001, 7, FALSE)</f>
        <v>United States</v>
      </c>
      <c r="I186" s="11" t="str">
        <f>VLOOKUP(orders!D186,[1]products!$A$1:$G$49, 2,FALSE)</f>
        <v>Ara</v>
      </c>
      <c r="J186" s="11" t="str">
        <f>VLOOKUP(orders!D186,[1]products!$A$1:$G$49, 3,FALSE)</f>
        <v>L</v>
      </c>
      <c r="K186" s="12">
        <f>VLOOKUP(orders!D186,[1]products!$A$1:$G$49, 4,FALSE)</f>
        <v>0.5</v>
      </c>
      <c r="L186" s="12">
        <f>VLOOKUP(orders!D186,[1]products!$A$1:$G$49, 5,FALSE)</f>
        <v>7.77</v>
      </c>
      <c r="M186" s="13">
        <f>PRODUCT(orders!$E186,orders!$L186)</f>
        <v>31.08</v>
      </c>
      <c r="N186" s="11" t="str">
        <f t="shared" si="4"/>
        <v>July</v>
      </c>
      <c r="O186" s="11">
        <f t="shared" si="5"/>
        <v>2021</v>
      </c>
      <c r="P186" s="11" t="str">
        <f>TEXT(orders!$B186, "DDD")</f>
        <v>Tue</v>
      </c>
      <c r="Q186" s="11" t="str">
        <f>VLOOKUP(orders!C186,[1]customers!$A$1:$I$1001, 6,FALSE)</f>
        <v>Minneapolis</v>
      </c>
    </row>
    <row r="187" spans="1:17" x14ac:dyDescent="0.3">
      <c r="A187" s="14" t="s">
        <v>412</v>
      </c>
      <c r="B187" s="15">
        <v>43483</v>
      </c>
      <c r="C187" s="16" t="s">
        <v>413</v>
      </c>
      <c r="D187" s="17" t="s">
        <v>33</v>
      </c>
      <c r="E187" s="16">
        <v>5</v>
      </c>
      <c r="F187" s="9" t="str">
        <f>VLOOKUP(C187,[1]customers!$A$1:$I$1001, 2, FALSE)</f>
        <v>Angie Rizzetti</v>
      </c>
      <c r="G187" s="16" t="str">
        <f>VLOOKUP(orders!C187,[1]customers!$A$1:$I$1001, 3, FALSE)</f>
        <v>arizzetti55@naver.com</v>
      </c>
      <c r="H187" s="16" t="str">
        <f>VLOOKUP(C187, [1]customers!$A$1:$I$1001, 7, FALSE)</f>
        <v>United States</v>
      </c>
      <c r="I187" s="18" t="str">
        <f>VLOOKUP(orders!D187,[1]products!$A$1:$G$49, 2,FALSE)</f>
        <v>Exc</v>
      </c>
      <c r="J187" s="18" t="str">
        <f>VLOOKUP(orders!D187,[1]products!$A$1:$G$49, 3,FALSE)</f>
        <v>D</v>
      </c>
      <c r="K187" s="19">
        <f>VLOOKUP(orders!D187,[1]products!$A$1:$G$49, 4,FALSE)</f>
        <v>0.5</v>
      </c>
      <c r="L187" s="19">
        <f>VLOOKUP(orders!D187,[1]products!$A$1:$G$49, 5,FALSE)</f>
        <v>7.29</v>
      </c>
      <c r="M187" s="13">
        <f>PRODUCT(orders!$E187,orders!$L187)</f>
        <v>36.450000000000003</v>
      </c>
      <c r="N187" s="18" t="str">
        <f t="shared" si="4"/>
        <v>January</v>
      </c>
      <c r="O187" s="18">
        <f t="shared" si="5"/>
        <v>2019</v>
      </c>
      <c r="P187" s="11" t="str">
        <f>TEXT(orders!$B187, "DDD")</f>
        <v>Fri</v>
      </c>
      <c r="Q187" s="11" t="str">
        <f>VLOOKUP(orders!C187,[1]customers!$A$1:$I$1001, 6,FALSE)</f>
        <v>Lansing</v>
      </c>
    </row>
    <row r="188" spans="1:17" x14ac:dyDescent="0.3">
      <c r="A188" s="7" t="s">
        <v>414</v>
      </c>
      <c r="B188" s="8">
        <v>43684</v>
      </c>
      <c r="C188" s="9" t="s">
        <v>415</v>
      </c>
      <c r="D188" s="10" t="s">
        <v>58</v>
      </c>
      <c r="E188" s="9">
        <v>3</v>
      </c>
      <c r="F188" s="9" t="str">
        <f>VLOOKUP(C188,[1]customers!$A$1:$I$1001, 2, FALSE)</f>
        <v>Mord Meriet</v>
      </c>
      <c r="G188" s="9" t="str">
        <f>VLOOKUP(orders!C188,[1]customers!$A$1:$I$1001, 3, FALSE)</f>
        <v>mmeriet56@noaa.gov</v>
      </c>
      <c r="H188" s="9" t="str">
        <f>VLOOKUP(C188, [1]customers!$A$1:$I$1001, 7, FALSE)</f>
        <v>United States</v>
      </c>
      <c r="I188" s="11" t="str">
        <f>VLOOKUP(orders!D188,[1]products!$A$1:$G$49, 2,FALSE)</f>
        <v>Rob</v>
      </c>
      <c r="J188" s="11" t="str">
        <f>VLOOKUP(orders!D188,[1]products!$A$1:$G$49, 3,FALSE)</f>
        <v>M</v>
      </c>
      <c r="K188" s="12">
        <f>VLOOKUP(orders!D188,[1]products!$A$1:$G$49, 4,FALSE)</f>
        <v>2.5</v>
      </c>
      <c r="L188" s="12">
        <f>VLOOKUP(orders!D188,[1]products!$A$1:$G$49, 5,FALSE)</f>
        <v>22.884999999999998</v>
      </c>
      <c r="M188" s="13">
        <f>PRODUCT(orders!$E188,orders!$L188)</f>
        <v>68.655000000000001</v>
      </c>
      <c r="N188" s="11" t="str">
        <f t="shared" si="4"/>
        <v>August</v>
      </c>
      <c r="O188" s="11">
        <f t="shared" si="5"/>
        <v>2019</v>
      </c>
      <c r="P188" s="11" t="str">
        <f>TEXT(orders!$B188, "DDD")</f>
        <v>Wed</v>
      </c>
      <c r="Q188" s="11" t="str">
        <f>VLOOKUP(orders!C188,[1]customers!$A$1:$I$1001, 6,FALSE)</f>
        <v>Grand Forks</v>
      </c>
    </row>
    <row r="189" spans="1:17" x14ac:dyDescent="0.3">
      <c r="A189" s="14" t="s">
        <v>416</v>
      </c>
      <c r="B189" s="15">
        <v>44633</v>
      </c>
      <c r="C189" s="16" t="s">
        <v>417</v>
      </c>
      <c r="D189" s="17" t="s">
        <v>95</v>
      </c>
      <c r="E189" s="16">
        <v>5</v>
      </c>
      <c r="F189" s="9" t="str">
        <f>VLOOKUP(C189,[1]customers!$A$1:$I$1001, 2, FALSE)</f>
        <v>Lawrence Pratt</v>
      </c>
      <c r="G189" s="16" t="str">
        <f>VLOOKUP(orders!C189,[1]customers!$A$1:$I$1001, 3, FALSE)</f>
        <v>lpratt57@netvibes.com</v>
      </c>
      <c r="H189" s="16" t="str">
        <f>VLOOKUP(C189, [1]customers!$A$1:$I$1001, 7, FALSE)</f>
        <v>United States</v>
      </c>
      <c r="I189" s="18" t="str">
        <f>VLOOKUP(orders!D189,[1]products!$A$1:$G$49, 2,FALSE)</f>
        <v>Lib</v>
      </c>
      <c r="J189" s="18" t="str">
        <f>VLOOKUP(orders!D189,[1]products!$A$1:$G$49, 3,FALSE)</f>
        <v>M</v>
      </c>
      <c r="K189" s="19">
        <f>VLOOKUP(orders!D189,[1]products!$A$1:$G$49, 4,FALSE)</f>
        <v>0.5</v>
      </c>
      <c r="L189" s="19">
        <f>VLOOKUP(orders!D189,[1]products!$A$1:$G$49, 5,FALSE)</f>
        <v>8.73</v>
      </c>
      <c r="M189" s="13">
        <f>PRODUCT(orders!$E189,orders!$L189)</f>
        <v>43.650000000000006</v>
      </c>
      <c r="N189" s="18" t="str">
        <f t="shared" si="4"/>
        <v>March</v>
      </c>
      <c r="O189" s="18">
        <f t="shared" si="5"/>
        <v>2022</v>
      </c>
      <c r="P189" s="11" t="str">
        <f>TEXT(orders!$B189, "DDD")</f>
        <v>Sun</v>
      </c>
      <c r="Q189" s="11" t="str">
        <f>VLOOKUP(orders!C189,[1]customers!$A$1:$I$1001, 6,FALSE)</f>
        <v>Anchorage</v>
      </c>
    </row>
    <row r="190" spans="1:17" x14ac:dyDescent="0.3">
      <c r="A190" s="7" t="s">
        <v>418</v>
      </c>
      <c r="B190" s="8">
        <v>44698</v>
      </c>
      <c r="C190" s="9" t="s">
        <v>419</v>
      </c>
      <c r="D190" s="10" t="s">
        <v>271</v>
      </c>
      <c r="E190" s="9">
        <v>1</v>
      </c>
      <c r="F190" s="9" t="str">
        <f>VLOOKUP(C190,[1]customers!$A$1:$I$1001, 2, FALSE)</f>
        <v>Astrix Kitchingham</v>
      </c>
      <c r="G190" s="9" t="str">
        <f>VLOOKUP(orders!C190,[1]customers!$A$1:$I$1001, 3, FALSE)</f>
        <v>akitchingham58@com.com</v>
      </c>
      <c r="H190" s="9" t="str">
        <f>VLOOKUP(C190, [1]customers!$A$1:$I$1001, 7, FALSE)</f>
        <v>United States</v>
      </c>
      <c r="I190" s="11" t="str">
        <f>VLOOKUP(orders!D190,[1]products!$A$1:$G$49, 2,FALSE)</f>
        <v>Exc</v>
      </c>
      <c r="J190" s="11" t="str">
        <f>VLOOKUP(orders!D190,[1]products!$A$1:$G$49, 3,FALSE)</f>
        <v>L</v>
      </c>
      <c r="K190" s="12">
        <f>VLOOKUP(orders!D190,[1]products!$A$1:$G$49, 4,FALSE)</f>
        <v>0.2</v>
      </c>
      <c r="L190" s="12">
        <f>VLOOKUP(orders!D190,[1]products!$A$1:$G$49, 5,FALSE)</f>
        <v>4.4550000000000001</v>
      </c>
      <c r="M190" s="13">
        <f>PRODUCT(orders!$E190,orders!$L190)</f>
        <v>4.4550000000000001</v>
      </c>
      <c r="N190" s="11" t="str">
        <f t="shared" si="4"/>
        <v>May</v>
      </c>
      <c r="O190" s="11">
        <f t="shared" si="5"/>
        <v>2022</v>
      </c>
      <c r="P190" s="11" t="str">
        <f>TEXT(orders!$B190, "DDD")</f>
        <v>Tue</v>
      </c>
      <c r="Q190" s="11" t="str">
        <f>VLOOKUP(orders!C190,[1]customers!$A$1:$I$1001, 6,FALSE)</f>
        <v>Oklahoma City</v>
      </c>
    </row>
    <row r="191" spans="1:17" x14ac:dyDescent="0.3">
      <c r="A191" s="14" t="s">
        <v>420</v>
      </c>
      <c r="B191" s="15">
        <v>43813</v>
      </c>
      <c r="C191" s="16" t="s">
        <v>421</v>
      </c>
      <c r="D191" s="17" t="s">
        <v>113</v>
      </c>
      <c r="E191" s="16">
        <v>3</v>
      </c>
      <c r="F191" s="9" t="str">
        <f>VLOOKUP(C191,[1]customers!$A$1:$I$1001, 2, FALSE)</f>
        <v>Burnard Bartholin</v>
      </c>
      <c r="G191" s="16" t="str">
        <f>VLOOKUP(orders!C191,[1]customers!$A$1:$I$1001, 3, FALSE)</f>
        <v>bbartholin59@xinhuanet.com</v>
      </c>
      <c r="H191" s="16" t="str">
        <f>VLOOKUP(C191, [1]customers!$A$1:$I$1001, 7, FALSE)</f>
        <v>United States</v>
      </c>
      <c r="I191" s="18" t="str">
        <f>VLOOKUP(orders!D191,[1]products!$A$1:$G$49, 2,FALSE)</f>
        <v>Lib</v>
      </c>
      <c r="J191" s="18" t="str">
        <f>VLOOKUP(orders!D191,[1]products!$A$1:$G$49, 3,FALSE)</f>
        <v>M</v>
      </c>
      <c r="K191" s="19">
        <f>VLOOKUP(orders!D191,[1]products!$A$1:$G$49, 4,FALSE)</f>
        <v>1</v>
      </c>
      <c r="L191" s="19">
        <f>VLOOKUP(orders!D191,[1]products!$A$1:$G$49, 5,FALSE)</f>
        <v>14.55</v>
      </c>
      <c r="M191" s="13">
        <f>PRODUCT(orders!$E191,orders!$L191)</f>
        <v>43.650000000000006</v>
      </c>
      <c r="N191" s="18" t="str">
        <f t="shared" si="4"/>
        <v>December</v>
      </c>
      <c r="O191" s="18">
        <f t="shared" si="5"/>
        <v>2019</v>
      </c>
      <c r="P191" s="11" t="str">
        <f>TEXT(orders!$B191, "DDD")</f>
        <v>Sat</v>
      </c>
      <c r="Q191" s="11" t="str">
        <f>VLOOKUP(orders!C191,[1]customers!$A$1:$I$1001, 6,FALSE)</f>
        <v>Tulsa</v>
      </c>
    </row>
    <row r="192" spans="1:17" x14ac:dyDescent="0.3">
      <c r="A192" s="7" t="s">
        <v>422</v>
      </c>
      <c r="B192" s="8">
        <v>43845</v>
      </c>
      <c r="C192" s="9" t="s">
        <v>423</v>
      </c>
      <c r="D192" s="10" t="s">
        <v>214</v>
      </c>
      <c r="E192" s="9">
        <v>1</v>
      </c>
      <c r="F192" s="9" t="str">
        <f>VLOOKUP(C192,[1]customers!$A$1:$I$1001, 2, FALSE)</f>
        <v>Madelene Prinn</v>
      </c>
      <c r="G192" s="9" t="str">
        <f>VLOOKUP(orders!C192,[1]customers!$A$1:$I$1001, 3, FALSE)</f>
        <v>mprinn5a@usa.gov</v>
      </c>
      <c r="H192" s="9" t="str">
        <f>VLOOKUP(C192, [1]customers!$A$1:$I$1001, 7, FALSE)</f>
        <v>United States</v>
      </c>
      <c r="I192" s="11" t="str">
        <f>VLOOKUP(orders!D192,[1]products!$A$1:$G$49, 2,FALSE)</f>
        <v>Lib</v>
      </c>
      <c r="J192" s="11" t="str">
        <f>VLOOKUP(orders!D192,[1]products!$A$1:$G$49, 3,FALSE)</f>
        <v>M</v>
      </c>
      <c r="K192" s="12">
        <f>VLOOKUP(orders!D192,[1]products!$A$1:$G$49, 4,FALSE)</f>
        <v>2.5</v>
      </c>
      <c r="L192" s="12">
        <f>VLOOKUP(orders!D192,[1]products!$A$1:$G$49, 5,FALSE)</f>
        <v>33.464999999999996</v>
      </c>
      <c r="M192" s="13">
        <f>PRODUCT(orders!$E192,orders!$L192)</f>
        <v>33.464999999999996</v>
      </c>
      <c r="N192" s="11" t="str">
        <f t="shared" si="4"/>
        <v>January</v>
      </c>
      <c r="O192" s="11">
        <f t="shared" si="5"/>
        <v>2020</v>
      </c>
      <c r="P192" s="11" t="str">
        <f>TEXT(orders!$B192, "DDD")</f>
        <v>Wed</v>
      </c>
      <c r="Q192" s="11" t="str">
        <f>VLOOKUP(orders!C192,[1]customers!$A$1:$I$1001, 6,FALSE)</f>
        <v>Detroit</v>
      </c>
    </row>
    <row r="193" spans="1:17" x14ac:dyDescent="0.3">
      <c r="A193" s="14" t="s">
        <v>424</v>
      </c>
      <c r="B193" s="15">
        <v>43567</v>
      </c>
      <c r="C193" s="16" t="s">
        <v>425</v>
      </c>
      <c r="D193" s="17" t="s">
        <v>55</v>
      </c>
      <c r="E193" s="16">
        <v>5</v>
      </c>
      <c r="F193" s="9" t="str">
        <f>VLOOKUP(C193,[1]customers!$A$1:$I$1001, 2, FALSE)</f>
        <v>Alisun Baudino</v>
      </c>
      <c r="G193" s="16" t="str">
        <f>VLOOKUP(orders!C193,[1]customers!$A$1:$I$1001, 3, FALSE)</f>
        <v>abaudino5b@netvibes.com</v>
      </c>
      <c r="H193" s="16" t="str">
        <f>VLOOKUP(C193, [1]customers!$A$1:$I$1001, 7, FALSE)</f>
        <v>United States</v>
      </c>
      <c r="I193" s="18" t="str">
        <f>VLOOKUP(orders!D193,[1]products!$A$1:$G$49, 2,FALSE)</f>
        <v>Lib</v>
      </c>
      <c r="J193" s="18" t="str">
        <f>VLOOKUP(orders!D193,[1]products!$A$1:$G$49, 3,FALSE)</f>
        <v>D</v>
      </c>
      <c r="K193" s="19">
        <f>VLOOKUP(orders!D193,[1]products!$A$1:$G$49, 4,FALSE)</f>
        <v>0.2</v>
      </c>
      <c r="L193" s="19">
        <f>VLOOKUP(orders!D193,[1]products!$A$1:$G$49, 5,FALSE)</f>
        <v>3.8849999999999998</v>
      </c>
      <c r="M193" s="13">
        <f>PRODUCT(orders!$E193,orders!$L193)</f>
        <v>19.424999999999997</v>
      </c>
      <c r="N193" s="18" t="str">
        <f t="shared" si="4"/>
        <v>April</v>
      </c>
      <c r="O193" s="18">
        <f t="shared" si="5"/>
        <v>2019</v>
      </c>
      <c r="P193" s="11" t="str">
        <f>TEXT(orders!$B193, "DDD")</f>
        <v>Fri</v>
      </c>
      <c r="Q193" s="11" t="str">
        <f>VLOOKUP(orders!C193,[1]customers!$A$1:$I$1001, 6,FALSE)</f>
        <v>Washington</v>
      </c>
    </row>
    <row r="194" spans="1:17" x14ac:dyDescent="0.3">
      <c r="A194" s="7" t="s">
        <v>426</v>
      </c>
      <c r="B194" s="8">
        <v>43919</v>
      </c>
      <c r="C194" s="9" t="s">
        <v>427</v>
      </c>
      <c r="D194" s="10" t="s">
        <v>262</v>
      </c>
      <c r="E194" s="9">
        <v>6</v>
      </c>
      <c r="F194" s="9" t="str">
        <f>VLOOKUP(C194,[1]customers!$A$1:$I$1001, 2, FALSE)</f>
        <v>Philipa Petrushanko</v>
      </c>
      <c r="G194" s="9" t="str">
        <f>VLOOKUP(orders!C194,[1]customers!$A$1:$I$1001, 3, FALSE)</f>
        <v>ppetrushanko5c@blinklist.com</v>
      </c>
      <c r="H194" s="9" t="str">
        <f>VLOOKUP(C194, [1]customers!$A$1:$I$1001, 7, FALSE)</f>
        <v>Ireland</v>
      </c>
      <c r="I194" s="11" t="str">
        <f>VLOOKUP(orders!D194,[1]products!$A$1:$G$49, 2,FALSE)</f>
        <v>Exc</v>
      </c>
      <c r="J194" s="11" t="str">
        <f>VLOOKUP(orders!D194,[1]products!$A$1:$G$49, 3,FALSE)</f>
        <v>D</v>
      </c>
      <c r="K194" s="12">
        <f>VLOOKUP(orders!D194,[1]products!$A$1:$G$49, 4,FALSE)</f>
        <v>1</v>
      </c>
      <c r="L194" s="12">
        <f>VLOOKUP(orders!D194,[1]products!$A$1:$G$49, 5,FALSE)</f>
        <v>12.15</v>
      </c>
      <c r="M194" s="13">
        <f>PRODUCT(orders!$E194,orders!$L194)</f>
        <v>72.900000000000006</v>
      </c>
      <c r="N194" s="11" t="str">
        <f t="shared" ref="N194:N257" si="6">TEXT(B194, "mmmm")</f>
        <v>March</v>
      </c>
      <c r="O194" s="11">
        <f t="shared" ref="O194:O257" si="7">YEAR(B194)</f>
        <v>2020</v>
      </c>
      <c r="P194" s="11" t="str">
        <f>TEXT(orders!$B194, "DDD")</f>
        <v>Sun</v>
      </c>
      <c r="Q194" s="11" t="str">
        <f>VLOOKUP(orders!C194,[1]customers!$A$1:$I$1001, 6,FALSE)</f>
        <v>Nenagh</v>
      </c>
    </row>
    <row r="195" spans="1:17" x14ac:dyDescent="0.3">
      <c r="A195" s="14" t="s">
        <v>428</v>
      </c>
      <c r="B195" s="15">
        <v>44644</v>
      </c>
      <c r="C195" s="16" t="s">
        <v>429</v>
      </c>
      <c r="D195" s="17" t="s">
        <v>154</v>
      </c>
      <c r="E195" s="16">
        <v>3</v>
      </c>
      <c r="F195" s="9" t="str">
        <f>VLOOKUP(C195,[1]customers!$A$1:$I$1001, 2, FALSE)</f>
        <v>Kimberli Mustchin</v>
      </c>
      <c r="G195" s="16">
        <f>VLOOKUP(orders!C195,[1]customers!$A$1:$I$1001, 3, FALSE)</f>
        <v>0</v>
      </c>
      <c r="H195" s="16" t="str">
        <f>VLOOKUP(C195, [1]customers!$A$1:$I$1001, 7, FALSE)</f>
        <v>United States</v>
      </c>
      <c r="I195" s="18" t="str">
        <f>VLOOKUP(orders!D195,[1]products!$A$1:$G$49, 2,FALSE)</f>
        <v>Exc</v>
      </c>
      <c r="J195" s="18" t="str">
        <f>VLOOKUP(orders!D195,[1]products!$A$1:$G$49, 3,FALSE)</f>
        <v>L</v>
      </c>
      <c r="K195" s="19">
        <f>VLOOKUP(orders!D195,[1]products!$A$1:$G$49, 4,FALSE)</f>
        <v>1</v>
      </c>
      <c r="L195" s="19">
        <f>VLOOKUP(orders!D195,[1]products!$A$1:$G$49, 5,FALSE)</f>
        <v>14.85</v>
      </c>
      <c r="M195" s="13">
        <f>PRODUCT(orders!$E195,orders!$L195)</f>
        <v>44.55</v>
      </c>
      <c r="N195" s="18" t="str">
        <f t="shared" si="6"/>
        <v>March</v>
      </c>
      <c r="O195" s="18">
        <f t="shared" si="7"/>
        <v>2022</v>
      </c>
      <c r="P195" s="11" t="str">
        <f>TEXT(orders!$B195, "DDD")</f>
        <v>Thu</v>
      </c>
      <c r="Q195" s="11" t="str">
        <f>VLOOKUP(orders!C195,[1]customers!$A$1:$I$1001, 6,FALSE)</f>
        <v>Mesa</v>
      </c>
    </row>
    <row r="196" spans="1:17" x14ac:dyDescent="0.3">
      <c r="A196" s="7" t="s">
        <v>430</v>
      </c>
      <c r="B196" s="8">
        <v>44398</v>
      </c>
      <c r="C196" s="9" t="s">
        <v>431</v>
      </c>
      <c r="D196" s="10" t="s">
        <v>33</v>
      </c>
      <c r="E196" s="9">
        <v>5</v>
      </c>
      <c r="F196" s="9" t="str">
        <f>VLOOKUP(C196,[1]customers!$A$1:$I$1001, 2, FALSE)</f>
        <v>Emlynne Laird</v>
      </c>
      <c r="G196" s="9" t="str">
        <f>VLOOKUP(orders!C196,[1]customers!$A$1:$I$1001, 3, FALSE)</f>
        <v>elaird5e@bing.com</v>
      </c>
      <c r="H196" s="9" t="str">
        <f>VLOOKUP(C196, [1]customers!$A$1:$I$1001, 7, FALSE)</f>
        <v>United States</v>
      </c>
      <c r="I196" s="11" t="str">
        <f>VLOOKUP(orders!D196,[1]products!$A$1:$G$49, 2,FALSE)</f>
        <v>Exc</v>
      </c>
      <c r="J196" s="11" t="str">
        <f>VLOOKUP(orders!D196,[1]products!$A$1:$G$49, 3,FALSE)</f>
        <v>D</v>
      </c>
      <c r="K196" s="12">
        <f>VLOOKUP(orders!D196,[1]products!$A$1:$G$49, 4,FALSE)</f>
        <v>0.5</v>
      </c>
      <c r="L196" s="12">
        <f>VLOOKUP(orders!D196,[1]products!$A$1:$G$49, 5,FALSE)</f>
        <v>7.29</v>
      </c>
      <c r="M196" s="13">
        <f>PRODUCT(orders!$E196,orders!$L196)</f>
        <v>36.450000000000003</v>
      </c>
      <c r="N196" s="11" t="str">
        <f t="shared" si="6"/>
        <v>July</v>
      </c>
      <c r="O196" s="11">
        <f t="shared" si="7"/>
        <v>2021</v>
      </c>
      <c r="P196" s="11" t="str">
        <f>TEXT(orders!$B196, "DDD")</f>
        <v>Wed</v>
      </c>
      <c r="Q196" s="11" t="str">
        <f>VLOOKUP(orders!C196,[1]customers!$A$1:$I$1001, 6,FALSE)</f>
        <v>Warren</v>
      </c>
    </row>
    <row r="197" spans="1:17" x14ac:dyDescent="0.3">
      <c r="A197" s="14" t="s">
        <v>432</v>
      </c>
      <c r="B197" s="15">
        <v>43683</v>
      </c>
      <c r="C197" s="16" t="s">
        <v>433</v>
      </c>
      <c r="D197" s="17" t="s">
        <v>23</v>
      </c>
      <c r="E197" s="16">
        <v>3</v>
      </c>
      <c r="F197" s="9" t="str">
        <f>VLOOKUP(C197,[1]customers!$A$1:$I$1001, 2, FALSE)</f>
        <v>Marlena Howsden</v>
      </c>
      <c r="G197" s="16" t="str">
        <f>VLOOKUP(orders!C197,[1]customers!$A$1:$I$1001, 3, FALSE)</f>
        <v>mhowsden5f@infoseek.co.jp</v>
      </c>
      <c r="H197" s="16" t="str">
        <f>VLOOKUP(C197, [1]customers!$A$1:$I$1001, 7, FALSE)</f>
        <v>United States</v>
      </c>
      <c r="I197" s="18" t="str">
        <f>VLOOKUP(orders!D197,[1]products!$A$1:$G$49, 2,FALSE)</f>
        <v>Ara</v>
      </c>
      <c r="J197" s="18" t="str">
        <f>VLOOKUP(orders!D197,[1]products!$A$1:$G$49, 3,FALSE)</f>
        <v>L</v>
      </c>
      <c r="K197" s="19">
        <f>VLOOKUP(orders!D197,[1]products!$A$1:$G$49, 4,FALSE)</f>
        <v>1</v>
      </c>
      <c r="L197" s="19">
        <f>VLOOKUP(orders!D197,[1]products!$A$1:$G$49, 5,FALSE)</f>
        <v>12.95</v>
      </c>
      <c r="M197" s="13">
        <f>PRODUCT(orders!$E197,orders!$L197)</f>
        <v>38.849999999999994</v>
      </c>
      <c r="N197" s="18" t="str">
        <f t="shared" si="6"/>
        <v>August</v>
      </c>
      <c r="O197" s="18">
        <f t="shared" si="7"/>
        <v>2019</v>
      </c>
      <c r="P197" s="11" t="str">
        <f>TEXT(orders!$B197, "DDD")</f>
        <v>Tue</v>
      </c>
      <c r="Q197" s="11" t="str">
        <f>VLOOKUP(orders!C197,[1]customers!$A$1:$I$1001, 6,FALSE)</f>
        <v>Memphis</v>
      </c>
    </row>
    <row r="198" spans="1:17" x14ac:dyDescent="0.3">
      <c r="A198" s="7" t="s">
        <v>434</v>
      </c>
      <c r="B198" s="8">
        <v>44339</v>
      </c>
      <c r="C198" s="9" t="s">
        <v>435</v>
      </c>
      <c r="D198" s="10" t="s">
        <v>193</v>
      </c>
      <c r="E198" s="9">
        <v>6</v>
      </c>
      <c r="F198" s="9" t="str">
        <f>VLOOKUP(C198,[1]customers!$A$1:$I$1001, 2, FALSE)</f>
        <v>Nealson Cuttler</v>
      </c>
      <c r="G198" s="9" t="str">
        <f>VLOOKUP(orders!C198,[1]customers!$A$1:$I$1001, 3, FALSE)</f>
        <v>ncuttler5g@parallels.com</v>
      </c>
      <c r="H198" s="9" t="str">
        <f>VLOOKUP(C198, [1]customers!$A$1:$I$1001, 7, FALSE)</f>
        <v>United States</v>
      </c>
      <c r="I198" s="11" t="str">
        <f>VLOOKUP(orders!D198,[1]products!$A$1:$G$49, 2,FALSE)</f>
        <v>Exc</v>
      </c>
      <c r="J198" s="11" t="str">
        <f>VLOOKUP(orders!D198,[1]products!$A$1:$G$49, 3,FALSE)</f>
        <v>L</v>
      </c>
      <c r="K198" s="12">
        <f>VLOOKUP(orders!D198,[1]products!$A$1:$G$49, 4,FALSE)</f>
        <v>0.5</v>
      </c>
      <c r="L198" s="12">
        <f>VLOOKUP(orders!D198,[1]products!$A$1:$G$49, 5,FALSE)</f>
        <v>8.91</v>
      </c>
      <c r="M198" s="13">
        <f>PRODUCT(orders!$E198,orders!$L198)</f>
        <v>53.46</v>
      </c>
      <c r="N198" s="11" t="str">
        <f t="shared" si="6"/>
        <v>May</v>
      </c>
      <c r="O198" s="11">
        <f t="shared" si="7"/>
        <v>2021</v>
      </c>
      <c r="P198" s="11" t="str">
        <f>TEXT(orders!$B198, "DDD")</f>
        <v>Sun</v>
      </c>
      <c r="Q198" s="11" t="str">
        <f>VLOOKUP(orders!C198,[1]customers!$A$1:$I$1001, 6,FALSE)</f>
        <v>Washington</v>
      </c>
    </row>
    <row r="199" spans="1:17" x14ac:dyDescent="0.3">
      <c r="A199" s="14" t="s">
        <v>434</v>
      </c>
      <c r="B199" s="15">
        <v>44339</v>
      </c>
      <c r="C199" s="16" t="s">
        <v>435</v>
      </c>
      <c r="D199" s="17" t="s">
        <v>126</v>
      </c>
      <c r="E199" s="16">
        <v>2</v>
      </c>
      <c r="F199" s="9" t="str">
        <f>VLOOKUP(C199,[1]customers!$A$1:$I$1001, 2, FALSE)</f>
        <v>Nealson Cuttler</v>
      </c>
      <c r="G199" s="16" t="str">
        <f>VLOOKUP(orders!C199,[1]customers!$A$1:$I$1001, 3, FALSE)</f>
        <v>ncuttler5g@parallels.com</v>
      </c>
      <c r="H199" s="16" t="str">
        <f>VLOOKUP(C199, [1]customers!$A$1:$I$1001, 7, FALSE)</f>
        <v>United States</v>
      </c>
      <c r="I199" s="18" t="str">
        <f>VLOOKUP(orders!D199,[1]products!$A$1:$G$49, 2,FALSE)</f>
        <v>Lib</v>
      </c>
      <c r="J199" s="18" t="str">
        <f>VLOOKUP(orders!D199,[1]products!$A$1:$G$49, 3,FALSE)</f>
        <v>D</v>
      </c>
      <c r="K199" s="19">
        <f>VLOOKUP(orders!D199,[1]products!$A$1:$G$49, 4,FALSE)</f>
        <v>2.5</v>
      </c>
      <c r="L199" s="19">
        <f>VLOOKUP(orders!D199,[1]products!$A$1:$G$49, 5,FALSE)</f>
        <v>29.784999999999997</v>
      </c>
      <c r="M199" s="13">
        <f>PRODUCT(orders!$E199,orders!$L199)</f>
        <v>59.569999999999993</v>
      </c>
      <c r="N199" s="18" t="str">
        <f t="shared" si="6"/>
        <v>May</v>
      </c>
      <c r="O199" s="18">
        <f t="shared" si="7"/>
        <v>2021</v>
      </c>
      <c r="P199" s="11" t="str">
        <f>TEXT(orders!$B199, "DDD")</f>
        <v>Sun</v>
      </c>
      <c r="Q199" s="11" t="str">
        <f>VLOOKUP(orders!C199,[1]customers!$A$1:$I$1001, 6,FALSE)</f>
        <v>Washington</v>
      </c>
    </row>
    <row r="200" spans="1:17" x14ac:dyDescent="0.3">
      <c r="A200" s="7" t="s">
        <v>434</v>
      </c>
      <c r="B200" s="8">
        <v>44339</v>
      </c>
      <c r="C200" s="9" t="s">
        <v>435</v>
      </c>
      <c r="D200" s="10" t="s">
        <v>126</v>
      </c>
      <c r="E200" s="9">
        <v>3</v>
      </c>
      <c r="F200" s="9" t="str">
        <f>VLOOKUP(C200,[1]customers!$A$1:$I$1001, 2, FALSE)</f>
        <v>Nealson Cuttler</v>
      </c>
      <c r="G200" s="9" t="str">
        <f>VLOOKUP(orders!C200,[1]customers!$A$1:$I$1001, 3, FALSE)</f>
        <v>ncuttler5g@parallels.com</v>
      </c>
      <c r="H200" s="9" t="str">
        <f>VLOOKUP(C200, [1]customers!$A$1:$I$1001, 7, FALSE)</f>
        <v>United States</v>
      </c>
      <c r="I200" s="11" t="str">
        <f>VLOOKUP(orders!D200,[1]products!$A$1:$G$49, 2,FALSE)</f>
        <v>Lib</v>
      </c>
      <c r="J200" s="11" t="str">
        <f>VLOOKUP(orders!D200,[1]products!$A$1:$G$49, 3,FALSE)</f>
        <v>D</v>
      </c>
      <c r="K200" s="12">
        <f>VLOOKUP(orders!D200,[1]products!$A$1:$G$49, 4,FALSE)</f>
        <v>2.5</v>
      </c>
      <c r="L200" s="12">
        <f>VLOOKUP(orders!D200,[1]products!$A$1:$G$49, 5,FALSE)</f>
        <v>29.784999999999997</v>
      </c>
      <c r="M200" s="13">
        <f>PRODUCT(orders!$E200,orders!$L200)</f>
        <v>89.35499999999999</v>
      </c>
      <c r="N200" s="11" t="str">
        <f t="shared" si="6"/>
        <v>May</v>
      </c>
      <c r="O200" s="11">
        <f t="shared" si="7"/>
        <v>2021</v>
      </c>
      <c r="P200" s="11" t="str">
        <f>TEXT(orders!$B200, "DDD")</f>
        <v>Sun</v>
      </c>
      <c r="Q200" s="11" t="str">
        <f>VLOOKUP(orders!C200,[1]customers!$A$1:$I$1001, 6,FALSE)</f>
        <v>Washington</v>
      </c>
    </row>
    <row r="201" spans="1:17" x14ac:dyDescent="0.3">
      <c r="A201" s="14" t="s">
        <v>434</v>
      </c>
      <c r="B201" s="15">
        <v>44339</v>
      </c>
      <c r="C201" s="16" t="s">
        <v>435</v>
      </c>
      <c r="D201" s="17" t="s">
        <v>100</v>
      </c>
      <c r="E201" s="16">
        <v>4</v>
      </c>
      <c r="F201" s="9" t="str">
        <f>VLOOKUP(C201,[1]customers!$A$1:$I$1001, 2, FALSE)</f>
        <v>Nealson Cuttler</v>
      </c>
      <c r="G201" s="16" t="str">
        <f>VLOOKUP(orders!C201,[1]customers!$A$1:$I$1001, 3, FALSE)</f>
        <v>ncuttler5g@parallels.com</v>
      </c>
      <c r="H201" s="16" t="str">
        <f>VLOOKUP(C201, [1]customers!$A$1:$I$1001, 7, FALSE)</f>
        <v>United States</v>
      </c>
      <c r="I201" s="18" t="str">
        <f>VLOOKUP(orders!D201,[1]products!$A$1:$G$49, 2,FALSE)</f>
        <v>Lib</v>
      </c>
      <c r="J201" s="18" t="str">
        <f>VLOOKUP(orders!D201,[1]products!$A$1:$G$49, 3,FALSE)</f>
        <v>L</v>
      </c>
      <c r="K201" s="19">
        <f>VLOOKUP(orders!D201,[1]products!$A$1:$G$49, 4,FALSE)</f>
        <v>0.5</v>
      </c>
      <c r="L201" s="19">
        <f>VLOOKUP(orders!D201,[1]products!$A$1:$G$49, 5,FALSE)</f>
        <v>9.51</v>
      </c>
      <c r="M201" s="13">
        <f>PRODUCT(orders!$E201,orders!$L201)</f>
        <v>38.04</v>
      </c>
      <c r="N201" s="18" t="str">
        <f t="shared" si="6"/>
        <v>May</v>
      </c>
      <c r="O201" s="18">
        <f t="shared" si="7"/>
        <v>2021</v>
      </c>
      <c r="P201" s="11" t="str">
        <f>TEXT(orders!$B201, "DDD")</f>
        <v>Sun</v>
      </c>
      <c r="Q201" s="11" t="str">
        <f>VLOOKUP(orders!C201,[1]customers!$A$1:$I$1001, 6,FALSE)</f>
        <v>Washington</v>
      </c>
    </row>
    <row r="202" spans="1:17" x14ac:dyDescent="0.3">
      <c r="A202" s="7" t="s">
        <v>434</v>
      </c>
      <c r="B202" s="8">
        <v>44339</v>
      </c>
      <c r="C202" s="9" t="s">
        <v>435</v>
      </c>
      <c r="D202" s="10" t="s">
        <v>26</v>
      </c>
      <c r="E202" s="9">
        <v>3</v>
      </c>
      <c r="F202" s="9" t="str">
        <f>VLOOKUP(C202,[1]customers!$A$1:$I$1001, 2, FALSE)</f>
        <v>Nealson Cuttler</v>
      </c>
      <c r="G202" s="9" t="str">
        <f>VLOOKUP(orders!C202,[1]customers!$A$1:$I$1001, 3, FALSE)</f>
        <v>ncuttler5g@parallels.com</v>
      </c>
      <c r="H202" s="9" t="str">
        <f>VLOOKUP(C202, [1]customers!$A$1:$I$1001, 7, FALSE)</f>
        <v>United States</v>
      </c>
      <c r="I202" s="11" t="str">
        <f>VLOOKUP(orders!D202,[1]products!$A$1:$G$49, 2,FALSE)</f>
        <v>Exc</v>
      </c>
      <c r="J202" s="11" t="str">
        <f>VLOOKUP(orders!D202,[1]products!$A$1:$G$49, 3,FALSE)</f>
        <v>M</v>
      </c>
      <c r="K202" s="12">
        <f>VLOOKUP(orders!D202,[1]products!$A$1:$G$49, 4,FALSE)</f>
        <v>1</v>
      </c>
      <c r="L202" s="12">
        <f>VLOOKUP(orders!D202,[1]products!$A$1:$G$49, 5,FALSE)</f>
        <v>13.75</v>
      </c>
      <c r="M202" s="13">
        <f>PRODUCT(orders!$E202,orders!$L202)</f>
        <v>41.25</v>
      </c>
      <c r="N202" s="11" t="str">
        <f t="shared" si="6"/>
        <v>May</v>
      </c>
      <c r="O202" s="11">
        <f t="shared" si="7"/>
        <v>2021</v>
      </c>
      <c r="P202" s="11" t="str">
        <f>TEXT(orders!$B202, "DDD")</f>
        <v>Sun</v>
      </c>
      <c r="Q202" s="11" t="str">
        <f>VLOOKUP(orders!C202,[1]customers!$A$1:$I$1001, 6,FALSE)</f>
        <v>Washington</v>
      </c>
    </row>
    <row r="203" spans="1:17" x14ac:dyDescent="0.3">
      <c r="A203" s="14" t="s">
        <v>436</v>
      </c>
      <c r="B203" s="15">
        <v>44294</v>
      </c>
      <c r="C203" s="16" t="s">
        <v>437</v>
      </c>
      <c r="D203" s="17" t="s">
        <v>100</v>
      </c>
      <c r="E203" s="16">
        <v>6</v>
      </c>
      <c r="F203" s="9" t="str">
        <f>VLOOKUP(C203,[1]customers!$A$1:$I$1001, 2, FALSE)</f>
        <v>Adriana Lazarus</v>
      </c>
      <c r="G203" s="16">
        <f>VLOOKUP(orders!C203,[1]customers!$A$1:$I$1001, 3, FALSE)</f>
        <v>0</v>
      </c>
      <c r="H203" s="16" t="str">
        <f>VLOOKUP(C203, [1]customers!$A$1:$I$1001, 7, FALSE)</f>
        <v>United States</v>
      </c>
      <c r="I203" s="18" t="str">
        <f>VLOOKUP(orders!D203,[1]products!$A$1:$G$49, 2,FALSE)</f>
        <v>Lib</v>
      </c>
      <c r="J203" s="18" t="str">
        <f>VLOOKUP(orders!D203,[1]products!$A$1:$G$49, 3,FALSE)</f>
        <v>L</v>
      </c>
      <c r="K203" s="19">
        <f>VLOOKUP(orders!D203,[1]products!$A$1:$G$49, 4,FALSE)</f>
        <v>0.5</v>
      </c>
      <c r="L203" s="19">
        <f>VLOOKUP(orders!D203,[1]products!$A$1:$G$49, 5,FALSE)</f>
        <v>9.51</v>
      </c>
      <c r="M203" s="13">
        <f>PRODUCT(orders!$E203,orders!$L203)</f>
        <v>57.06</v>
      </c>
      <c r="N203" s="18" t="str">
        <f t="shared" si="6"/>
        <v>April</v>
      </c>
      <c r="O203" s="18">
        <f t="shared" si="7"/>
        <v>2021</v>
      </c>
      <c r="P203" s="11" t="str">
        <f>TEXT(orders!$B203, "DDD")</f>
        <v>Thu</v>
      </c>
      <c r="Q203" s="11" t="str">
        <f>VLOOKUP(orders!C203,[1]customers!$A$1:$I$1001, 6,FALSE)</f>
        <v>Ogden</v>
      </c>
    </row>
    <row r="204" spans="1:17" x14ac:dyDescent="0.3">
      <c r="A204" s="7" t="s">
        <v>438</v>
      </c>
      <c r="B204" s="8">
        <v>44486</v>
      </c>
      <c r="C204" s="9" t="s">
        <v>439</v>
      </c>
      <c r="D204" s="10" t="s">
        <v>126</v>
      </c>
      <c r="E204" s="9">
        <v>6</v>
      </c>
      <c r="F204" s="9" t="str">
        <f>VLOOKUP(C204,[1]customers!$A$1:$I$1001, 2, FALSE)</f>
        <v>Tallie felip</v>
      </c>
      <c r="G204" s="9" t="str">
        <f>VLOOKUP(orders!C204,[1]customers!$A$1:$I$1001, 3, FALSE)</f>
        <v>tfelip5m@typepad.com</v>
      </c>
      <c r="H204" s="9" t="str">
        <f>VLOOKUP(C204, [1]customers!$A$1:$I$1001, 7, FALSE)</f>
        <v>United States</v>
      </c>
      <c r="I204" s="11" t="str">
        <f>VLOOKUP(orders!D204,[1]products!$A$1:$G$49, 2,FALSE)</f>
        <v>Lib</v>
      </c>
      <c r="J204" s="11" t="str">
        <f>VLOOKUP(orders!D204,[1]products!$A$1:$G$49, 3,FALSE)</f>
        <v>D</v>
      </c>
      <c r="K204" s="12">
        <f>VLOOKUP(orders!D204,[1]products!$A$1:$G$49, 4,FALSE)</f>
        <v>2.5</v>
      </c>
      <c r="L204" s="12">
        <f>VLOOKUP(orders!D204,[1]products!$A$1:$G$49, 5,FALSE)</f>
        <v>29.784999999999997</v>
      </c>
      <c r="M204" s="13">
        <f>PRODUCT(orders!$E204,orders!$L204)</f>
        <v>178.70999999999998</v>
      </c>
      <c r="N204" s="11" t="str">
        <f t="shared" si="6"/>
        <v>October</v>
      </c>
      <c r="O204" s="11">
        <f t="shared" si="7"/>
        <v>2021</v>
      </c>
      <c r="P204" s="11" t="str">
        <f>TEXT(orders!$B204, "DDD")</f>
        <v>Sun</v>
      </c>
      <c r="Q204" s="11" t="str">
        <f>VLOOKUP(orders!C204,[1]customers!$A$1:$I$1001, 6,FALSE)</f>
        <v>Albany</v>
      </c>
    </row>
    <row r="205" spans="1:17" x14ac:dyDescent="0.3">
      <c r="A205" s="14" t="s">
        <v>440</v>
      </c>
      <c r="B205" s="15">
        <v>44608</v>
      </c>
      <c r="C205" s="16" t="s">
        <v>441</v>
      </c>
      <c r="D205" s="17" t="s">
        <v>36</v>
      </c>
      <c r="E205" s="16">
        <v>1</v>
      </c>
      <c r="F205" s="9" t="str">
        <f>VLOOKUP(C205,[1]customers!$A$1:$I$1001, 2, FALSE)</f>
        <v>Vanna Le - Count</v>
      </c>
      <c r="G205" s="16" t="str">
        <f>VLOOKUP(orders!C205,[1]customers!$A$1:$I$1001, 3, FALSE)</f>
        <v>vle5n@disqus.com</v>
      </c>
      <c r="H205" s="16" t="str">
        <f>VLOOKUP(C205, [1]customers!$A$1:$I$1001, 7, FALSE)</f>
        <v>United States</v>
      </c>
      <c r="I205" s="18" t="str">
        <f>VLOOKUP(orders!D205,[1]products!$A$1:$G$49, 2,FALSE)</f>
        <v>Lib</v>
      </c>
      <c r="J205" s="18" t="str">
        <f>VLOOKUP(orders!D205,[1]products!$A$1:$G$49, 3,FALSE)</f>
        <v>L</v>
      </c>
      <c r="K205" s="19">
        <f>VLOOKUP(orders!D205,[1]products!$A$1:$G$49, 4,FALSE)</f>
        <v>0.2</v>
      </c>
      <c r="L205" s="19">
        <f>VLOOKUP(orders!D205,[1]products!$A$1:$G$49, 5,FALSE)</f>
        <v>4.7549999999999999</v>
      </c>
      <c r="M205" s="13">
        <f>PRODUCT(orders!$E205,orders!$L205)</f>
        <v>4.7549999999999999</v>
      </c>
      <c r="N205" s="18" t="str">
        <f t="shared" si="6"/>
        <v>February</v>
      </c>
      <c r="O205" s="18">
        <f t="shared" si="7"/>
        <v>2022</v>
      </c>
      <c r="P205" s="11" t="str">
        <f>TEXT(orders!$B205, "DDD")</f>
        <v>Wed</v>
      </c>
      <c r="Q205" s="11" t="str">
        <f>VLOOKUP(orders!C205,[1]customers!$A$1:$I$1001, 6,FALSE)</f>
        <v>Spartanburg</v>
      </c>
    </row>
    <row r="206" spans="1:17" x14ac:dyDescent="0.3">
      <c r="A206" s="7" t="s">
        <v>442</v>
      </c>
      <c r="B206" s="8">
        <v>44027</v>
      </c>
      <c r="C206" s="9" t="s">
        <v>443</v>
      </c>
      <c r="D206" s="10" t="s">
        <v>26</v>
      </c>
      <c r="E206" s="9">
        <v>6</v>
      </c>
      <c r="F206" s="9" t="str">
        <f>VLOOKUP(C206,[1]customers!$A$1:$I$1001, 2, FALSE)</f>
        <v>Sarette Ducarel</v>
      </c>
      <c r="G206" s="9">
        <f>VLOOKUP(orders!C206,[1]customers!$A$1:$I$1001, 3, FALSE)</f>
        <v>0</v>
      </c>
      <c r="H206" s="9" t="str">
        <f>VLOOKUP(C206, [1]customers!$A$1:$I$1001, 7, FALSE)</f>
        <v>United States</v>
      </c>
      <c r="I206" s="11" t="str">
        <f>VLOOKUP(orders!D206,[1]products!$A$1:$G$49, 2,FALSE)</f>
        <v>Exc</v>
      </c>
      <c r="J206" s="11" t="str">
        <f>VLOOKUP(orders!D206,[1]products!$A$1:$G$49, 3,FALSE)</f>
        <v>M</v>
      </c>
      <c r="K206" s="12">
        <f>VLOOKUP(orders!D206,[1]products!$A$1:$G$49, 4,FALSE)</f>
        <v>1</v>
      </c>
      <c r="L206" s="12">
        <f>VLOOKUP(orders!D206,[1]products!$A$1:$G$49, 5,FALSE)</f>
        <v>13.75</v>
      </c>
      <c r="M206" s="13">
        <f>PRODUCT(orders!$E206,orders!$L206)</f>
        <v>82.5</v>
      </c>
      <c r="N206" s="11" t="str">
        <f t="shared" si="6"/>
        <v>July</v>
      </c>
      <c r="O206" s="11">
        <f t="shared" si="7"/>
        <v>2020</v>
      </c>
      <c r="P206" s="11" t="str">
        <f>TEXT(orders!$B206, "DDD")</f>
        <v>Wed</v>
      </c>
      <c r="Q206" s="11" t="str">
        <f>VLOOKUP(orders!C206,[1]customers!$A$1:$I$1001, 6,FALSE)</f>
        <v>Staten Island</v>
      </c>
    </row>
    <row r="207" spans="1:17" x14ac:dyDescent="0.3">
      <c r="A207" s="14" t="s">
        <v>444</v>
      </c>
      <c r="B207" s="15">
        <v>43883</v>
      </c>
      <c r="C207" s="16" t="s">
        <v>445</v>
      </c>
      <c r="D207" s="17" t="s">
        <v>118</v>
      </c>
      <c r="E207" s="16">
        <v>3</v>
      </c>
      <c r="F207" s="9" t="str">
        <f>VLOOKUP(C207,[1]customers!$A$1:$I$1001, 2, FALSE)</f>
        <v>Kendra Glison</v>
      </c>
      <c r="G207" s="16">
        <f>VLOOKUP(orders!C207,[1]customers!$A$1:$I$1001, 3, FALSE)</f>
        <v>0</v>
      </c>
      <c r="H207" s="16" t="str">
        <f>VLOOKUP(C207, [1]customers!$A$1:$I$1001, 7, FALSE)</f>
        <v>United States</v>
      </c>
      <c r="I207" s="18" t="str">
        <f>VLOOKUP(orders!D207,[1]products!$A$1:$G$49, 2,FALSE)</f>
        <v>Rob</v>
      </c>
      <c r="J207" s="18" t="str">
        <f>VLOOKUP(orders!D207,[1]products!$A$1:$G$49, 3,FALSE)</f>
        <v>D</v>
      </c>
      <c r="K207" s="19">
        <f>VLOOKUP(orders!D207,[1]products!$A$1:$G$49, 4,FALSE)</f>
        <v>0.2</v>
      </c>
      <c r="L207" s="19">
        <f>VLOOKUP(orders!D207,[1]products!$A$1:$G$49, 5,FALSE)</f>
        <v>2.6849999999999996</v>
      </c>
      <c r="M207" s="13">
        <f>PRODUCT(orders!$E207,orders!$L207)</f>
        <v>8.0549999999999997</v>
      </c>
      <c r="N207" s="18" t="str">
        <f t="shared" si="6"/>
        <v>February</v>
      </c>
      <c r="O207" s="18">
        <f t="shared" si="7"/>
        <v>2020</v>
      </c>
      <c r="P207" s="11" t="str">
        <f>TEXT(orders!$B207, "DDD")</f>
        <v>Sat</v>
      </c>
      <c r="Q207" s="11" t="str">
        <f>VLOOKUP(orders!C207,[1]customers!$A$1:$I$1001, 6,FALSE)</f>
        <v>Washington</v>
      </c>
    </row>
    <row r="208" spans="1:17" x14ac:dyDescent="0.3">
      <c r="A208" s="7" t="s">
        <v>446</v>
      </c>
      <c r="B208" s="8">
        <v>44211</v>
      </c>
      <c r="C208" s="9" t="s">
        <v>447</v>
      </c>
      <c r="D208" s="10" t="s">
        <v>78</v>
      </c>
      <c r="E208" s="9">
        <v>2</v>
      </c>
      <c r="F208" s="9" t="str">
        <f>VLOOKUP(C208,[1]customers!$A$1:$I$1001, 2, FALSE)</f>
        <v>Nertie Poolman</v>
      </c>
      <c r="G208" s="9" t="str">
        <f>VLOOKUP(orders!C208,[1]customers!$A$1:$I$1001, 3, FALSE)</f>
        <v>npoolman5q@howstuffworks.com</v>
      </c>
      <c r="H208" s="9" t="str">
        <f>VLOOKUP(C208, [1]customers!$A$1:$I$1001, 7, FALSE)</f>
        <v>United States</v>
      </c>
      <c r="I208" s="11" t="str">
        <f>VLOOKUP(orders!D208,[1]products!$A$1:$G$49, 2,FALSE)</f>
        <v>Ara</v>
      </c>
      <c r="J208" s="11" t="str">
        <f>VLOOKUP(orders!D208,[1]products!$A$1:$G$49, 3,FALSE)</f>
        <v>M</v>
      </c>
      <c r="K208" s="12">
        <f>VLOOKUP(orders!D208,[1]products!$A$1:$G$49, 4,FALSE)</f>
        <v>1</v>
      </c>
      <c r="L208" s="12">
        <f>VLOOKUP(orders!D208,[1]products!$A$1:$G$49, 5,FALSE)</f>
        <v>11.25</v>
      </c>
      <c r="M208" s="13">
        <f>PRODUCT(orders!$E208,orders!$L208)</f>
        <v>22.5</v>
      </c>
      <c r="N208" s="11" t="str">
        <f t="shared" si="6"/>
        <v>January</v>
      </c>
      <c r="O208" s="11">
        <f t="shared" si="7"/>
        <v>2021</v>
      </c>
      <c r="P208" s="11" t="str">
        <f>TEXT(orders!$B208, "DDD")</f>
        <v>Fri</v>
      </c>
      <c r="Q208" s="11" t="str">
        <f>VLOOKUP(orders!C208,[1]customers!$A$1:$I$1001, 6,FALSE)</f>
        <v>Charlotte</v>
      </c>
    </row>
    <row r="209" spans="1:17" x14ac:dyDescent="0.3">
      <c r="A209" s="14" t="s">
        <v>448</v>
      </c>
      <c r="B209" s="15">
        <v>44207</v>
      </c>
      <c r="C209" s="16" t="s">
        <v>449</v>
      </c>
      <c r="D209" s="17" t="s">
        <v>84</v>
      </c>
      <c r="E209" s="16">
        <v>6</v>
      </c>
      <c r="F209" s="9" t="str">
        <f>VLOOKUP(C209,[1]customers!$A$1:$I$1001, 2, FALSE)</f>
        <v>Orbadiah Duny</v>
      </c>
      <c r="G209" s="16" t="str">
        <f>VLOOKUP(orders!C209,[1]customers!$A$1:$I$1001, 3, FALSE)</f>
        <v>oduny5r@constantcontact.com</v>
      </c>
      <c r="H209" s="16" t="str">
        <f>VLOOKUP(C209, [1]customers!$A$1:$I$1001, 7, FALSE)</f>
        <v>United States</v>
      </c>
      <c r="I209" s="18" t="str">
        <f>VLOOKUP(orders!D209,[1]products!$A$1:$G$49, 2,FALSE)</f>
        <v>Ara</v>
      </c>
      <c r="J209" s="18" t="str">
        <f>VLOOKUP(orders!D209,[1]products!$A$1:$G$49, 3,FALSE)</f>
        <v>M</v>
      </c>
      <c r="K209" s="19">
        <f>VLOOKUP(orders!D209,[1]products!$A$1:$G$49, 4,FALSE)</f>
        <v>0.5</v>
      </c>
      <c r="L209" s="19">
        <f>VLOOKUP(orders!D209,[1]products!$A$1:$G$49, 5,FALSE)</f>
        <v>6.75</v>
      </c>
      <c r="M209" s="13">
        <f>PRODUCT(orders!$E209,orders!$L209)</f>
        <v>40.5</v>
      </c>
      <c r="N209" s="18" t="str">
        <f t="shared" si="6"/>
        <v>January</v>
      </c>
      <c r="O209" s="18">
        <f t="shared" si="7"/>
        <v>2021</v>
      </c>
      <c r="P209" s="11" t="str">
        <f>TEXT(orders!$B209, "DDD")</f>
        <v>Mon</v>
      </c>
      <c r="Q209" s="11" t="str">
        <f>VLOOKUP(orders!C209,[1]customers!$A$1:$I$1001, 6,FALSE)</f>
        <v>Lubbock</v>
      </c>
    </row>
    <row r="210" spans="1:17" x14ac:dyDescent="0.3">
      <c r="A210" s="7" t="s">
        <v>450</v>
      </c>
      <c r="B210" s="8">
        <v>44659</v>
      </c>
      <c r="C210" s="9" t="s">
        <v>451</v>
      </c>
      <c r="D210" s="10" t="s">
        <v>33</v>
      </c>
      <c r="E210" s="9">
        <v>4</v>
      </c>
      <c r="F210" s="9" t="str">
        <f>VLOOKUP(C210,[1]customers!$A$1:$I$1001, 2, FALSE)</f>
        <v>Constance Halfhide</v>
      </c>
      <c r="G210" s="9" t="str">
        <f>VLOOKUP(orders!C210,[1]customers!$A$1:$I$1001, 3, FALSE)</f>
        <v>chalfhide5s@google.ru</v>
      </c>
      <c r="H210" s="9" t="str">
        <f>VLOOKUP(C210, [1]customers!$A$1:$I$1001, 7, FALSE)</f>
        <v>Ireland</v>
      </c>
      <c r="I210" s="11" t="str">
        <f>VLOOKUP(orders!D210,[1]products!$A$1:$G$49, 2,FALSE)</f>
        <v>Exc</v>
      </c>
      <c r="J210" s="11" t="str">
        <f>VLOOKUP(orders!D210,[1]products!$A$1:$G$49, 3,FALSE)</f>
        <v>D</v>
      </c>
      <c r="K210" s="12">
        <f>VLOOKUP(orders!D210,[1]products!$A$1:$G$49, 4,FALSE)</f>
        <v>0.5</v>
      </c>
      <c r="L210" s="12">
        <f>VLOOKUP(orders!D210,[1]products!$A$1:$G$49, 5,FALSE)</f>
        <v>7.29</v>
      </c>
      <c r="M210" s="13">
        <f>PRODUCT(orders!$E210,orders!$L210)</f>
        <v>29.16</v>
      </c>
      <c r="N210" s="11" t="str">
        <f t="shared" si="6"/>
        <v>April</v>
      </c>
      <c r="O210" s="11">
        <f t="shared" si="7"/>
        <v>2022</v>
      </c>
      <c r="P210" s="11" t="str">
        <f>TEXT(orders!$B210, "DDD")</f>
        <v>Fri</v>
      </c>
      <c r="Q210" s="11" t="str">
        <f>VLOOKUP(orders!C210,[1]customers!$A$1:$I$1001, 6,FALSE)</f>
        <v>Fermoy</v>
      </c>
    </row>
    <row r="211" spans="1:17" x14ac:dyDescent="0.3">
      <c r="A211" s="14" t="s">
        <v>452</v>
      </c>
      <c r="B211" s="15">
        <v>44105</v>
      </c>
      <c r="C211" s="16" t="s">
        <v>453</v>
      </c>
      <c r="D211" s="17" t="s">
        <v>84</v>
      </c>
      <c r="E211" s="16">
        <v>1</v>
      </c>
      <c r="F211" s="9" t="str">
        <f>VLOOKUP(C211,[1]customers!$A$1:$I$1001, 2, FALSE)</f>
        <v>Fransisco Malecky</v>
      </c>
      <c r="G211" s="16" t="str">
        <f>VLOOKUP(orders!C211,[1]customers!$A$1:$I$1001, 3, FALSE)</f>
        <v>fmalecky5t@list-manage.com</v>
      </c>
      <c r="H211" s="16" t="str">
        <f>VLOOKUP(C211, [1]customers!$A$1:$I$1001, 7, FALSE)</f>
        <v>United Kingdom</v>
      </c>
      <c r="I211" s="18" t="str">
        <f>VLOOKUP(orders!D211,[1]products!$A$1:$G$49, 2,FALSE)</f>
        <v>Ara</v>
      </c>
      <c r="J211" s="18" t="str">
        <f>VLOOKUP(orders!D211,[1]products!$A$1:$G$49, 3,FALSE)</f>
        <v>M</v>
      </c>
      <c r="K211" s="19">
        <f>VLOOKUP(orders!D211,[1]products!$A$1:$G$49, 4,FALSE)</f>
        <v>0.5</v>
      </c>
      <c r="L211" s="19">
        <f>VLOOKUP(orders!D211,[1]products!$A$1:$G$49, 5,FALSE)</f>
        <v>6.75</v>
      </c>
      <c r="M211" s="13">
        <f>PRODUCT(orders!$E211,orders!$L211)</f>
        <v>6.75</v>
      </c>
      <c r="N211" s="18" t="str">
        <f t="shared" si="6"/>
        <v>October</v>
      </c>
      <c r="O211" s="18">
        <f t="shared" si="7"/>
        <v>2020</v>
      </c>
      <c r="P211" s="11" t="str">
        <f>TEXT(orders!$B211, "DDD")</f>
        <v>Thu</v>
      </c>
      <c r="Q211" s="11" t="str">
        <f>VLOOKUP(orders!C211,[1]customers!$A$1:$I$1001, 6,FALSE)</f>
        <v>Whitwell</v>
      </c>
    </row>
    <row r="212" spans="1:17" x14ac:dyDescent="0.3">
      <c r="A212" s="7" t="s">
        <v>454</v>
      </c>
      <c r="B212" s="8">
        <v>43766</v>
      </c>
      <c r="C212" s="9" t="s">
        <v>455</v>
      </c>
      <c r="D212" s="10" t="s">
        <v>30</v>
      </c>
      <c r="E212" s="9">
        <v>4</v>
      </c>
      <c r="F212" s="9" t="str">
        <f>VLOOKUP(C212,[1]customers!$A$1:$I$1001, 2, FALSE)</f>
        <v>Anselma Attwater</v>
      </c>
      <c r="G212" s="9" t="str">
        <f>VLOOKUP(orders!C212,[1]customers!$A$1:$I$1001, 3, FALSE)</f>
        <v>aattwater5u@wikia.com</v>
      </c>
      <c r="H212" s="9" t="str">
        <f>VLOOKUP(C212, [1]customers!$A$1:$I$1001, 7, FALSE)</f>
        <v>United States</v>
      </c>
      <c r="I212" s="11" t="str">
        <f>VLOOKUP(orders!D212,[1]products!$A$1:$G$49, 2,FALSE)</f>
        <v>Lib</v>
      </c>
      <c r="J212" s="11" t="str">
        <f>VLOOKUP(orders!D212,[1]products!$A$1:$G$49, 3,FALSE)</f>
        <v>D</v>
      </c>
      <c r="K212" s="12">
        <f>VLOOKUP(orders!D212,[1]products!$A$1:$G$49, 4,FALSE)</f>
        <v>1</v>
      </c>
      <c r="L212" s="12">
        <f>VLOOKUP(orders!D212,[1]products!$A$1:$G$49, 5,FALSE)</f>
        <v>12.95</v>
      </c>
      <c r="M212" s="13">
        <f>PRODUCT(orders!$E212,orders!$L212)</f>
        <v>51.8</v>
      </c>
      <c r="N212" s="11" t="str">
        <f t="shared" si="6"/>
        <v>October</v>
      </c>
      <c r="O212" s="11">
        <f t="shared" si="7"/>
        <v>2019</v>
      </c>
      <c r="P212" s="11" t="str">
        <f>TEXT(orders!$B212, "DDD")</f>
        <v>Mon</v>
      </c>
      <c r="Q212" s="11" t="str">
        <f>VLOOKUP(orders!C212,[1]customers!$A$1:$I$1001, 6,FALSE)</f>
        <v>Charlottesville</v>
      </c>
    </row>
    <row r="213" spans="1:17" x14ac:dyDescent="0.3">
      <c r="A213" s="14" t="s">
        <v>456</v>
      </c>
      <c r="B213" s="15">
        <v>44283</v>
      </c>
      <c r="C213" s="16" t="s">
        <v>457</v>
      </c>
      <c r="D213" s="17" t="s">
        <v>193</v>
      </c>
      <c r="E213" s="16">
        <v>6</v>
      </c>
      <c r="F213" s="9" t="str">
        <f>VLOOKUP(C213,[1]customers!$A$1:$I$1001, 2, FALSE)</f>
        <v>Minette Whellans</v>
      </c>
      <c r="G213" s="16" t="str">
        <f>VLOOKUP(orders!C213,[1]customers!$A$1:$I$1001, 3, FALSE)</f>
        <v>mwhellans5v@mapquest.com</v>
      </c>
      <c r="H213" s="16" t="str">
        <f>VLOOKUP(C213, [1]customers!$A$1:$I$1001, 7, FALSE)</f>
        <v>United States</v>
      </c>
      <c r="I213" s="18" t="str">
        <f>VLOOKUP(orders!D213,[1]products!$A$1:$G$49, 2,FALSE)</f>
        <v>Exc</v>
      </c>
      <c r="J213" s="18" t="str">
        <f>VLOOKUP(orders!D213,[1]products!$A$1:$G$49, 3,FALSE)</f>
        <v>L</v>
      </c>
      <c r="K213" s="19">
        <f>VLOOKUP(orders!D213,[1]products!$A$1:$G$49, 4,FALSE)</f>
        <v>0.5</v>
      </c>
      <c r="L213" s="19">
        <f>VLOOKUP(orders!D213,[1]products!$A$1:$G$49, 5,FALSE)</f>
        <v>8.91</v>
      </c>
      <c r="M213" s="13">
        <f>PRODUCT(orders!$E213,orders!$L213)</f>
        <v>53.46</v>
      </c>
      <c r="N213" s="18" t="str">
        <f t="shared" si="6"/>
        <v>March</v>
      </c>
      <c r="O213" s="18">
        <f t="shared" si="7"/>
        <v>2021</v>
      </c>
      <c r="P213" s="11" t="str">
        <f>TEXT(orders!$B213, "DDD")</f>
        <v>Sun</v>
      </c>
      <c r="Q213" s="11" t="str">
        <f>VLOOKUP(orders!C213,[1]customers!$A$1:$I$1001, 6,FALSE)</f>
        <v>New York City</v>
      </c>
    </row>
    <row r="214" spans="1:17" x14ac:dyDescent="0.3">
      <c r="A214" s="7" t="s">
        <v>458</v>
      </c>
      <c r="B214" s="8">
        <v>43921</v>
      </c>
      <c r="C214" s="9" t="s">
        <v>459</v>
      </c>
      <c r="D214" s="10" t="s">
        <v>68</v>
      </c>
      <c r="E214" s="9">
        <v>4</v>
      </c>
      <c r="F214" s="9" t="str">
        <f>VLOOKUP(C214,[1]customers!$A$1:$I$1001, 2, FALSE)</f>
        <v>Dael Camilletti</v>
      </c>
      <c r="G214" s="9" t="str">
        <f>VLOOKUP(orders!C214,[1]customers!$A$1:$I$1001, 3, FALSE)</f>
        <v>dcamilletti5w@businesswire.com</v>
      </c>
      <c r="H214" s="9" t="str">
        <f>VLOOKUP(C214, [1]customers!$A$1:$I$1001, 7, FALSE)</f>
        <v>United States</v>
      </c>
      <c r="I214" s="11" t="str">
        <f>VLOOKUP(orders!D214,[1]products!$A$1:$G$49, 2,FALSE)</f>
        <v>Exc</v>
      </c>
      <c r="J214" s="11" t="str">
        <f>VLOOKUP(orders!D214,[1]products!$A$1:$G$49, 3,FALSE)</f>
        <v>D</v>
      </c>
      <c r="K214" s="12">
        <f>VLOOKUP(orders!D214,[1]products!$A$1:$G$49, 4,FALSE)</f>
        <v>0.2</v>
      </c>
      <c r="L214" s="12">
        <f>VLOOKUP(orders!D214,[1]products!$A$1:$G$49, 5,FALSE)</f>
        <v>3.645</v>
      </c>
      <c r="M214" s="13">
        <f>PRODUCT(orders!$E214,orders!$L214)</f>
        <v>14.58</v>
      </c>
      <c r="N214" s="11" t="str">
        <f t="shared" si="6"/>
        <v>March</v>
      </c>
      <c r="O214" s="11">
        <f t="shared" si="7"/>
        <v>2020</v>
      </c>
      <c r="P214" s="11" t="str">
        <f>TEXT(orders!$B214, "DDD")</f>
        <v>Tue</v>
      </c>
      <c r="Q214" s="11" t="str">
        <f>VLOOKUP(orders!C214,[1]customers!$A$1:$I$1001, 6,FALSE)</f>
        <v>Roanoke</v>
      </c>
    </row>
    <row r="215" spans="1:17" x14ac:dyDescent="0.3">
      <c r="A215" s="14" t="s">
        <v>460</v>
      </c>
      <c r="B215" s="15">
        <v>44646</v>
      </c>
      <c r="C215" s="16" t="s">
        <v>461</v>
      </c>
      <c r="D215" s="17" t="s">
        <v>52</v>
      </c>
      <c r="E215" s="16">
        <v>1</v>
      </c>
      <c r="F215" s="9" t="str">
        <f>VLOOKUP(C215,[1]customers!$A$1:$I$1001, 2, FALSE)</f>
        <v>Emiline Galgey</v>
      </c>
      <c r="G215" s="16" t="str">
        <f>VLOOKUP(orders!C215,[1]customers!$A$1:$I$1001, 3, FALSE)</f>
        <v>egalgey5x@wufoo.com</v>
      </c>
      <c r="H215" s="16" t="str">
        <f>VLOOKUP(C215, [1]customers!$A$1:$I$1001, 7, FALSE)</f>
        <v>United States</v>
      </c>
      <c r="I215" s="18" t="str">
        <f>VLOOKUP(orders!D215,[1]products!$A$1:$G$49, 2,FALSE)</f>
        <v>Rob</v>
      </c>
      <c r="J215" s="18" t="str">
        <f>VLOOKUP(orders!D215,[1]products!$A$1:$G$49, 3,FALSE)</f>
        <v>D</v>
      </c>
      <c r="K215" s="19">
        <f>VLOOKUP(orders!D215,[1]products!$A$1:$G$49, 4,FALSE)</f>
        <v>2.5</v>
      </c>
      <c r="L215" s="19">
        <f>VLOOKUP(orders!D215,[1]products!$A$1:$G$49, 5,FALSE)</f>
        <v>20.584999999999997</v>
      </c>
      <c r="M215" s="13">
        <f>PRODUCT(orders!$E215,orders!$L215)</f>
        <v>20.584999999999997</v>
      </c>
      <c r="N215" s="18" t="str">
        <f t="shared" si="6"/>
        <v>March</v>
      </c>
      <c r="O215" s="18">
        <f t="shared" si="7"/>
        <v>2022</v>
      </c>
      <c r="P215" s="11" t="str">
        <f>TEXT(orders!$B215, "DDD")</f>
        <v>Sat</v>
      </c>
      <c r="Q215" s="11" t="str">
        <f>VLOOKUP(orders!C215,[1]customers!$A$1:$I$1001, 6,FALSE)</f>
        <v>New York City</v>
      </c>
    </row>
    <row r="216" spans="1:17" x14ac:dyDescent="0.3">
      <c r="A216" s="7" t="s">
        <v>462</v>
      </c>
      <c r="B216" s="8">
        <v>43775</v>
      </c>
      <c r="C216" s="9" t="s">
        <v>463</v>
      </c>
      <c r="D216" s="10" t="s">
        <v>149</v>
      </c>
      <c r="E216" s="9">
        <v>2</v>
      </c>
      <c r="F216" s="9" t="str">
        <f>VLOOKUP(C216,[1]customers!$A$1:$I$1001, 2, FALSE)</f>
        <v>Murdock Hame</v>
      </c>
      <c r="G216" s="9" t="str">
        <f>VLOOKUP(orders!C216,[1]customers!$A$1:$I$1001, 3, FALSE)</f>
        <v>mhame5y@newsvine.com</v>
      </c>
      <c r="H216" s="9" t="str">
        <f>VLOOKUP(C216, [1]customers!$A$1:$I$1001, 7, FALSE)</f>
        <v>Ireland</v>
      </c>
      <c r="I216" s="11" t="str">
        <f>VLOOKUP(orders!D216,[1]products!$A$1:$G$49, 2,FALSE)</f>
        <v>Lib</v>
      </c>
      <c r="J216" s="11" t="str">
        <f>VLOOKUP(orders!D216,[1]products!$A$1:$G$49, 3,FALSE)</f>
        <v>L</v>
      </c>
      <c r="K216" s="12">
        <f>VLOOKUP(orders!D216,[1]products!$A$1:$G$49, 4,FALSE)</f>
        <v>1</v>
      </c>
      <c r="L216" s="12">
        <f>VLOOKUP(orders!D216,[1]products!$A$1:$G$49, 5,FALSE)</f>
        <v>15.85</v>
      </c>
      <c r="M216" s="13">
        <f>PRODUCT(orders!$E216,orders!$L216)</f>
        <v>31.7</v>
      </c>
      <c r="N216" s="11" t="str">
        <f t="shared" si="6"/>
        <v>November</v>
      </c>
      <c r="O216" s="11">
        <f t="shared" si="7"/>
        <v>2019</v>
      </c>
      <c r="P216" s="11" t="str">
        <f>TEXT(orders!$B216, "DDD")</f>
        <v>Wed</v>
      </c>
      <c r="Q216" s="11" t="str">
        <f>VLOOKUP(orders!C216,[1]customers!$A$1:$I$1001, 6,FALSE)</f>
        <v>Balally</v>
      </c>
    </row>
    <row r="217" spans="1:17" x14ac:dyDescent="0.3">
      <c r="A217" s="14" t="s">
        <v>464</v>
      </c>
      <c r="B217" s="15">
        <v>43829</v>
      </c>
      <c r="C217" s="16" t="s">
        <v>465</v>
      </c>
      <c r="D217" s="17" t="s">
        <v>55</v>
      </c>
      <c r="E217" s="16">
        <v>6</v>
      </c>
      <c r="F217" s="9" t="str">
        <f>VLOOKUP(C217,[1]customers!$A$1:$I$1001, 2, FALSE)</f>
        <v>Ilka Gurnee</v>
      </c>
      <c r="G217" s="16" t="str">
        <f>VLOOKUP(orders!C217,[1]customers!$A$1:$I$1001, 3, FALSE)</f>
        <v>igurnee5z@usnews.com</v>
      </c>
      <c r="H217" s="16" t="str">
        <f>VLOOKUP(C217, [1]customers!$A$1:$I$1001, 7, FALSE)</f>
        <v>United States</v>
      </c>
      <c r="I217" s="18" t="str">
        <f>VLOOKUP(orders!D217,[1]products!$A$1:$G$49, 2,FALSE)</f>
        <v>Lib</v>
      </c>
      <c r="J217" s="18" t="str">
        <f>VLOOKUP(orders!D217,[1]products!$A$1:$G$49, 3,FALSE)</f>
        <v>D</v>
      </c>
      <c r="K217" s="19">
        <f>VLOOKUP(orders!D217,[1]products!$A$1:$G$49, 4,FALSE)</f>
        <v>0.2</v>
      </c>
      <c r="L217" s="19">
        <f>VLOOKUP(orders!D217,[1]products!$A$1:$G$49, 5,FALSE)</f>
        <v>3.8849999999999998</v>
      </c>
      <c r="M217" s="13">
        <f>PRODUCT(orders!$E217,orders!$L217)</f>
        <v>23.31</v>
      </c>
      <c r="N217" s="18" t="str">
        <f t="shared" si="6"/>
        <v>December</v>
      </c>
      <c r="O217" s="18">
        <f t="shared" si="7"/>
        <v>2019</v>
      </c>
      <c r="P217" s="11" t="str">
        <f>TEXT(orders!$B217, "DDD")</f>
        <v>Mon</v>
      </c>
      <c r="Q217" s="11" t="str">
        <f>VLOOKUP(orders!C217,[1]customers!$A$1:$I$1001, 6,FALSE)</f>
        <v>Salt Lake City</v>
      </c>
    </row>
    <row r="218" spans="1:17" x14ac:dyDescent="0.3">
      <c r="A218" s="7" t="s">
        <v>466</v>
      </c>
      <c r="B218" s="8">
        <v>44470</v>
      </c>
      <c r="C218" s="9" t="s">
        <v>467</v>
      </c>
      <c r="D218" s="10" t="s">
        <v>113</v>
      </c>
      <c r="E218" s="9">
        <v>4</v>
      </c>
      <c r="F218" s="9" t="str">
        <f>VLOOKUP(C218,[1]customers!$A$1:$I$1001, 2, FALSE)</f>
        <v>Alfy Snowding</v>
      </c>
      <c r="G218" s="9" t="str">
        <f>VLOOKUP(orders!C218,[1]customers!$A$1:$I$1001, 3, FALSE)</f>
        <v>asnowding60@comsenz.com</v>
      </c>
      <c r="H218" s="9" t="str">
        <f>VLOOKUP(C218, [1]customers!$A$1:$I$1001, 7, FALSE)</f>
        <v>United States</v>
      </c>
      <c r="I218" s="11" t="str">
        <f>VLOOKUP(orders!D218,[1]products!$A$1:$G$49, 2,FALSE)</f>
        <v>Lib</v>
      </c>
      <c r="J218" s="11" t="str">
        <f>VLOOKUP(orders!D218,[1]products!$A$1:$G$49, 3,FALSE)</f>
        <v>M</v>
      </c>
      <c r="K218" s="12">
        <f>VLOOKUP(orders!D218,[1]products!$A$1:$G$49, 4,FALSE)</f>
        <v>1</v>
      </c>
      <c r="L218" s="12">
        <f>VLOOKUP(orders!D218,[1]products!$A$1:$G$49, 5,FALSE)</f>
        <v>14.55</v>
      </c>
      <c r="M218" s="13">
        <f>PRODUCT(orders!$E218,orders!$L218)</f>
        <v>58.2</v>
      </c>
      <c r="N218" s="11" t="str">
        <f t="shared" si="6"/>
        <v>October</v>
      </c>
      <c r="O218" s="11">
        <f t="shared" si="7"/>
        <v>2021</v>
      </c>
      <c r="P218" s="11" t="str">
        <f>TEXT(orders!$B218, "DDD")</f>
        <v>Fri</v>
      </c>
      <c r="Q218" s="11" t="str">
        <f>VLOOKUP(orders!C218,[1]customers!$A$1:$I$1001, 6,FALSE)</f>
        <v>Toledo</v>
      </c>
    </row>
    <row r="219" spans="1:17" x14ac:dyDescent="0.3">
      <c r="A219" s="14" t="s">
        <v>468</v>
      </c>
      <c r="B219" s="15">
        <v>44174</v>
      </c>
      <c r="C219" s="16" t="s">
        <v>469</v>
      </c>
      <c r="D219" s="17" t="s">
        <v>193</v>
      </c>
      <c r="E219" s="16">
        <v>4</v>
      </c>
      <c r="F219" s="9" t="str">
        <f>VLOOKUP(C219,[1]customers!$A$1:$I$1001, 2, FALSE)</f>
        <v>Godfry Poinsett</v>
      </c>
      <c r="G219" s="16" t="str">
        <f>VLOOKUP(orders!C219,[1]customers!$A$1:$I$1001, 3, FALSE)</f>
        <v>gpoinsett61@berkeley.edu</v>
      </c>
      <c r="H219" s="16" t="str">
        <f>VLOOKUP(C219, [1]customers!$A$1:$I$1001, 7, FALSE)</f>
        <v>United States</v>
      </c>
      <c r="I219" s="18" t="str">
        <f>VLOOKUP(orders!D219,[1]products!$A$1:$G$49, 2,FALSE)</f>
        <v>Exc</v>
      </c>
      <c r="J219" s="18" t="str">
        <f>VLOOKUP(orders!D219,[1]products!$A$1:$G$49, 3,FALSE)</f>
        <v>L</v>
      </c>
      <c r="K219" s="19">
        <f>VLOOKUP(orders!D219,[1]products!$A$1:$G$49, 4,FALSE)</f>
        <v>0.5</v>
      </c>
      <c r="L219" s="19">
        <f>VLOOKUP(orders!D219,[1]products!$A$1:$G$49, 5,FALSE)</f>
        <v>8.91</v>
      </c>
      <c r="M219" s="13">
        <f>PRODUCT(orders!$E219,orders!$L219)</f>
        <v>35.64</v>
      </c>
      <c r="N219" s="18" t="str">
        <f t="shared" si="6"/>
        <v>December</v>
      </c>
      <c r="O219" s="18">
        <f t="shared" si="7"/>
        <v>2020</v>
      </c>
      <c r="P219" s="11" t="str">
        <f>TEXT(orders!$B219, "DDD")</f>
        <v>Wed</v>
      </c>
      <c r="Q219" s="11" t="str">
        <f>VLOOKUP(orders!C219,[1]customers!$A$1:$I$1001, 6,FALSE)</f>
        <v>Pasadena</v>
      </c>
    </row>
    <row r="220" spans="1:17" x14ac:dyDescent="0.3">
      <c r="A220" s="7" t="s">
        <v>470</v>
      </c>
      <c r="B220" s="8">
        <v>44317</v>
      </c>
      <c r="C220" s="9" t="s">
        <v>471</v>
      </c>
      <c r="D220" s="10" t="s">
        <v>78</v>
      </c>
      <c r="E220" s="9">
        <v>5</v>
      </c>
      <c r="F220" s="9" t="str">
        <f>VLOOKUP(C220,[1]customers!$A$1:$I$1001, 2, FALSE)</f>
        <v>Rem Furman</v>
      </c>
      <c r="G220" s="9" t="str">
        <f>VLOOKUP(orders!C220,[1]customers!$A$1:$I$1001, 3, FALSE)</f>
        <v>rfurman62@t.co</v>
      </c>
      <c r="H220" s="9" t="str">
        <f>VLOOKUP(C220, [1]customers!$A$1:$I$1001, 7, FALSE)</f>
        <v>Ireland</v>
      </c>
      <c r="I220" s="11" t="str">
        <f>VLOOKUP(orders!D220,[1]products!$A$1:$G$49, 2,FALSE)</f>
        <v>Ara</v>
      </c>
      <c r="J220" s="11" t="str">
        <f>VLOOKUP(orders!D220,[1]products!$A$1:$G$49, 3,FALSE)</f>
        <v>M</v>
      </c>
      <c r="K220" s="12">
        <f>VLOOKUP(orders!D220,[1]products!$A$1:$G$49, 4,FALSE)</f>
        <v>1</v>
      </c>
      <c r="L220" s="12">
        <f>VLOOKUP(orders!D220,[1]products!$A$1:$G$49, 5,FALSE)</f>
        <v>11.25</v>
      </c>
      <c r="M220" s="13">
        <f>PRODUCT(orders!$E220,orders!$L220)</f>
        <v>56.25</v>
      </c>
      <c r="N220" s="11" t="str">
        <f t="shared" si="6"/>
        <v>May</v>
      </c>
      <c r="O220" s="11">
        <f t="shared" si="7"/>
        <v>2021</v>
      </c>
      <c r="P220" s="11" t="str">
        <f>TEXT(orders!$B220, "DDD")</f>
        <v>Sat</v>
      </c>
      <c r="Q220" s="11" t="str">
        <f>VLOOKUP(orders!C220,[1]customers!$A$1:$I$1001, 6,FALSE)</f>
        <v>Kinsale</v>
      </c>
    </row>
    <row r="221" spans="1:17" x14ac:dyDescent="0.3">
      <c r="A221" s="14" t="s">
        <v>472</v>
      </c>
      <c r="B221" s="15">
        <v>44777</v>
      </c>
      <c r="C221" s="16" t="s">
        <v>473</v>
      </c>
      <c r="D221" s="17" t="s">
        <v>199</v>
      </c>
      <c r="E221" s="16">
        <v>3</v>
      </c>
      <c r="F221" s="9" t="str">
        <f>VLOOKUP(C221,[1]customers!$A$1:$I$1001, 2, FALSE)</f>
        <v>Charis Crosier</v>
      </c>
      <c r="G221" s="16" t="str">
        <f>VLOOKUP(orders!C221,[1]customers!$A$1:$I$1001, 3, FALSE)</f>
        <v>ccrosier63@xrea.com</v>
      </c>
      <c r="H221" s="16" t="str">
        <f>VLOOKUP(C221, [1]customers!$A$1:$I$1001, 7, FALSE)</f>
        <v>United States</v>
      </c>
      <c r="I221" s="18" t="str">
        <f>VLOOKUP(orders!D221,[1]products!$A$1:$G$49, 2,FALSE)</f>
        <v>Rob</v>
      </c>
      <c r="J221" s="18" t="str">
        <f>VLOOKUP(orders!D221,[1]products!$A$1:$G$49, 3,FALSE)</f>
        <v>L</v>
      </c>
      <c r="K221" s="19">
        <f>VLOOKUP(orders!D221,[1]products!$A$1:$G$49, 4,FALSE)</f>
        <v>0.2</v>
      </c>
      <c r="L221" s="19">
        <f>VLOOKUP(orders!D221,[1]products!$A$1:$G$49, 5,FALSE)</f>
        <v>3.5849999999999995</v>
      </c>
      <c r="M221" s="13">
        <f>PRODUCT(orders!$E221,orders!$L221)</f>
        <v>10.754999999999999</v>
      </c>
      <c r="N221" s="18" t="str">
        <f t="shared" si="6"/>
        <v>August</v>
      </c>
      <c r="O221" s="18">
        <f t="shared" si="7"/>
        <v>2022</v>
      </c>
      <c r="P221" s="11" t="str">
        <f>TEXT(orders!$B221, "DDD")</f>
        <v>Thu</v>
      </c>
      <c r="Q221" s="11" t="str">
        <f>VLOOKUP(orders!C221,[1]customers!$A$1:$I$1001, 6,FALSE)</f>
        <v>Lees Summit</v>
      </c>
    </row>
    <row r="222" spans="1:17" x14ac:dyDescent="0.3">
      <c r="A222" s="7" t="s">
        <v>472</v>
      </c>
      <c r="B222" s="8">
        <v>44777</v>
      </c>
      <c r="C222" s="9" t="s">
        <v>473</v>
      </c>
      <c r="D222" s="10" t="s">
        <v>179</v>
      </c>
      <c r="E222" s="9">
        <v>5</v>
      </c>
      <c r="F222" s="9" t="str">
        <f>VLOOKUP(C222,[1]customers!$A$1:$I$1001, 2, FALSE)</f>
        <v>Charis Crosier</v>
      </c>
      <c r="G222" s="9" t="str">
        <f>VLOOKUP(orders!C222,[1]customers!$A$1:$I$1001, 3, FALSE)</f>
        <v>ccrosier63@xrea.com</v>
      </c>
      <c r="H222" s="9" t="str">
        <f>VLOOKUP(C222, [1]customers!$A$1:$I$1001, 7, FALSE)</f>
        <v>United States</v>
      </c>
      <c r="I222" s="11" t="str">
        <f>VLOOKUP(orders!D222,[1]products!$A$1:$G$49, 2,FALSE)</f>
        <v>Rob</v>
      </c>
      <c r="J222" s="11" t="str">
        <f>VLOOKUP(orders!D222,[1]products!$A$1:$G$49, 3,FALSE)</f>
        <v>M</v>
      </c>
      <c r="K222" s="12">
        <f>VLOOKUP(orders!D222,[1]products!$A$1:$G$49, 4,FALSE)</f>
        <v>0.2</v>
      </c>
      <c r="L222" s="12">
        <f>VLOOKUP(orders!D222,[1]products!$A$1:$G$49, 5,FALSE)</f>
        <v>2.9849999999999999</v>
      </c>
      <c r="M222" s="13">
        <f>PRODUCT(orders!$E222,orders!$L222)</f>
        <v>14.924999999999999</v>
      </c>
      <c r="N222" s="11" t="str">
        <f t="shared" si="6"/>
        <v>August</v>
      </c>
      <c r="O222" s="11">
        <f t="shared" si="7"/>
        <v>2022</v>
      </c>
      <c r="P222" s="11" t="str">
        <f>TEXT(orders!$B222, "DDD")</f>
        <v>Thu</v>
      </c>
      <c r="Q222" s="11" t="str">
        <f>VLOOKUP(orders!C222,[1]customers!$A$1:$I$1001, 6,FALSE)</f>
        <v>Lees Summit</v>
      </c>
    </row>
    <row r="223" spans="1:17" x14ac:dyDescent="0.3">
      <c r="A223" s="14" t="s">
        <v>474</v>
      </c>
      <c r="B223" s="15">
        <v>44513</v>
      </c>
      <c r="C223" s="16" t="s">
        <v>475</v>
      </c>
      <c r="D223" s="17" t="s">
        <v>23</v>
      </c>
      <c r="E223" s="16">
        <v>6</v>
      </c>
      <c r="F223" s="9" t="str">
        <f>VLOOKUP(C223,[1]customers!$A$1:$I$1001, 2, FALSE)</f>
        <v>Lenka Rushmer</v>
      </c>
      <c r="G223" s="16" t="str">
        <f>VLOOKUP(orders!C223,[1]customers!$A$1:$I$1001, 3, FALSE)</f>
        <v>lrushmer65@europa.eu</v>
      </c>
      <c r="H223" s="16" t="str">
        <f>VLOOKUP(C223, [1]customers!$A$1:$I$1001, 7, FALSE)</f>
        <v>United States</v>
      </c>
      <c r="I223" s="18" t="str">
        <f>VLOOKUP(orders!D223,[1]products!$A$1:$G$49, 2,FALSE)</f>
        <v>Ara</v>
      </c>
      <c r="J223" s="18" t="str">
        <f>VLOOKUP(orders!D223,[1]products!$A$1:$G$49, 3,FALSE)</f>
        <v>L</v>
      </c>
      <c r="K223" s="19">
        <f>VLOOKUP(orders!D223,[1]products!$A$1:$G$49, 4,FALSE)</f>
        <v>1</v>
      </c>
      <c r="L223" s="19">
        <f>VLOOKUP(orders!D223,[1]products!$A$1:$G$49, 5,FALSE)</f>
        <v>12.95</v>
      </c>
      <c r="M223" s="13">
        <f>PRODUCT(orders!$E223,orders!$L223)</f>
        <v>77.699999999999989</v>
      </c>
      <c r="N223" s="18" t="str">
        <f t="shared" si="6"/>
        <v>November</v>
      </c>
      <c r="O223" s="18">
        <f t="shared" si="7"/>
        <v>2021</v>
      </c>
      <c r="P223" s="11" t="str">
        <f>TEXT(orders!$B223, "DDD")</f>
        <v>Sat</v>
      </c>
      <c r="Q223" s="11" t="str">
        <f>VLOOKUP(orders!C223,[1]customers!$A$1:$I$1001, 6,FALSE)</f>
        <v>Irvine</v>
      </c>
    </row>
    <row r="224" spans="1:17" x14ac:dyDescent="0.3">
      <c r="A224" s="7" t="s">
        <v>476</v>
      </c>
      <c r="B224" s="8">
        <v>44090</v>
      </c>
      <c r="C224" s="9" t="s">
        <v>477</v>
      </c>
      <c r="D224" s="10" t="s">
        <v>140</v>
      </c>
      <c r="E224" s="9">
        <v>3</v>
      </c>
      <c r="F224" s="9" t="str">
        <f>VLOOKUP(C224,[1]customers!$A$1:$I$1001, 2, FALSE)</f>
        <v>Waneta Edinborough</v>
      </c>
      <c r="G224" s="9" t="str">
        <f>VLOOKUP(orders!C224,[1]customers!$A$1:$I$1001, 3, FALSE)</f>
        <v>wedinborough66@github.io</v>
      </c>
      <c r="H224" s="9" t="str">
        <f>VLOOKUP(C224, [1]customers!$A$1:$I$1001, 7, FALSE)</f>
        <v>United States</v>
      </c>
      <c r="I224" s="11" t="str">
        <f>VLOOKUP(orders!D224,[1]products!$A$1:$G$49, 2,FALSE)</f>
        <v>Lib</v>
      </c>
      <c r="J224" s="11" t="str">
        <f>VLOOKUP(orders!D224,[1]products!$A$1:$G$49, 3,FALSE)</f>
        <v>D</v>
      </c>
      <c r="K224" s="12">
        <f>VLOOKUP(orders!D224,[1]products!$A$1:$G$49, 4,FALSE)</f>
        <v>0.5</v>
      </c>
      <c r="L224" s="12">
        <f>VLOOKUP(orders!D224,[1]products!$A$1:$G$49, 5,FALSE)</f>
        <v>7.77</v>
      </c>
      <c r="M224" s="13">
        <f>PRODUCT(orders!$E224,orders!$L224)</f>
        <v>23.31</v>
      </c>
      <c r="N224" s="11" t="str">
        <f t="shared" si="6"/>
        <v>September</v>
      </c>
      <c r="O224" s="11">
        <f t="shared" si="7"/>
        <v>2020</v>
      </c>
      <c r="P224" s="11" t="str">
        <f>TEXT(orders!$B224, "DDD")</f>
        <v>Wed</v>
      </c>
      <c r="Q224" s="11" t="str">
        <f>VLOOKUP(orders!C224,[1]customers!$A$1:$I$1001, 6,FALSE)</f>
        <v>Hicksville</v>
      </c>
    </row>
    <row r="225" spans="1:17" x14ac:dyDescent="0.3">
      <c r="A225" s="14" t="s">
        <v>478</v>
      </c>
      <c r="B225" s="15">
        <v>44109</v>
      </c>
      <c r="C225" s="16" t="s">
        <v>479</v>
      </c>
      <c r="D225" s="17" t="s">
        <v>154</v>
      </c>
      <c r="E225" s="16">
        <v>4</v>
      </c>
      <c r="F225" s="9" t="str">
        <f>VLOOKUP(C225,[1]customers!$A$1:$I$1001, 2, FALSE)</f>
        <v>Bobbe Piggott</v>
      </c>
      <c r="G225" s="16">
        <f>VLOOKUP(orders!C225,[1]customers!$A$1:$I$1001, 3, FALSE)</f>
        <v>0</v>
      </c>
      <c r="H225" s="16" t="str">
        <f>VLOOKUP(C225, [1]customers!$A$1:$I$1001, 7, FALSE)</f>
        <v>United States</v>
      </c>
      <c r="I225" s="18" t="str">
        <f>VLOOKUP(orders!D225,[1]products!$A$1:$G$49, 2,FALSE)</f>
        <v>Exc</v>
      </c>
      <c r="J225" s="18" t="str">
        <f>VLOOKUP(orders!D225,[1]products!$A$1:$G$49, 3,FALSE)</f>
        <v>L</v>
      </c>
      <c r="K225" s="19">
        <f>VLOOKUP(orders!D225,[1]products!$A$1:$G$49, 4,FALSE)</f>
        <v>1</v>
      </c>
      <c r="L225" s="19">
        <f>VLOOKUP(orders!D225,[1]products!$A$1:$G$49, 5,FALSE)</f>
        <v>14.85</v>
      </c>
      <c r="M225" s="13">
        <f>PRODUCT(orders!$E225,orders!$L225)</f>
        <v>59.4</v>
      </c>
      <c r="N225" s="18" t="str">
        <f t="shared" si="6"/>
        <v>October</v>
      </c>
      <c r="O225" s="18">
        <f t="shared" si="7"/>
        <v>2020</v>
      </c>
      <c r="P225" s="11" t="str">
        <f>TEXT(orders!$B225, "DDD")</f>
        <v>Mon</v>
      </c>
      <c r="Q225" s="11" t="str">
        <f>VLOOKUP(orders!C225,[1]customers!$A$1:$I$1001, 6,FALSE)</f>
        <v>Washington</v>
      </c>
    </row>
    <row r="226" spans="1:17" x14ac:dyDescent="0.3">
      <c r="A226" s="7" t="s">
        <v>480</v>
      </c>
      <c r="B226" s="8">
        <v>43836</v>
      </c>
      <c r="C226" s="9" t="s">
        <v>481</v>
      </c>
      <c r="D226" s="10" t="s">
        <v>126</v>
      </c>
      <c r="E226" s="9">
        <v>4</v>
      </c>
      <c r="F226" s="9" t="str">
        <f>VLOOKUP(C226,[1]customers!$A$1:$I$1001, 2, FALSE)</f>
        <v>Ketty Bromehead</v>
      </c>
      <c r="G226" s="9" t="str">
        <f>VLOOKUP(orders!C226,[1]customers!$A$1:$I$1001, 3, FALSE)</f>
        <v>kbromehead68@un.org</v>
      </c>
      <c r="H226" s="9" t="str">
        <f>VLOOKUP(C226, [1]customers!$A$1:$I$1001, 7, FALSE)</f>
        <v>United States</v>
      </c>
      <c r="I226" s="11" t="str">
        <f>VLOOKUP(orders!D226,[1]products!$A$1:$G$49, 2,FALSE)</f>
        <v>Lib</v>
      </c>
      <c r="J226" s="11" t="str">
        <f>VLOOKUP(orders!D226,[1]products!$A$1:$G$49, 3,FALSE)</f>
        <v>D</v>
      </c>
      <c r="K226" s="12">
        <f>VLOOKUP(orders!D226,[1]products!$A$1:$G$49, 4,FALSE)</f>
        <v>2.5</v>
      </c>
      <c r="L226" s="12">
        <f>VLOOKUP(orders!D226,[1]products!$A$1:$G$49, 5,FALSE)</f>
        <v>29.784999999999997</v>
      </c>
      <c r="M226" s="13">
        <f>PRODUCT(orders!$E226,orders!$L226)</f>
        <v>119.13999999999999</v>
      </c>
      <c r="N226" s="11" t="str">
        <f t="shared" si="6"/>
        <v>January</v>
      </c>
      <c r="O226" s="11">
        <f t="shared" si="7"/>
        <v>2020</v>
      </c>
      <c r="P226" s="11" t="str">
        <f>TEXT(orders!$B226, "DDD")</f>
        <v>Mon</v>
      </c>
      <c r="Q226" s="11" t="str">
        <f>VLOOKUP(orders!C226,[1]customers!$A$1:$I$1001, 6,FALSE)</f>
        <v>New York City</v>
      </c>
    </row>
    <row r="227" spans="1:17" x14ac:dyDescent="0.3">
      <c r="A227" s="14" t="s">
        <v>482</v>
      </c>
      <c r="B227" s="15">
        <v>44337</v>
      </c>
      <c r="C227" s="16" t="s">
        <v>483</v>
      </c>
      <c r="D227" s="17" t="s">
        <v>199</v>
      </c>
      <c r="E227" s="16">
        <v>4</v>
      </c>
      <c r="F227" s="9" t="str">
        <f>VLOOKUP(C227,[1]customers!$A$1:$I$1001, 2, FALSE)</f>
        <v>Elsbeth Westerman</v>
      </c>
      <c r="G227" s="16" t="str">
        <f>VLOOKUP(orders!C227,[1]customers!$A$1:$I$1001, 3, FALSE)</f>
        <v>ewesterman69@si.edu</v>
      </c>
      <c r="H227" s="16" t="str">
        <f>VLOOKUP(C227, [1]customers!$A$1:$I$1001, 7, FALSE)</f>
        <v>Ireland</v>
      </c>
      <c r="I227" s="18" t="str">
        <f>VLOOKUP(orders!D227,[1]products!$A$1:$G$49, 2,FALSE)</f>
        <v>Rob</v>
      </c>
      <c r="J227" s="18" t="str">
        <f>VLOOKUP(orders!D227,[1]products!$A$1:$G$49, 3,FALSE)</f>
        <v>L</v>
      </c>
      <c r="K227" s="19">
        <f>VLOOKUP(orders!D227,[1]products!$A$1:$G$49, 4,FALSE)</f>
        <v>0.2</v>
      </c>
      <c r="L227" s="19">
        <f>VLOOKUP(orders!D227,[1]products!$A$1:$G$49, 5,FALSE)</f>
        <v>3.5849999999999995</v>
      </c>
      <c r="M227" s="13">
        <f>PRODUCT(orders!$E227,orders!$L227)</f>
        <v>14.339999999999998</v>
      </c>
      <c r="N227" s="18" t="str">
        <f t="shared" si="6"/>
        <v>May</v>
      </c>
      <c r="O227" s="18">
        <f t="shared" si="7"/>
        <v>2021</v>
      </c>
      <c r="P227" s="11" t="str">
        <f>TEXT(orders!$B227, "DDD")</f>
        <v>Fri</v>
      </c>
      <c r="Q227" s="11" t="str">
        <f>VLOOKUP(orders!C227,[1]customers!$A$1:$I$1001, 6,FALSE)</f>
        <v>Newmarket on Fergus</v>
      </c>
    </row>
    <row r="228" spans="1:17" x14ac:dyDescent="0.3">
      <c r="A228" s="7" t="s">
        <v>484</v>
      </c>
      <c r="B228" s="8">
        <v>43887</v>
      </c>
      <c r="C228" s="9" t="s">
        <v>485</v>
      </c>
      <c r="D228" s="10" t="s">
        <v>188</v>
      </c>
      <c r="E228" s="9">
        <v>5</v>
      </c>
      <c r="F228" s="9" t="str">
        <f>VLOOKUP(C228,[1]customers!$A$1:$I$1001, 2, FALSE)</f>
        <v>Anabelle Hutchens</v>
      </c>
      <c r="G228" s="9" t="str">
        <f>VLOOKUP(orders!C228,[1]customers!$A$1:$I$1001, 3, FALSE)</f>
        <v>ahutchens6a@amazonaws.com</v>
      </c>
      <c r="H228" s="9" t="str">
        <f>VLOOKUP(C228, [1]customers!$A$1:$I$1001, 7, FALSE)</f>
        <v>United States</v>
      </c>
      <c r="I228" s="11" t="str">
        <f>VLOOKUP(orders!D228,[1]products!$A$1:$G$49, 2,FALSE)</f>
        <v>Ara</v>
      </c>
      <c r="J228" s="11" t="str">
        <f>VLOOKUP(orders!D228,[1]products!$A$1:$G$49, 3,FALSE)</f>
        <v>M</v>
      </c>
      <c r="K228" s="12">
        <f>VLOOKUP(orders!D228,[1]products!$A$1:$G$49, 4,FALSE)</f>
        <v>2.5</v>
      </c>
      <c r="L228" s="12">
        <f>VLOOKUP(orders!D228,[1]products!$A$1:$G$49, 5,FALSE)</f>
        <v>25.874999999999996</v>
      </c>
      <c r="M228" s="13">
        <f>PRODUCT(orders!$E228,orders!$L228)</f>
        <v>129.37499999999997</v>
      </c>
      <c r="N228" s="11" t="str">
        <f t="shared" si="6"/>
        <v>February</v>
      </c>
      <c r="O228" s="11">
        <f t="shared" si="7"/>
        <v>2020</v>
      </c>
      <c r="P228" s="11" t="str">
        <f>TEXT(orders!$B228, "DDD")</f>
        <v>Wed</v>
      </c>
      <c r="Q228" s="11" t="str">
        <f>VLOOKUP(orders!C228,[1]customers!$A$1:$I$1001, 6,FALSE)</f>
        <v>Shawnee Mission</v>
      </c>
    </row>
    <row r="229" spans="1:17" x14ac:dyDescent="0.3">
      <c r="A229" s="14" t="s">
        <v>486</v>
      </c>
      <c r="B229" s="15">
        <v>43880</v>
      </c>
      <c r="C229" s="16" t="s">
        <v>487</v>
      </c>
      <c r="D229" s="17" t="s">
        <v>118</v>
      </c>
      <c r="E229" s="16">
        <v>6</v>
      </c>
      <c r="F229" s="9" t="str">
        <f>VLOOKUP(C229,[1]customers!$A$1:$I$1001, 2, FALSE)</f>
        <v>Noak Wyvill</v>
      </c>
      <c r="G229" s="16" t="str">
        <f>VLOOKUP(orders!C229,[1]customers!$A$1:$I$1001, 3, FALSE)</f>
        <v>nwyvill6b@naver.com</v>
      </c>
      <c r="H229" s="16" t="str">
        <f>VLOOKUP(C229, [1]customers!$A$1:$I$1001, 7, FALSE)</f>
        <v>United Kingdom</v>
      </c>
      <c r="I229" s="18" t="str">
        <f>VLOOKUP(orders!D229,[1]products!$A$1:$G$49, 2,FALSE)</f>
        <v>Rob</v>
      </c>
      <c r="J229" s="18" t="str">
        <f>VLOOKUP(orders!D229,[1]products!$A$1:$G$49, 3,FALSE)</f>
        <v>D</v>
      </c>
      <c r="K229" s="19">
        <f>VLOOKUP(orders!D229,[1]products!$A$1:$G$49, 4,FALSE)</f>
        <v>0.2</v>
      </c>
      <c r="L229" s="19">
        <f>VLOOKUP(orders!D229,[1]products!$A$1:$G$49, 5,FALSE)</f>
        <v>2.6849999999999996</v>
      </c>
      <c r="M229" s="13">
        <f>PRODUCT(orders!$E229,orders!$L229)</f>
        <v>16.11</v>
      </c>
      <c r="N229" s="18" t="str">
        <f t="shared" si="6"/>
        <v>February</v>
      </c>
      <c r="O229" s="18">
        <f t="shared" si="7"/>
        <v>2020</v>
      </c>
      <c r="P229" s="11" t="str">
        <f>TEXT(orders!$B229, "DDD")</f>
        <v>Wed</v>
      </c>
      <c r="Q229" s="11" t="str">
        <f>VLOOKUP(orders!C229,[1]customers!$A$1:$I$1001, 6,FALSE)</f>
        <v>Edinburgh</v>
      </c>
    </row>
    <row r="230" spans="1:17" x14ac:dyDescent="0.3">
      <c r="A230" s="7" t="s">
        <v>488</v>
      </c>
      <c r="B230" s="8">
        <v>44376</v>
      </c>
      <c r="C230" s="9" t="s">
        <v>489</v>
      </c>
      <c r="D230" s="10" t="s">
        <v>199</v>
      </c>
      <c r="E230" s="9">
        <v>5</v>
      </c>
      <c r="F230" s="9" t="str">
        <f>VLOOKUP(C230,[1]customers!$A$1:$I$1001, 2, FALSE)</f>
        <v>Beltran Mathon</v>
      </c>
      <c r="G230" s="9" t="str">
        <f>VLOOKUP(orders!C230,[1]customers!$A$1:$I$1001, 3, FALSE)</f>
        <v>bmathon6c@barnesandnoble.com</v>
      </c>
      <c r="H230" s="9" t="str">
        <f>VLOOKUP(C230, [1]customers!$A$1:$I$1001, 7, FALSE)</f>
        <v>United States</v>
      </c>
      <c r="I230" s="11" t="str">
        <f>VLOOKUP(orders!D230,[1]products!$A$1:$G$49, 2,FALSE)</f>
        <v>Rob</v>
      </c>
      <c r="J230" s="11" t="str">
        <f>VLOOKUP(orders!D230,[1]products!$A$1:$G$49, 3,FALSE)</f>
        <v>L</v>
      </c>
      <c r="K230" s="12">
        <f>VLOOKUP(orders!D230,[1]products!$A$1:$G$49, 4,FALSE)</f>
        <v>0.2</v>
      </c>
      <c r="L230" s="12">
        <f>VLOOKUP(orders!D230,[1]products!$A$1:$G$49, 5,FALSE)</f>
        <v>3.5849999999999995</v>
      </c>
      <c r="M230" s="13">
        <f>PRODUCT(orders!$E230,orders!$L230)</f>
        <v>17.924999999999997</v>
      </c>
      <c r="N230" s="11" t="str">
        <f t="shared" si="6"/>
        <v>June</v>
      </c>
      <c r="O230" s="11">
        <f t="shared" si="7"/>
        <v>2021</v>
      </c>
      <c r="P230" s="11" t="str">
        <f>TEXT(orders!$B230, "DDD")</f>
        <v>Tue</v>
      </c>
      <c r="Q230" s="11" t="str">
        <f>VLOOKUP(orders!C230,[1]customers!$A$1:$I$1001, 6,FALSE)</f>
        <v>Sacramento</v>
      </c>
    </row>
    <row r="231" spans="1:17" x14ac:dyDescent="0.3">
      <c r="A231" s="14" t="s">
        <v>490</v>
      </c>
      <c r="B231" s="15">
        <v>44282</v>
      </c>
      <c r="C231" s="16" t="s">
        <v>491</v>
      </c>
      <c r="D231" s="17" t="s">
        <v>94</v>
      </c>
      <c r="E231" s="16">
        <v>2</v>
      </c>
      <c r="F231" s="9" t="str">
        <f>VLOOKUP(C231,[1]customers!$A$1:$I$1001, 2, FALSE)</f>
        <v>Kristos Streight</v>
      </c>
      <c r="G231" s="16" t="str">
        <f>VLOOKUP(orders!C231,[1]customers!$A$1:$I$1001, 3, FALSE)</f>
        <v>kstreight6d@about.com</v>
      </c>
      <c r="H231" s="16" t="str">
        <f>VLOOKUP(C231, [1]customers!$A$1:$I$1001, 7, FALSE)</f>
        <v>United States</v>
      </c>
      <c r="I231" s="18" t="str">
        <f>VLOOKUP(orders!D231,[1]products!$A$1:$G$49, 2,FALSE)</f>
        <v>Lib</v>
      </c>
      <c r="J231" s="18" t="str">
        <f>VLOOKUP(orders!D231,[1]products!$A$1:$G$49, 3,FALSE)</f>
        <v>M</v>
      </c>
      <c r="K231" s="19">
        <f>VLOOKUP(orders!D231,[1]products!$A$1:$G$49, 4,FALSE)</f>
        <v>0.2</v>
      </c>
      <c r="L231" s="19">
        <f>VLOOKUP(orders!D231,[1]products!$A$1:$G$49, 5,FALSE)</f>
        <v>4.3650000000000002</v>
      </c>
      <c r="M231" s="13">
        <f>PRODUCT(orders!$E231,orders!$L231)</f>
        <v>8.73</v>
      </c>
      <c r="N231" s="18" t="str">
        <f t="shared" si="6"/>
        <v>March</v>
      </c>
      <c r="O231" s="18">
        <f t="shared" si="7"/>
        <v>2021</v>
      </c>
      <c r="P231" s="11" t="str">
        <f>TEXT(orders!$B231, "DDD")</f>
        <v>Sat</v>
      </c>
      <c r="Q231" s="11" t="str">
        <f>VLOOKUP(orders!C231,[1]customers!$A$1:$I$1001, 6,FALSE)</f>
        <v>Wilkes Barre</v>
      </c>
    </row>
    <row r="232" spans="1:17" x14ac:dyDescent="0.3">
      <c r="A232" s="7" t="s">
        <v>492</v>
      </c>
      <c r="B232" s="8">
        <v>44496</v>
      </c>
      <c r="C232" s="9" t="s">
        <v>493</v>
      </c>
      <c r="D232" s="10" t="s">
        <v>188</v>
      </c>
      <c r="E232" s="9">
        <v>2</v>
      </c>
      <c r="F232" s="9" t="str">
        <f>VLOOKUP(C232,[1]customers!$A$1:$I$1001, 2, FALSE)</f>
        <v>Portie Cutchie</v>
      </c>
      <c r="G232" s="9" t="str">
        <f>VLOOKUP(orders!C232,[1]customers!$A$1:$I$1001, 3, FALSE)</f>
        <v>pcutchie6e@globo.com</v>
      </c>
      <c r="H232" s="9" t="str">
        <f>VLOOKUP(C232, [1]customers!$A$1:$I$1001, 7, FALSE)</f>
        <v>United States</v>
      </c>
      <c r="I232" s="11" t="str">
        <f>VLOOKUP(orders!D232,[1]products!$A$1:$G$49, 2,FALSE)</f>
        <v>Ara</v>
      </c>
      <c r="J232" s="11" t="str">
        <f>VLOOKUP(orders!D232,[1]products!$A$1:$G$49, 3,FALSE)</f>
        <v>M</v>
      </c>
      <c r="K232" s="12">
        <f>VLOOKUP(orders!D232,[1]products!$A$1:$G$49, 4,FALSE)</f>
        <v>2.5</v>
      </c>
      <c r="L232" s="12">
        <f>VLOOKUP(orders!D232,[1]products!$A$1:$G$49, 5,FALSE)</f>
        <v>25.874999999999996</v>
      </c>
      <c r="M232" s="13">
        <f>PRODUCT(orders!$E232,orders!$L232)</f>
        <v>51.749999999999993</v>
      </c>
      <c r="N232" s="11" t="str">
        <f t="shared" si="6"/>
        <v>October</v>
      </c>
      <c r="O232" s="11">
        <f t="shared" si="7"/>
        <v>2021</v>
      </c>
      <c r="P232" s="11" t="str">
        <f>TEXT(orders!$B232, "DDD")</f>
        <v>Wed</v>
      </c>
      <c r="Q232" s="11" t="str">
        <f>VLOOKUP(orders!C232,[1]customers!$A$1:$I$1001, 6,FALSE)</f>
        <v>Greensboro</v>
      </c>
    </row>
    <row r="233" spans="1:17" x14ac:dyDescent="0.3">
      <c r="A233" s="14" t="s">
        <v>494</v>
      </c>
      <c r="B233" s="15">
        <v>43628</v>
      </c>
      <c r="C233" s="16" t="s">
        <v>495</v>
      </c>
      <c r="D233" s="17" t="s">
        <v>94</v>
      </c>
      <c r="E233" s="16">
        <v>2</v>
      </c>
      <c r="F233" s="9" t="str">
        <f>VLOOKUP(C233,[1]customers!$A$1:$I$1001, 2, FALSE)</f>
        <v>Sinclare Edsell</v>
      </c>
      <c r="G233" s="16">
        <f>VLOOKUP(orders!C233,[1]customers!$A$1:$I$1001, 3, FALSE)</f>
        <v>0</v>
      </c>
      <c r="H233" s="16" t="str">
        <f>VLOOKUP(C233, [1]customers!$A$1:$I$1001, 7, FALSE)</f>
        <v>United States</v>
      </c>
      <c r="I233" s="18" t="str">
        <f>VLOOKUP(orders!D233,[1]products!$A$1:$G$49, 2,FALSE)</f>
        <v>Lib</v>
      </c>
      <c r="J233" s="18" t="str">
        <f>VLOOKUP(orders!D233,[1]products!$A$1:$G$49, 3,FALSE)</f>
        <v>M</v>
      </c>
      <c r="K233" s="19">
        <f>VLOOKUP(orders!D233,[1]products!$A$1:$G$49, 4,FALSE)</f>
        <v>0.2</v>
      </c>
      <c r="L233" s="19">
        <f>VLOOKUP(orders!D233,[1]products!$A$1:$G$49, 5,FALSE)</f>
        <v>4.3650000000000002</v>
      </c>
      <c r="M233" s="13">
        <f>PRODUCT(orders!$E233,orders!$L233)</f>
        <v>8.73</v>
      </c>
      <c r="N233" s="18" t="str">
        <f t="shared" si="6"/>
        <v>June</v>
      </c>
      <c r="O233" s="18">
        <f t="shared" si="7"/>
        <v>2019</v>
      </c>
      <c r="P233" s="11" t="str">
        <f>TEXT(orders!$B233, "DDD")</f>
        <v>Wed</v>
      </c>
      <c r="Q233" s="11" t="str">
        <f>VLOOKUP(orders!C233,[1]customers!$A$1:$I$1001, 6,FALSE)</f>
        <v>Newark</v>
      </c>
    </row>
    <row r="234" spans="1:17" x14ac:dyDescent="0.3">
      <c r="A234" s="7" t="s">
        <v>496</v>
      </c>
      <c r="B234" s="8">
        <v>44010</v>
      </c>
      <c r="C234" s="9" t="s">
        <v>497</v>
      </c>
      <c r="D234" s="10" t="s">
        <v>36</v>
      </c>
      <c r="E234" s="9">
        <v>5</v>
      </c>
      <c r="F234" s="9" t="str">
        <f>VLOOKUP(C234,[1]customers!$A$1:$I$1001, 2, FALSE)</f>
        <v>Conny Gheraldi</v>
      </c>
      <c r="G234" s="9" t="str">
        <f>VLOOKUP(orders!C234,[1]customers!$A$1:$I$1001, 3, FALSE)</f>
        <v>cgheraldi6g@opera.com</v>
      </c>
      <c r="H234" s="9" t="str">
        <f>VLOOKUP(C234, [1]customers!$A$1:$I$1001, 7, FALSE)</f>
        <v>United Kingdom</v>
      </c>
      <c r="I234" s="11" t="str">
        <f>VLOOKUP(orders!D234,[1]products!$A$1:$G$49, 2,FALSE)</f>
        <v>Lib</v>
      </c>
      <c r="J234" s="11" t="str">
        <f>VLOOKUP(orders!D234,[1]products!$A$1:$G$49, 3,FALSE)</f>
        <v>L</v>
      </c>
      <c r="K234" s="12">
        <f>VLOOKUP(orders!D234,[1]products!$A$1:$G$49, 4,FALSE)</f>
        <v>0.2</v>
      </c>
      <c r="L234" s="12">
        <f>VLOOKUP(orders!D234,[1]products!$A$1:$G$49, 5,FALSE)</f>
        <v>4.7549999999999999</v>
      </c>
      <c r="M234" s="13">
        <f>PRODUCT(orders!$E234,orders!$L234)</f>
        <v>23.774999999999999</v>
      </c>
      <c r="N234" s="11" t="str">
        <f t="shared" si="6"/>
        <v>June</v>
      </c>
      <c r="O234" s="11">
        <f t="shared" si="7"/>
        <v>2020</v>
      </c>
      <c r="P234" s="11" t="str">
        <f>TEXT(orders!$B234, "DDD")</f>
        <v>Sun</v>
      </c>
      <c r="Q234" s="11" t="str">
        <f>VLOOKUP(orders!C234,[1]customers!$A$1:$I$1001, 6,FALSE)</f>
        <v>Kinloch</v>
      </c>
    </row>
    <row r="235" spans="1:17" x14ac:dyDescent="0.3">
      <c r="A235" s="14" t="s">
        <v>498</v>
      </c>
      <c r="B235" s="15">
        <v>44278</v>
      </c>
      <c r="C235" s="16" t="s">
        <v>499</v>
      </c>
      <c r="D235" s="17" t="s">
        <v>81</v>
      </c>
      <c r="E235" s="16">
        <v>5</v>
      </c>
      <c r="F235" s="9" t="str">
        <f>VLOOKUP(C235,[1]customers!$A$1:$I$1001, 2, FALSE)</f>
        <v>Beryle Kenwell</v>
      </c>
      <c r="G235" s="16" t="str">
        <f>VLOOKUP(orders!C235,[1]customers!$A$1:$I$1001, 3, FALSE)</f>
        <v>bkenwell6h@over-blog.com</v>
      </c>
      <c r="H235" s="16" t="str">
        <f>VLOOKUP(C235, [1]customers!$A$1:$I$1001, 7, FALSE)</f>
        <v>United States</v>
      </c>
      <c r="I235" s="18" t="str">
        <f>VLOOKUP(orders!D235,[1]products!$A$1:$G$49, 2,FALSE)</f>
        <v>Exc</v>
      </c>
      <c r="J235" s="18" t="str">
        <f>VLOOKUP(orders!D235,[1]products!$A$1:$G$49, 3,FALSE)</f>
        <v>M</v>
      </c>
      <c r="K235" s="19">
        <f>VLOOKUP(orders!D235,[1]products!$A$1:$G$49, 4,FALSE)</f>
        <v>0.2</v>
      </c>
      <c r="L235" s="19">
        <f>VLOOKUP(orders!D235,[1]products!$A$1:$G$49, 5,FALSE)</f>
        <v>4.125</v>
      </c>
      <c r="M235" s="13">
        <f>PRODUCT(orders!$E235,orders!$L235)</f>
        <v>20.625</v>
      </c>
      <c r="N235" s="18" t="str">
        <f t="shared" si="6"/>
        <v>March</v>
      </c>
      <c r="O235" s="18">
        <f t="shared" si="7"/>
        <v>2021</v>
      </c>
      <c r="P235" s="11" t="str">
        <f>TEXT(orders!$B235, "DDD")</f>
        <v>Tue</v>
      </c>
      <c r="Q235" s="11" t="str">
        <f>VLOOKUP(orders!C235,[1]customers!$A$1:$I$1001, 6,FALSE)</f>
        <v>Honolulu</v>
      </c>
    </row>
    <row r="236" spans="1:17" x14ac:dyDescent="0.3">
      <c r="A236" s="7" t="s">
        <v>500</v>
      </c>
      <c r="B236" s="8">
        <v>44602</v>
      </c>
      <c r="C236" s="9" t="s">
        <v>501</v>
      </c>
      <c r="D236" s="10" t="s">
        <v>121</v>
      </c>
      <c r="E236" s="9">
        <v>1</v>
      </c>
      <c r="F236" s="9" t="str">
        <f>VLOOKUP(C236,[1]customers!$A$1:$I$1001, 2, FALSE)</f>
        <v>Tomas Sutty</v>
      </c>
      <c r="G236" s="9" t="str">
        <f>VLOOKUP(orders!C236,[1]customers!$A$1:$I$1001, 3, FALSE)</f>
        <v>tsutty6i@google.es</v>
      </c>
      <c r="H236" s="9" t="str">
        <f>VLOOKUP(C236, [1]customers!$A$1:$I$1001, 7, FALSE)</f>
        <v>United States</v>
      </c>
      <c r="I236" s="11" t="str">
        <f>VLOOKUP(orders!D236,[1]products!$A$1:$G$49, 2,FALSE)</f>
        <v>Lib</v>
      </c>
      <c r="J236" s="11" t="str">
        <f>VLOOKUP(orders!D236,[1]products!$A$1:$G$49, 3,FALSE)</f>
        <v>L</v>
      </c>
      <c r="K236" s="12">
        <f>VLOOKUP(orders!D236,[1]products!$A$1:$G$49, 4,FALSE)</f>
        <v>2.5</v>
      </c>
      <c r="L236" s="12">
        <f>VLOOKUP(orders!D236,[1]products!$A$1:$G$49, 5,FALSE)</f>
        <v>36.454999999999998</v>
      </c>
      <c r="M236" s="13">
        <f>PRODUCT(orders!$E236,orders!$L236)</f>
        <v>36.454999999999998</v>
      </c>
      <c r="N236" s="11" t="str">
        <f t="shared" si="6"/>
        <v>February</v>
      </c>
      <c r="O236" s="11">
        <f t="shared" si="7"/>
        <v>2022</v>
      </c>
      <c r="P236" s="11" t="str">
        <f>TEXT(orders!$B236, "DDD")</f>
        <v>Thu</v>
      </c>
      <c r="Q236" s="11" t="str">
        <f>VLOOKUP(orders!C236,[1]customers!$A$1:$I$1001, 6,FALSE)</f>
        <v>New York City</v>
      </c>
    </row>
    <row r="237" spans="1:17" x14ac:dyDescent="0.3">
      <c r="A237" s="14" t="s">
        <v>502</v>
      </c>
      <c r="B237" s="15">
        <v>43571</v>
      </c>
      <c r="C237" s="16" t="s">
        <v>503</v>
      </c>
      <c r="D237" s="17" t="s">
        <v>121</v>
      </c>
      <c r="E237" s="16">
        <v>5</v>
      </c>
      <c r="F237" s="9" t="str">
        <f>VLOOKUP(C237,[1]customers!$A$1:$I$1001, 2, FALSE)</f>
        <v>Samuele Ales0</v>
      </c>
      <c r="G237" s="16">
        <f>VLOOKUP(orders!C237,[1]customers!$A$1:$I$1001, 3, FALSE)</f>
        <v>0</v>
      </c>
      <c r="H237" s="16" t="str">
        <f>VLOOKUP(C237, [1]customers!$A$1:$I$1001, 7, FALSE)</f>
        <v>Ireland</v>
      </c>
      <c r="I237" s="18" t="str">
        <f>VLOOKUP(orders!D237,[1]products!$A$1:$G$49, 2,FALSE)</f>
        <v>Lib</v>
      </c>
      <c r="J237" s="18" t="str">
        <f>VLOOKUP(orders!D237,[1]products!$A$1:$G$49, 3,FALSE)</f>
        <v>L</v>
      </c>
      <c r="K237" s="19">
        <f>VLOOKUP(orders!D237,[1]products!$A$1:$G$49, 4,FALSE)</f>
        <v>2.5</v>
      </c>
      <c r="L237" s="19">
        <f>VLOOKUP(orders!D237,[1]products!$A$1:$G$49, 5,FALSE)</f>
        <v>36.454999999999998</v>
      </c>
      <c r="M237" s="13">
        <f>PRODUCT(orders!$E237,orders!$L237)</f>
        <v>182.27499999999998</v>
      </c>
      <c r="N237" s="18" t="str">
        <f t="shared" si="6"/>
        <v>April</v>
      </c>
      <c r="O237" s="18">
        <f t="shared" si="7"/>
        <v>2019</v>
      </c>
      <c r="P237" s="11" t="str">
        <f>TEXT(orders!$B237, "DDD")</f>
        <v>Tue</v>
      </c>
      <c r="Q237" s="11" t="str">
        <f>VLOOKUP(orders!C237,[1]customers!$A$1:$I$1001, 6,FALSE)</f>
        <v>Ballinroad</v>
      </c>
    </row>
    <row r="238" spans="1:17" x14ac:dyDescent="0.3">
      <c r="A238" s="7" t="s">
        <v>504</v>
      </c>
      <c r="B238" s="8">
        <v>43873</v>
      </c>
      <c r="C238" s="9" t="s">
        <v>505</v>
      </c>
      <c r="D238" s="10" t="s">
        <v>126</v>
      </c>
      <c r="E238" s="9">
        <v>3</v>
      </c>
      <c r="F238" s="9" t="str">
        <f>VLOOKUP(C238,[1]customers!$A$1:$I$1001, 2, FALSE)</f>
        <v>Carlie Harce</v>
      </c>
      <c r="G238" s="9" t="str">
        <f>VLOOKUP(orders!C238,[1]customers!$A$1:$I$1001, 3, FALSE)</f>
        <v>charce6k@cafepress.com</v>
      </c>
      <c r="H238" s="9" t="str">
        <f>VLOOKUP(C238, [1]customers!$A$1:$I$1001, 7, FALSE)</f>
        <v>Ireland</v>
      </c>
      <c r="I238" s="11" t="str">
        <f>VLOOKUP(orders!D238,[1]products!$A$1:$G$49, 2,FALSE)</f>
        <v>Lib</v>
      </c>
      <c r="J238" s="11" t="str">
        <f>VLOOKUP(orders!D238,[1]products!$A$1:$G$49, 3,FALSE)</f>
        <v>D</v>
      </c>
      <c r="K238" s="12">
        <f>VLOOKUP(orders!D238,[1]products!$A$1:$G$49, 4,FALSE)</f>
        <v>2.5</v>
      </c>
      <c r="L238" s="12">
        <f>VLOOKUP(orders!D238,[1]products!$A$1:$G$49, 5,FALSE)</f>
        <v>29.784999999999997</v>
      </c>
      <c r="M238" s="13">
        <f>PRODUCT(orders!$E238,orders!$L238)</f>
        <v>89.35499999999999</v>
      </c>
      <c r="N238" s="11" t="str">
        <f t="shared" si="6"/>
        <v>February</v>
      </c>
      <c r="O238" s="11">
        <f t="shared" si="7"/>
        <v>2020</v>
      </c>
      <c r="P238" s="11" t="str">
        <f>TEXT(orders!$B238, "DDD")</f>
        <v>Wed</v>
      </c>
      <c r="Q238" s="11" t="str">
        <f>VLOOKUP(orders!C238,[1]customers!$A$1:$I$1001, 6,FALSE)</f>
        <v>D煤n Laoghaire</v>
      </c>
    </row>
    <row r="239" spans="1:17" x14ac:dyDescent="0.3">
      <c r="A239" s="14" t="s">
        <v>506</v>
      </c>
      <c r="B239" s="15">
        <v>44563</v>
      </c>
      <c r="C239" s="16" t="s">
        <v>507</v>
      </c>
      <c r="D239" s="17" t="s">
        <v>199</v>
      </c>
      <c r="E239" s="16">
        <v>1</v>
      </c>
      <c r="F239" s="9" t="str">
        <f>VLOOKUP(C239,[1]customers!$A$1:$I$1001, 2, FALSE)</f>
        <v>Craggy Bril</v>
      </c>
      <c r="G239" s="16">
        <f>VLOOKUP(orders!C239,[1]customers!$A$1:$I$1001, 3, FALSE)</f>
        <v>0</v>
      </c>
      <c r="H239" s="16" t="str">
        <f>VLOOKUP(C239, [1]customers!$A$1:$I$1001, 7, FALSE)</f>
        <v>United States</v>
      </c>
      <c r="I239" s="18" t="str">
        <f>VLOOKUP(orders!D239,[1]products!$A$1:$G$49, 2,FALSE)</f>
        <v>Rob</v>
      </c>
      <c r="J239" s="18" t="str">
        <f>VLOOKUP(orders!D239,[1]products!$A$1:$G$49, 3,FALSE)</f>
        <v>L</v>
      </c>
      <c r="K239" s="19">
        <f>VLOOKUP(orders!D239,[1]products!$A$1:$G$49, 4,FALSE)</f>
        <v>0.2</v>
      </c>
      <c r="L239" s="19">
        <f>VLOOKUP(orders!D239,[1]products!$A$1:$G$49, 5,FALSE)</f>
        <v>3.5849999999999995</v>
      </c>
      <c r="M239" s="13">
        <f>PRODUCT(orders!$E239,orders!$L239)</f>
        <v>3.5849999999999995</v>
      </c>
      <c r="N239" s="18" t="str">
        <f t="shared" si="6"/>
        <v>January</v>
      </c>
      <c r="O239" s="18">
        <f t="shared" si="7"/>
        <v>2022</v>
      </c>
      <c r="P239" s="11" t="str">
        <f>TEXT(orders!$B239, "DDD")</f>
        <v>Sun</v>
      </c>
      <c r="Q239" s="11" t="str">
        <f>VLOOKUP(orders!C239,[1]customers!$A$1:$I$1001, 6,FALSE)</f>
        <v>Cincinnati</v>
      </c>
    </row>
    <row r="240" spans="1:17" x14ac:dyDescent="0.3">
      <c r="A240" s="7" t="s">
        <v>508</v>
      </c>
      <c r="B240" s="8">
        <v>44172</v>
      </c>
      <c r="C240" s="9" t="s">
        <v>509</v>
      </c>
      <c r="D240" s="10" t="s">
        <v>58</v>
      </c>
      <c r="E240" s="9">
        <v>2</v>
      </c>
      <c r="F240" s="9" t="str">
        <f>VLOOKUP(C240,[1]customers!$A$1:$I$1001, 2, FALSE)</f>
        <v>Friederike Drysdale</v>
      </c>
      <c r="G240" s="9" t="str">
        <f>VLOOKUP(orders!C240,[1]customers!$A$1:$I$1001, 3, FALSE)</f>
        <v>fdrysdale6m@symantec.com</v>
      </c>
      <c r="H240" s="9" t="str">
        <f>VLOOKUP(C240, [1]customers!$A$1:$I$1001, 7, FALSE)</f>
        <v>United States</v>
      </c>
      <c r="I240" s="11" t="str">
        <f>VLOOKUP(orders!D240,[1]products!$A$1:$G$49, 2,FALSE)</f>
        <v>Rob</v>
      </c>
      <c r="J240" s="11" t="str">
        <f>VLOOKUP(orders!D240,[1]products!$A$1:$G$49, 3,FALSE)</f>
        <v>M</v>
      </c>
      <c r="K240" s="12">
        <f>VLOOKUP(orders!D240,[1]products!$A$1:$G$49, 4,FALSE)</f>
        <v>2.5</v>
      </c>
      <c r="L240" s="12">
        <f>VLOOKUP(orders!D240,[1]products!$A$1:$G$49, 5,FALSE)</f>
        <v>22.884999999999998</v>
      </c>
      <c r="M240" s="13">
        <f>PRODUCT(orders!$E240,orders!$L240)</f>
        <v>45.769999999999996</v>
      </c>
      <c r="N240" s="11" t="str">
        <f t="shared" si="6"/>
        <v>December</v>
      </c>
      <c r="O240" s="11">
        <f t="shared" si="7"/>
        <v>2020</v>
      </c>
      <c r="P240" s="11" t="str">
        <f>TEXT(orders!$B240, "DDD")</f>
        <v>Mon</v>
      </c>
      <c r="Q240" s="11" t="str">
        <f>VLOOKUP(orders!C240,[1]customers!$A$1:$I$1001, 6,FALSE)</f>
        <v>Midland</v>
      </c>
    </row>
    <row r="241" spans="1:17" x14ac:dyDescent="0.3">
      <c r="A241" s="14" t="s">
        <v>510</v>
      </c>
      <c r="B241" s="15">
        <v>43881</v>
      </c>
      <c r="C241" s="16" t="s">
        <v>511</v>
      </c>
      <c r="D241" s="17" t="s">
        <v>154</v>
      </c>
      <c r="E241" s="16">
        <v>4</v>
      </c>
      <c r="F241" s="9" t="str">
        <f>VLOOKUP(C241,[1]customers!$A$1:$I$1001, 2, FALSE)</f>
        <v>Devon Magowan</v>
      </c>
      <c r="G241" s="16" t="str">
        <f>VLOOKUP(orders!C241,[1]customers!$A$1:$I$1001, 3, FALSE)</f>
        <v>dmagowan6n@fc2.com</v>
      </c>
      <c r="H241" s="16" t="str">
        <f>VLOOKUP(C241, [1]customers!$A$1:$I$1001, 7, FALSE)</f>
        <v>United States</v>
      </c>
      <c r="I241" s="18" t="str">
        <f>VLOOKUP(orders!D241,[1]products!$A$1:$G$49, 2,FALSE)</f>
        <v>Exc</v>
      </c>
      <c r="J241" s="18" t="str">
        <f>VLOOKUP(orders!D241,[1]products!$A$1:$G$49, 3,FALSE)</f>
        <v>L</v>
      </c>
      <c r="K241" s="19">
        <f>VLOOKUP(orders!D241,[1]products!$A$1:$G$49, 4,FALSE)</f>
        <v>1</v>
      </c>
      <c r="L241" s="19">
        <f>VLOOKUP(orders!D241,[1]products!$A$1:$G$49, 5,FALSE)</f>
        <v>14.85</v>
      </c>
      <c r="M241" s="13">
        <f>PRODUCT(orders!$E241,orders!$L241)</f>
        <v>59.4</v>
      </c>
      <c r="N241" s="18" t="str">
        <f t="shared" si="6"/>
        <v>February</v>
      </c>
      <c r="O241" s="18">
        <f t="shared" si="7"/>
        <v>2020</v>
      </c>
      <c r="P241" s="11" t="str">
        <f>TEXT(orders!$B241, "DDD")</f>
        <v>Thu</v>
      </c>
      <c r="Q241" s="11" t="str">
        <f>VLOOKUP(orders!C241,[1]customers!$A$1:$I$1001, 6,FALSE)</f>
        <v>Cheyenne</v>
      </c>
    </row>
    <row r="242" spans="1:17" x14ac:dyDescent="0.3">
      <c r="A242" s="7" t="s">
        <v>512</v>
      </c>
      <c r="B242" s="8">
        <v>43993</v>
      </c>
      <c r="C242" s="9" t="s">
        <v>513</v>
      </c>
      <c r="D242" s="10" t="s">
        <v>188</v>
      </c>
      <c r="E242" s="9">
        <v>6</v>
      </c>
      <c r="F242" s="9" t="str">
        <f>VLOOKUP(C242,[1]customers!$A$1:$I$1001, 2, FALSE)</f>
        <v>Codi Littrell</v>
      </c>
      <c r="G242" s="9">
        <f>VLOOKUP(orders!C242,[1]customers!$A$1:$I$1001, 3, FALSE)</f>
        <v>0</v>
      </c>
      <c r="H242" s="9" t="str">
        <f>VLOOKUP(C242, [1]customers!$A$1:$I$1001, 7, FALSE)</f>
        <v>United States</v>
      </c>
      <c r="I242" s="11" t="str">
        <f>VLOOKUP(orders!D242,[1]products!$A$1:$G$49, 2,FALSE)</f>
        <v>Ara</v>
      </c>
      <c r="J242" s="11" t="str">
        <f>VLOOKUP(orders!D242,[1]products!$A$1:$G$49, 3,FALSE)</f>
        <v>M</v>
      </c>
      <c r="K242" s="12">
        <f>VLOOKUP(orders!D242,[1]products!$A$1:$G$49, 4,FALSE)</f>
        <v>2.5</v>
      </c>
      <c r="L242" s="12">
        <f>VLOOKUP(orders!D242,[1]products!$A$1:$G$49, 5,FALSE)</f>
        <v>25.874999999999996</v>
      </c>
      <c r="M242" s="13">
        <f>PRODUCT(orders!$E242,orders!$L242)</f>
        <v>155.24999999999997</v>
      </c>
      <c r="N242" s="11" t="str">
        <f t="shared" si="6"/>
        <v>June</v>
      </c>
      <c r="O242" s="11">
        <f t="shared" si="7"/>
        <v>2020</v>
      </c>
      <c r="P242" s="11" t="str">
        <f>TEXT(orders!$B242, "DDD")</f>
        <v>Thu</v>
      </c>
      <c r="Q242" s="11" t="str">
        <f>VLOOKUP(orders!C242,[1]customers!$A$1:$I$1001, 6,FALSE)</f>
        <v>Atlanta</v>
      </c>
    </row>
    <row r="243" spans="1:17" x14ac:dyDescent="0.3">
      <c r="A243" s="14" t="s">
        <v>514</v>
      </c>
      <c r="B243" s="15">
        <v>44082</v>
      </c>
      <c r="C243" s="16" t="s">
        <v>515</v>
      </c>
      <c r="D243" s="17" t="s">
        <v>58</v>
      </c>
      <c r="E243" s="16">
        <v>2</v>
      </c>
      <c r="F243" s="9" t="str">
        <f>VLOOKUP(C243,[1]customers!$A$1:$I$1001, 2, FALSE)</f>
        <v>Christel Speak</v>
      </c>
      <c r="G243" s="16">
        <f>VLOOKUP(orders!C243,[1]customers!$A$1:$I$1001, 3, FALSE)</f>
        <v>0</v>
      </c>
      <c r="H243" s="16" t="str">
        <f>VLOOKUP(C243, [1]customers!$A$1:$I$1001, 7, FALSE)</f>
        <v>United States</v>
      </c>
      <c r="I243" s="18" t="str">
        <f>VLOOKUP(orders!D243,[1]products!$A$1:$G$49, 2,FALSE)</f>
        <v>Rob</v>
      </c>
      <c r="J243" s="18" t="str">
        <f>VLOOKUP(orders!D243,[1]products!$A$1:$G$49, 3,FALSE)</f>
        <v>M</v>
      </c>
      <c r="K243" s="19">
        <f>VLOOKUP(orders!D243,[1]products!$A$1:$G$49, 4,FALSE)</f>
        <v>2.5</v>
      </c>
      <c r="L243" s="19">
        <f>VLOOKUP(orders!D243,[1]products!$A$1:$G$49, 5,FALSE)</f>
        <v>22.884999999999998</v>
      </c>
      <c r="M243" s="13">
        <f>PRODUCT(orders!$E243,orders!$L243)</f>
        <v>45.769999999999996</v>
      </c>
      <c r="N243" s="18" t="str">
        <f t="shared" si="6"/>
        <v>September</v>
      </c>
      <c r="O243" s="18">
        <f t="shared" si="7"/>
        <v>2020</v>
      </c>
      <c r="P243" s="11" t="str">
        <f>TEXT(orders!$B243, "DDD")</f>
        <v>Tue</v>
      </c>
      <c r="Q243" s="11" t="str">
        <f>VLOOKUP(orders!C243,[1]customers!$A$1:$I$1001, 6,FALSE)</f>
        <v>Duluth</v>
      </c>
    </row>
    <row r="244" spans="1:17" x14ac:dyDescent="0.3">
      <c r="A244" s="7" t="s">
        <v>516</v>
      </c>
      <c r="B244" s="8">
        <v>43918</v>
      </c>
      <c r="C244" s="9" t="s">
        <v>517</v>
      </c>
      <c r="D244" s="10" t="s">
        <v>262</v>
      </c>
      <c r="E244" s="9">
        <v>3</v>
      </c>
      <c r="F244" s="9" t="str">
        <f>VLOOKUP(C244,[1]customers!$A$1:$I$1001, 2, FALSE)</f>
        <v>Sibella Rushbrooke</v>
      </c>
      <c r="G244" s="9" t="str">
        <f>VLOOKUP(orders!C244,[1]customers!$A$1:$I$1001, 3, FALSE)</f>
        <v>srushbrooke6q@youku.com</v>
      </c>
      <c r="H244" s="9" t="str">
        <f>VLOOKUP(C244, [1]customers!$A$1:$I$1001, 7, FALSE)</f>
        <v>United States</v>
      </c>
      <c r="I244" s="11" t="str">
        <f>VLOOKUP(orders!D244,[1]products!$A$1:$G$49, 2,FALSE)</f>
        <v>Exc</v>
      </c>
      <c r="J244" s="11" t="str">
        <f>VLOOKUP(orders!D244,[1]products!$A$1:$G$49, 3,FALSE)</f>
        <v>D</v>
      </c>
      <c r="K244" s="12">
        <f>VLOOKUP(orders!D244,[1]products!$A$1:$G$49, 4,FALSE)</f>
        <v>1</v>
      </c>
      <c r="L244" s="12">
        <f>VLOOKUP(orders!D244,[1]products!$A$1:$G$49, 5,FALSE)</f>
        <v>12.15</v>
      </c>
      <c r="M244" s="13">
        <f>PRODUCT(orders!$E244,orders!$L244)</f>
        <v>36.450000000000003</v>
      </c>
      <c r="N244" s="11" t="str">
        <f t="shared" si="6"/>
        <v>March</v>
      </c>
      <c r="O244" s="11">
        <f t="shared" si="7"/>
        <v>2020</v>
      </c>
      <c r="P244" s="11" t="str">
        <f>TEXT(orders!$B244, "DDD")</f>
        <v>Sat</v>
      </c>
      <c r="Q244" s="11" t="str">
        <f>VLOOKUP(orders!C244,[1]customers!$A$1:$I$1001, 6,FALSE)</f>
        <v>Sacramento</v>
      </c>
    </row>
    <row r="245" spans="1:17" x14ac:dyDescent="0.3">
      <c r="A245" s="14" t="s">
        <v>518</v>
      </c>
      <c r="B245" s="15">
        <v>44114</v>
      </c>
      <c r="C245" s="16" t="s">
        <v>519</v>
      </c>
      <c r="D245" s="17" t="s">
        <v>33</v>
      </c>
      <c r="E245" s="16">
        <v>4</v>
      </c>
      <c r="F245" s="9" t="str">
        <f>VLOOKUP(C245,[1]customers!$A$1:$I$1001, 2, FALSE)</f>
        <v>Tammie Drynan</v>
      </c>
      <c r="G245" s="16" t="str">
        <f>VLOOKUP(orders!C245,[1]customers!$A$1:$I$1001, 3, FALSE)</f>
        <v>tdrynan6r@deviantart.com</v>
      </c>
      <c r="H245" s="16" t="str">
        <f>VLOOKUP(C245, [1]customers!$A$1:$I$1001, 7, FALSE)</f>
        <v>United States</v>
      </c>
      <c r="I245" s="18" t="str">
        <f>VLOOKUP(orders!D245,[1]products!$A$1:$G$49, 2,FALSE)</f>
        <v>Exc</v>
      </c>
      <c r="J245" s="18" t="str">
        <f>VLOOKUP(orders!D245,[1]products!$A$1:$G$49, 3,FALSE)</f>
        <v>D</v>
      </c>
      <c r="K245" s="19">
        <f>VLOOKUP(orders!D245,[1]products!$A$1:$G$49, 4,FALSE)</f>
        <v>0.5</v>
      </c>
      <c r="L245" s="19">
        <f>VLOOKUP(orders!D245,[1]products!$A$1:$G$49, 5,FALSE)</f>
        <v>7.29</v>
      </c>
      <c r="M245" s="13">
        <f>PRODUCT(orders!$E245,orders!$L245)</f>
        <v>29.16</v>
      </c>
      <c r="N245" s="18" t="str">
        <f t="shared" si="6"/>
        <v>October</v>
      </c>
      <c r="O245" s="18">
        <f t="shared" si="7"/>
        <v>2020</v>
      </c>
      <c r="P245" s="11" t="str">
        <f>TEXT(orders!$B245, "DDD")</f>
        <v>Sat</v>
      </c>
      <c r="Q245" s="11" t="str">
        <f>VLOOKUP(orders!C245,[1]customers!$A$1:$I$1001, 6,FALSE)</f>
        <v>Tampa</v>
      </c>
    </row>
    <row r="246" spans="1:17" x14ac:dyDescent="0.3">
      <c r="A246" s="7" t="s">
        <v>520</v>
      </c>
      <c r="B246" s="8">
        <v>44702</v>
      </c>
      <c r="C246" s="9" t="s">
        <v>521</v>
      </c>
      <c r="D246" s="10" t="s">
        <v>214</v>
      </c>
      <c r="E246" s="9">
        <v>4</v>
      </c>
      <c r="F246" s="9" t="str">
        <f>VLOOKUP(C246,[1]customers!$A$1:$I$1001, 2, FALSE)</f>
        <v>Effie Yurkov</v>
      </c>
      <c r="G246" s="9" t="str">
        <f>VLOOKUP(orders!C246,[1]customers!$A$1:$I$1001, 3, FALSE)</f>
        <v>eyurkov6s@hud.gov</v>
      </c>
      <c r="H246" s="9" t="str">
        <f>VLOOKUP(C246, [1]customers!$A$1:$I$1001, 7, FALSE)</f>
        <v>United States</v>
      </c>
      <c r="I246" s="11" t="str">
        <f>VLOOKUP(orders!D246,[1]products!$A$1:$G$49, 2,FALSE)</f>
        <v>Lib</v>
      </c>
      <c r="J246" s="11" t="str">
        <f>VLOOKUP(orders!D246,[1]products!$A$1:$G$49, 3,FALSE)</f>
        <v>M</v>
      </c>
      <c r="K246" s="12">
        <f>VLOOKUP(orders!D246,[1]products!$A$1:$G$49, 4,FALSE)</f>
        <v>2.5</v>
      </c>
      <c r="L246" s="12">
        <f>VLOOKUP(orders!D246,[1]products!$A$1:$G$49, 5,FALSE)</f>
        <v>33.464999999999996</v>
      </c>
      <c r="M246" s="13">
        <f>PRODUCT(orders!$E246,orders!$L246)</f>
        <v>133.85999999999999</v>
      </c>
      <c r="N246" s="11" t="str">
        <f t="shared" si="6"/>
        <v>May</v>
      </c>
      <c r="O246" s="11">
        <f t="shared" si="7"/>
        <v>2022</v>
      </c>
      <c r="P246" s="11" t="str">
        <f>TEXT(orders!$B246, "DDD")</f>
        <v>Sat</v>
      </c>
      <c r="Q246" s="11" t="str">
        <f>VLOOKUP(orders!C246,[1]customers!$A$1:$I$1001, 6,FALSE)</f>
        <v>Honolulu</v>
      </c>
    </row>
    <row r="247" spans="1:17" x14ac:dyDescent="0.3">
      <c r="A247" s="14" t="s">
        <v>522</v>
      </c>
      <c r="B247" s="15">
        <v>43951</v>
      </c>
      <c r="C247" s="16" t="s">
        <v>523</v>
      </c>
      <c r="D247" s="17" t="s">
        <v>36</v>
      </c>
      <c r="E247" s="16">
        <v>5</v>
      </c>
      <c r="F247" s="9" t="str">
        <f>VLOOKUP(C247,[1]customers!$A$1:$I$1001, 2, FALSE)</f>
        <v>Lexie Mallan</v>
      </c>
      <c r="G247" s="16" t="str">
        <f>VLOOKUP(orders!C247,[1]customers!$A$1:$I$1001, 3, FALSE)</f>
        <v>lmallan6t@state.gov</v>
      </c>
      <c r="H247" s="16" t="str">
        <f>VLOOKUP(C247, [1]customers!$A$1:$I$1001, 7, FALSE)</f>
        <v>United States</v>
      </c>
      <c r="I247" s="18" t="str">
        <f>VLOOKUP(orders!D247,[1]products!$A$1:$G$49, 2,FALSE)</f>
        <v>Lib</v>
      </c>
      <c r="J247" s="18" t="str">
        <f>VLOOKUP(orders!D247,[1]products!$A$1:$G$49, 3,FALSE)</f>
        <v>L</v>
      </c>
      <c r="K247" s="19">
        <f>VLOOKUP(orders!D247,[1]products!$A$1:$G$49, 4,FALSE)</f>
        <v>0.2</v>
      </c>
      <c r="L247" s="19">
        <f>VLOOKUP(orders!D247,[1]products!$A$1:$G$49, 5,FALSE)</f>
        <v>4.7549999999999999</v>
      </c>
      <c r="M247" s="13">
        <f>PRODUCT(orders!$E247,orders!$L247)</f>
        <v>23.774999999999999</v>
      </c>
      <c r="N247" s="18" t="str">
        <f t="shared" si="6"/>
        <v>April</v>
      </c>
      <c r="O247" s="18">
        <f t="shared" si="7"/>
        <v>2020</v>
      </c>
      <c r="P247" s="11" t="str">
        <f>TEXT(orders!$B247, "DDD")</f>
        <v>Thu</v>
      </c>
      <c r="Q247" s="11" t="str">
        <f>VLOOKUP(orders!C247,[1]customers!$A$1:$I$1001, 6,FALSE)</f>
        <v>Baton Rouge</v>
      </c>
    </row>
    <row r="248" spans="1:17" x14ac:dyDescent="0.3">
      <c r="A248" s="7" t="s">
        <v>524</v>
      </c>
      <c r="B248" s="8">
        <v>44542</v>
      </c>
      <c r="C248" s="9" t="s">
        <v>525</v>
      </c>
      <c r="D248" s="10" t="s">
        <v>30</v>
      </c>
      <c r="E248" s="9">
        <v>3</v>
      </c>
      <c r="F248" s="9" t="str">
        <f>VLOOKUP(C248,[1]customers!$A$1:$I$1001, 2, FALSE)</f>
        <v>Georgena Bentjens</v>
      </c>
      <c r="G248" s="9" t="str">
        <f>VLOOKUP(orders!C248,[1]customers!$A$1:$I$1001, 3, FALSE)</f>
        <v>gbentjens6u@netlog.com</v>
      </c>
      <c r="H248" s="9" t="str">
        <f>VLOOKUP(C248, [1]customers!$A$1:$I$1001, 7, FALSE)</f>
        <v>United Kingdom</v>
      </c>
      <c r="I248" s="11" t="str">
        <f>VLOOKUP(orders!D248,[1]products!$A$1:$G$49, 2,FALSE)</f>
        <v>Lib</v>
      </c>
      <c r="J248" s="11" t="str">
        <f>VLOOKUP(orders!D248,[1]products!$A$1:$G$49, 3,FALSE)</f>
        <v>D</v>
      </c>
      <c r="K248" s="12">
        <f>VLOOKUP(orders!D248,[1]products!$A$1:$G$49, 4,FALSE)</f>
        <v>1</v>
      </c>
      <c r="L248" s="12">
        <f>VLOOKUP(orders!D248,[1]products!$A$1:$G$49, 5,FALSE)</f>
        <v>12.95</v>
      </c>
      <c r="M248" s="13">
        <f>PRODUCT(orders!$E248,orders!$L248)</f>
        <v>38.849999999999994</v>
      </c>
      <c r="N248" s="11" t="str">
        <f t="shared" si="6"/>
        <v>December</v>
      </c>
      <c r="O248" s="11">
        <f t="shared" si="7"/>
        <v>2021</v>
      </c>
      <c r="P248" s="11" t="str">
        <f>TEXT(orders!$B248, "DDD")</f>
        <v>Sun</v>
      </c>
      <c r="Q248" s="11" t="str">
        <f>VLOOKUP(orders!C248,[1]customers!$A$1:$I$1001, 6,FALSE)</f>
        <v>Newbiggin</v>
      </c>
    </row>
    <row r="249" spans="1:17" x14ac:dyDescent="0.3">
      <c r="A249" s="14" t="s">
        <v>526</v>
      </c>
      <c r="B249" s="15">
        <v>44131</v>
      </c>
      <c r="C249" s="16" t="s">
        <v>527</v>
      </c>
      <c r="D249" s="17" t="s">
        <v>199</v>
      </c>
      <c r="E249" s="16">
        <v>6</v>
      </c>
      <c r="F249" s="9" t="str">
        <f>VLOOKUP(C249,[1]customers!$A$1:$I$1001, 2, FALSE)</f>
        <v>Delmar Beasant</v>
      </c>
      <c r="G249" s="16">
        <f>VLOOKUP(orders!C249,[1]customers!$A$1:$I$1001, 3, FALSE)</f>
        <v>0</v>
      </c>
      <c r="H249" s="16" t="str">
        <f>VLOOKUP(C249, [1]customers!$A$1:$I$1001, 7, FALSE)</f>
        <v>Ireland</v>
      </c>
      <c r="I249" s="18" t="str">
        <f>VLOOKUP(orders!D249,[1]products!$A$1:$G$49, 2,FALSE)</f>
        <v>Rob</v>
      </c>
      <c r="J249" s="18" t="str">
        <f>VLOOKUP(orders!D249,[1]products!$A$1:$G$49, 3,FALSE)</f>
        <v>L</v>
      </c>
      <c r="K249" s="19">
        <f>VLOOKUP(orders!D249,[1]products!$A$1:$G$49, 4,FALSE)</f>
        <v>0.2</v>
      </c>
      <c r="L249" s="19">
        <f>VLOOKUP(orders!D249,[1]products!$A$1:$G$49, 5,FALSE)</f>
        <v>3.5849999999999995</v>
      </c>
      <c r="M249" s="13">
        <f>PRODUCT(orders!$E249,orders!$L249)</f>
        <v>21.509999999999998</v>
      </c>
      <c r="N249" s="18" t="str">
        <f t="shared" si="6"/>
        <v>October</v>
      </c>
      <c r="O249" s="18">
        <f t="shared" si="7"/>
        <v>2020</v>
      </c>
      <c r="P249" s="11" t="str">
        <f>TEXT(orders!$B249, "DDD")</f>
        <v>Tue</v>
      </c>
      <c r="Q249" s="11" t="str">
        <f>VLOOKUP(orders!C249,[1]customers!$A$1:$I$1001, 6,FALSE)</f>
        <v>Kilkenny</v>
      </c>
    </row>
    <row r="250" spans="1:17" x14ac:dyDescent="0.3">
      <c r="A250" s="7" t="s">
        <v>528</v>
      </c>
      <c r="B250" s="8">
        <v>44019</v>
      </c>
      <c r="C250" s="9" t="s">
        <v>529</v>
      </c>
      <c r="D250" s="10" t="s">
        <v>44</v>
      </c>
      <c r="E250" s="9">
        <v>1</v>
      </c>
      <c r="F250" s="9" t="str">
        <f>VLOOKUP(C250,[1]customers!$A$1:$I$1001, 2, FALSE)</f>
        <v>Lyn Entwistle</v>
      </c>
      <c r="G250" s="9" t="str">
        <f>VLOOKUP(orders!C250,[1]customers!$A$1:$I$1001, 3, FALSE)</f>
        <v>lentwistle6w@omniture.com</v>
      </c>
      <c r="H250" s="9" t="str">
        <f>VLOOKUP(C250, [1]customers!$A$1:$I$1001, 7, FALSE)</f>
        <v>United States</v>
      </c>
      <c r="I250" s="11" t="str">
        <f>VLOOKUP(orders!D250,[1]products!$A$1:$G$49, 2,FALSE)</f>
        <v>Ara</v>
      </c>
      <c r="J250" s="11" t="str">
        <f>VLOOKUP(orders!D250,[1]products!$A$1:$G$49, 3,FALSE)</f>
        <v>D</v>
      </c>
      <c r="K250" s="12">
        <f>VLOOKUP(orders!D250,[1]products!$A$1:$G$49, 4,FALSE)</f>
        <v>1</v>
      </c>
      <c r="L250" s="12">
        <f>VLOOKUP(orders!D250,[1]products!$A$1:$G$49, 5,FALSE)</f>
        <v>9.9499999999999993</v>
      </c>
      <c r="M250" s="13">
        <f>PRODUCT(orders!$E250,orders!$L250)</f>
        <v>9.9499999999999993</v>
      </c>
      <c r="N250" s="11" t="str">
        <f t="shared" si="6"/>
        <v>July</v>
      </c>
      <c r="O250" s="11">
        <f t="shared" si="7"/>
        <v>2020</v>
      </c>
      <c r="P250" s="11" t="str">
        <f>TEXT(orders!$B250, "DDD")</f>
        <v>Tue</v>
      </c>
      <c r="Q250" s="11" t="str">
        <f>VLOOKUP(orders!C250,[1]customers!$A$1:$I$1001, 6,FALSE)</f>
        <v>Minneapolis</v>
      </c>
    </row>
    <row r="251" spans="1:17" x14ac:dyDescent="0.3">
      <c r="A251" s="14" t="s">
        <v>530</v>
      </c>
      <c r="B251" s="15">
        <v>43861</v>
      </c>
      <c r="C251" s="16" t="s">
        <v>531</v>
      </c>
      <c r="D251" s="17" t="s">
        <v>149</v>
      </c>
      <c r="E251" s="16">
        <v>1</v>
      </c>
      <c r="F251" s="9" t="str">
        <f>VLOOKUP(C251,[1]customers!$A$1:$I$1001, 2, FALSE)</f>
        <v>Zacharias Kiffe</v>
      </c>
      <c r="G251" s="16" t="str">
        <f>VLOOKUP(orders!C251,[1]customers!$A$1:$I$1001, 3, FALSE)</f>
        <v>zkiffe74@cyberchimps.com</v>
      </c>
      <c r="H251" s="16" t="str">
        <f>VLOOKUP(C251, [1]customers!$A$1:$I$1001, 7, FALSE)</f>
        <v>United States</v>
      </c>
      <c r="I251" s="18" t="str">
        <f>VLOOKUP(orders!D251,[1]products!$A$1:$G$49, 2,FALSE)</f>
        <v>Lib</v>
      </c>
      <c r="J251" s="18" t="str">
        <f>VLOOKUP(orders!D251,[1]products!$A$1:$G$49, 3,FALSE)</f>
        <v>L</v>
      </c>
      <c r="K251" s="19">
        <f>VLOOKUP(orders!D251,[1]products!$A$1:$G$49, 4,FALSE)</f>
        <v>1</v>
      </c>
      <c r="L251" s="19">
        <f>VLOOKUP(orders!D251,[1]products!$A$1:$G$49, 5,FALSE)</f>
        <v>15.85</v>
      </c>
      <c r="M251" s="13">
        <f>PRODUCT(orders!$E251,orders!$L251)</f>
        <v>15.85</v>
      </c>
      <c r="N251" s="18" t="str">
        <f t="shared" si="6"/>
        <v>January</v>
      </c>
      <c r="O251" s="18">
        <f t="shared" si="7"/>
        <v>2020</v>
      </c>
      <c r="P251" s="11" t="str">
        <f>TEXT(orders!$B251, "DDD")</f>
        <v>Fri</v>
      </c>
      <c r="Q251" s="11" t="str">
        <f>VLOOKUP(orders!C251,[1]customers!$A$1:$I$1001, 6,FALSE)</f>
        <v>Milwaukee</v>
      </c>
    </row>
    <row r="252" spans="1:17" x14ac:dyDescent="0.3">
      <c r="A252" s="7" t="s">
        <v>532</v>
      </c>
      <c r="B252" s="8">
        <v>43879</v>
      </c>
      <c r="C252" s="9" t="s">
        <v>533</v>
      </c>
      <c r="D252" s="10" t="s">
        <v>179</v>
      </c>
      <c r="E252" s="9">
        <v>1</v>
      </c>
      <c r="F252" s="9" t="str">
        <f>VLOOKUP(C252,[1]customers!$A$1:$I$1001, 2, FALSE)</f>
        <v>Mercedes Acott</v>
      </c>
      <c r="G252" s="9" t="str">
        <f>VLOOKUP(orders!C252,[1]customers!$A$1:$I$1001, 3, FALSE)</f>
        <v>macott6y@pagesperso-orange.fr</v>
      </c>
      <c r="H252" s="9" t="str">
        <f>VLOOKUP(C252, [1]customers!$A$1:$I$1001, 7, FALSE)</f>
        <v>United States</v>
      </c>
      <c r="I252" s="11" t="str">
        <f>VLOOKUP(orders!D252,[1]products!$A$1:$G$49, 2,FALSE)</f>
        <v>Rob</v>
      </c>
      <c r="J252" s="11" t="str">
        <f>VLOOKUP(orders!D252,[1]products!$A$1:$G$49, 3,FALSE)</f>
        <v>M</v>
      </c>
      <c r="K252" s="12">
        <f>VLOOKUP(orders!D252,[1]products!$A$1:$G$49, 4,FALSE)</f>
        <v>0.2</v>
      </c>
      <c r="L252" s="12">
        <f>VLOOKUP(orders!D252,[1]products!$A$1:$G$49, 5,FALSE)</f>
        <v>2.9849999999999999</v>
      </c>
      <c r="M252" s="13">
        <f>PRODUCT(orders!$E252,orders!$L252)</f>
        <v>2.9849999999999999</v>
      </c>
      <c r="N252" s="11" t="str">
        <f t="shared" si="6"/>
        <v>February</v>
      </c>
      <c r="O252" s="11">
        <f t="shared" si="7"/>
        <v>2020</v>
      </c>
      <c r="P252" s="11" t="str">
        <f>TEXT(orders!$B252, "DDD")</f>
        <v>Tue</v>
      </c>
      <c r="Q252" s="11" t="str">
        <f>VLOOKUP(orders!C252,[1]customers!$A$1:$I$1001, 6,FALSE)</f>
        <v>Charlotte</v>
      </c>
    </row>
    <row r="253" spans="1:17" x14ac:dyDescent="0.3">
      <c r="A253" s="14" t="s">
        <v>534</v>
      </c>
      <c r="B253" s="15">
        <v>44360</v>
      </c>
      <c r="C253" s="16" t="s">
        <v>535</v>
      </c>
      <c r="D253" s="17" t="s">
        <v>26</v>
      </c>
      <c r="E253" s="16">
        <v>5</v>
      </c>
      <c r="F253" s="9" t="str">
        <f>VLOOKUP(C253,[1]customers!$A$1:$I$1001, 2, FALSE)</f>
        <v>Connor Heaviside</v>
      </c>
      <c r="G253" s="16" t="str">
        <f>VLOOKUP(orders!C253,[1]customers!$A$1:$I$1001, 3, FALSE)</f>
        <v>cheaviside6z@rediff.com</v>
      </c>
      <c r="H253" s="16" t="str">
        <f>VLOOKUP(C253, [1]customers!$A$1:$I$1001, 7, FALSE)</f>
        <v>United States</v>
      </c>
      <c r="I253" s="18" t="str">
        <f>VLOOKUP(orders!D253,[1]products!$A$1:$G$49, 2,FALSE)</f>
        <v>Exc</v>
      </c>
      <c r="J253" s="18" t="str">
        <f>VLOOKUP(orders!D253,[1]products!$A$1:$G$49, 3,FALSE)</f>
        <v>M</v>
      </c>
      <c r="K253" s="19">
        <f>VLOOKUP(orders!D253,[1]products!$A$1:$G$49, 4,FALSE)</f>
        <v>1</v>
      </c>
      <c r="L253" s="19">
        <f>VLOOKUP(orders!D253,[1]products!$A$1:$G$49, 5,FALSE)</f>
        <v>13.75</v>
      </c>
      <c r="M253" s="13">
        <f>PRODUCT(orders!$E253,orders!$L253)</f>
        <v>68.75</v>
      </c>
      <c r="N253" s="18" t="str">
        <f t="shared" si="6"/>
        <v>June</v>
      </c>
      <c r="O253" s="18">
        <f t="shared" si="7"/>
        <v>2021</v>
      </c>
      <c r="P253" s="11" t="str">
        <f>TEXT(orders!$B253, "DDD")</f>
        <v>Sun</v>
      </c>
      <c r="Q253" s="11" t="str">
        <f>VLOOKUP(orders!C253,[1]customers!$A$1:$I$1001, 6,FALSE)</f>
        <v>Phoenix</v>
      </c>
    </row>
    <row r="254" spans="1:17" x14ac:dyDescent="0.3">
      <c r="A254" s="7" t="s">
        <v>536</v>
      </c>
      <c r="B254" s="8">
        <v>44779</v>
      </c>
      <c r="C254" s="9" t="s">
        <v>537</v>
      </c>
      <c r="D254" s="10" t="s">
        <v>44</v>
      </c>
      <c r="E254" s="9">
        <v>3</v>
      </c>
      <c r="F254" s="9" t="str">
        <f>VLOOKUP(C254,[1]customers!$A$1:$I$1001, 2, FALSE)</f>
        <v>Devy Bulbrook</v>
      </c>
      <c r="G254" s="9">
        <f>VLOOKUP(orders!C254,[1]customers!$A$1:$I$1001, 3, FALSE)</f>
        <v>0</v>
      </c>
      <c r="H254" s="9" t="str">
        <f>VLOOKUP(C254, [1]customers!$A$1:$I$1001, 7, FALSE)</f>
        <v>United States</v>
      </c>
      <c r="I254" s="11" t="str">
        <f>VLOOKUP(orders!D254,[1]products!$A$1:$G$49, 2,FALSE)</f>
        <v>Ara</v>
      </c>
      <c r="J254" s="11" t="str">
        <f>VLOOKUP(orders!D254,[1]products!$A$1:$G$49, 3,FALSE)</f>
        <v>D</v>
      </c>
      <c r="K254" s="12">
        <f>VLOOKUP(orders!D254,[1]products!$A$1:$G$49, 4,FALSE)</f>
        <v>1</v>
      </c>
      <c r="L254" s="12">
        <f>VLOOKUP(orders!D254,[1]products!$A$1:$G$49, 5,FALSE)</f>
        <v>9.9499999999999993</v>
      </c>
      <c r="M254" s="13">
        <f>PRODUCT(orders!$E254,orders!$L254)</f>
        <v>29.849999999999998</v>
      </c>
      <c r="N254" s="11" t="str">
        <f t="shared" si="6"/>
        <v>August</v>
      </c>
      <c r="O254" s="11">
        <f t="shared" si="7"/>
        <v>2022</v>
      </c>
      <c r="P254" s="11" t="str">
        <f>TEXT(orders!$B254, "DDD")</f>
        <v>Sat</v>
      </c>
      <c r="Q254" s="11" t="str">
        <f>VLOOKUP(orders!C254,[1]customers!$A$1:$I$1001, 6,FALSE)</f>
        <v>Jamaica</v>
      </c>
    </row>
    <row r="255" spans="1:17" x14ac:dyDescent="0.3">
      <c r="A255" s="14" t="s">
        <v>538</v>
      </c>
      <c r="B255" s="15">
        <v>44523</v>
      </c>
      <c r="C255" s="16" t="s">
        <v>539</v>
      </c>
      <c r="D255" s="17" t="s">
        <v>113</v>
      </c>
      <c r="E255" s="16">
        <v>4</v>
      </c>
      <c r="F255" s="9" t="str">
        <f>VLOOKUP(C255,[1]customers!$A$1:$I$1001, 2, FALSE)</f>
        <v>Leia Kernan</v>
      </c>
      <c r="G255" s="16" t="str">
        <f>VLOOKUP(orders!C255,[1]customers!$A$1:$I$1001, 3, FALSE)</f>
        <v>lkernan71@wsj.com</v>
      </c>
      <c r="H255" s="16" t="str">
        <f>VLOOKUP(C255, [1]customers!$A$1:$I$1001, 7, FALSE)</f>
        <v>United States</v>
      </c>
      <c r="I255" s="18" t="str">
        <f>VLOOKUP(orders!D255,[1]products!$A$1:$G$49, 2,FALSE)</f>
        <v>Lib</v>
      </c>
      <c r="J255" s="18" t="str">
        <f>VLOOKUP(orders!D255,[1]products!$A$1:$G$49, 3,FALSE)</f>
        <v>M</v>
      </c>
      <c r="K255" s="19">
        <f>VLOOKUP(orders!D255,[1]products!$A$1:$G$49, 4,FALSE)</f>
        <v>1</v>
      </c>
      <c r="L255" s="19">
        <f>VLOOKUP(orders!D255,[1]products!$A$1:$G$49, 5,FALSE)</f>
        <v>14.55</v>
      </c>
      <c r="M255" s="13">
        <f>PRODUCT(orders!$E255,orders!$L255)</f>
        <v>58.2</v>
      </c>
      <c r="N255" s="18" t="str">
        <f t="shared" si="6"/>
        <v>November</v>
      </c>
      <c r="O255" s="18">
        <f t="shared" si="7"/>
        <v>2021</v>
      </c>
      <c r="P255" s="11" t="str">
        <f>TEXT(orders!$B255, "DDD")</f>
        <v>Tue</v>
      </c>
      <c r="Q255" s="11" t="str">
        <f>VLOOKUP(orders!C255,[1]customers!$A$1:$I$1001, 6,FALSE)</f>
        <v>Champaign</v>
      </c>
    </row>
    <row r="256" spans="1:17" x14ac:dyDescent="0.3">
      <c r="A256" s="7" t="s">
        <v>540</v>
      </c>
      <c r="B256" s="8">
        <v>44482</v>
      </c>
      <c r="C256" s="9" t="s">
        <v>541</v>
      </c>
      <c r="D256" s="10" t="s">
        <v>174</v>
      </c>
      <c r="E256" s="9">
        <v>4</v>
      </c>
      <c r="F256" s="9" t="str">
        <f>VLOOKUP(C256,[1]customers!$A$1:$I$1001, 2, FALSE)</f>
        <v>Rosaline McLae</v>
      </c>
      <c r="G256" s="9" t="str">
        <f>VLOOKUP(orders!C256,[1]customers!$A$1:$I$1001, 3, FALSE)</f>
        <v>rmclae72@dailymotion.com</v>
      </c>
      <c r="H256" s="9" t="str">
        <f>VLOOKUP(C256, [1]customers!$A$1:$I$1001, 7, FALSE)</f>
        <v>United Kingdom</v>
      </c>
      <c r="I256" s="11" t="str">
        <f>VLOOKUP(orders!D256,[1]products!$A$1:$G$49, 2,FALSE)</f>
        <v>Rob</v>
      </c>
      <c r="J256" s="11" t="str">
        <f>VLOOKUP(orders!D256,[1]products!$A$1:$G$49, 3,FALSE)</f>
        <v>L</v>
      </c>
      <c r="K256" s="12">
        <f>VLOOKUP(orders!D256,[1]products!$A$1:$G$49, 4,FALSE)</f>
        <v>0.5</v>
      </c>
      <c r="L256" s="12">
        <f>VLOOKUP(orders!D256,[1]products!$A$1:$G$49, 5,FALSE)</f>
        <v>7.169999999999999</v>
      </c>
      <c r="M256" s="13">
        <f>PRODUCT(orders!$E256,orders!$L256)</f>
        <v>28.679999999999996</v>
      </c>
      <c r="N256" s="11" t="str">
        <f t="shared" si="6"/>
        <v>October</v>
      </c>
      <c r="O256" s="11">
        <f t="shared" si="7"/>
        <v>2021</v>
      </c>
      <c r="P256" s="11" t="str">
        <f>TEXT(orders!$B256, "DDD")</f>
        <v>Wed</v>
      </c>
      <c r="Q256" s="11" t="str">
        <f>VLOOKUP(orders!C256,[1]customers!$A$1:$I$1001, 6,FALSE)</f>
        <v>Swindon</v>
      </c>
    </row>
    <row r="257" spans="1:17" x14ac:dyDescent="0.3">
      <c r="A257" s="14" t="s">
        <v>542</v>
      </c>
      <c r="B257" s="15">
        <v>44439</v>
      </c>
      <c r="C257" s="16" t="s">
        <v>543</v>
      </c>
      <c r="D257" s="17" t="s">
        <v>174</v>
      </c>
      <c r="E257" s="16">
        <v>3</v>
      </c>
      <c r="F257" s="9" t="str">
        <f>VLOOKUP(C257,[1]customers!$A$1:$I$1001, 2, FALSE)</f>
        <v>Cleve Blowfelde</v>
      </c>
      <c r="G257" s="16" t="str">
        <f>VLOOKUP(orders!C257,[1]customers!$A$1:$I$1001, 3, FALSE)</f>
        <v>cblowfelde73@ustream.tv</v>
      </c>
      <c r="H257" s="16" t="str">
        <f>VLOOKUP(C257, [1]customers!$A$1:$I$1001, 7, FALSE)</f>
        <v>United States</v>
      </c>
      <c r="I257" s="18" t="str">
        <f>VLOOKUP(orders!D257,[1]products!$A$1:$G$49, 2,FALSE)</f>
        <v>Rob</v>
      </c>
      <c r="J257" s="18" t="str">
        <f>VLOOKUP(orders!D257,[1]products!$A$1:$G$49, 3,FALSE)</f>
        <v>L</v>
      </c>
      <c r="K257" s="19">
        <f>VLOOKUP(orders!D257,[1]products!$A$1:$G$49, 4,FALSE)</f>
        <v>0.5</v>
      </c>
      <c r="L257" s="19">
        <f>VLOOKUP(orders!D257,[1]products!$A$1:$G$49, 5,FALSE)</f>
        <v>7.169999999999999</v>
      </c>
      <c r="M257" s="13">
        <f>PRODUCT(orders!$E257,orders!$L257)</f>
        <v>21.509999999999998</v>
      </c>
      <c r="N257" s="18" t="str">
        <f t="shared" si="6"/>
        <v>August</v>
      </c>
      <c r="O257" s="18">
        <f t="shared" si="7"/>
        <v>2021</v>
      </c>
      <c r="P257" s="11" t="str">
        <f>TEXT(orders!$B257, "DDD")</f>
        <v>Tue</v>
      </c>
      <c r="Q257" s="11" t="str">
        <f>VLOOKUP(orders!C257,[1]customers!$A$1:$I$1001, 6,FALSE)</f>
        <v>Tucson</v>
      </c>
    </row>
    <row r="258" spans="1:17" x14ac:dyDescent="0.3">
      <c r="A258" s="7" t="s">
        <v>544</v>
      </c>
      <c r="B258" s="8">
        <v>43846</v>
      </c>
      <c r="C258" s="9" t="s">
        <v>531</v>
      </c>
      <c r="D258" s="10" t="s">
        <v>95</v>
      </c>
      <c r="E258" s="9">
        <v>2</v>
      </c>
      <c r="F258" s="9" t="str">
        <f>VLOOKUP(C258,[1]customers!$A$1:$I$1001, 2, FALSE)</f>
        <v>Zacharias Kiffe</v>
      </c>
      <c r="G258" s="9" t="str">
        <f>VLOOKUP(orders!C258,[1]customers!$A$1:$I$1001, 3, FALSE)</f>
        <v>zkiffe74@cyberchimps.com</v>
      </c>
      <c r="H258" s="9" t="str">
        <f>VLOOKUP(C258, [1]customers!$A$1:$I$1001, 7, FALSE)</f>
        <v>United States</v>
      </c>
      <c r="I258" s="11" t="str">
        <f>VLOOKUP(orders!D258,[1]products!$A$1:$G$49, 2,FALSE)</f>
        <v>Lib</v>
      </c>
      <c r="J258" s="11" t="str">
        <f>VLOOKUP(orders!D258,[1]products!$A$1:$G$49, 3,FALSE)</f>
        <v>M</v>
      </c>
      <c r="K258" s="12">
        <f>VLOOKUP(orders!D258,[1]products!$A$1:$G$49, 4,FALSE)</f>
        <v>0.5</v>
      </c>
      <c r="L258" s="12">
        <f>VLOOKUP(orders!D258,[1]products!$A$1:$G$49, 5,FALSE)</f>
        <v>8.73</v>
      </c>
      <c r="M258" s="13">
        <f>PRODUCT(orders!$E258,orders!$L258)</f>
        <v>17.46</v>
      </c>
      <c r="N258" s="11" t="str">
        <f t="shared" ref="N258:N321" si="8">TEXT(B258, "mmmm")</f>
        <v>January</v>
      </c>
      <c r="O258" s="11">
        <f t="shared" ref="O258:O321" si="9">YEAR(B258)</f>
        <v>2020</v>
      </c>
      <c r="P258" s="11" t="str">
        <f>TEXT(orders!$B258, "DDD")</f>
        <v>Thu</v>
      </c>
      <c r="Q258" s="11" t="str">
        <f>VLOOKUP(orders!C258,[1]customers!$A$1:$I$1001, 6,FALSE)</f>
        <v>Milwaukee</v>
      </c>
    </row>
    <row r="259" spans="1:17" x14ac:dyDescent="0.3">
      <c r="A259" s="14" t="s">
        <v>545</v>
      </c>
      <c r="B259" s="15">
        <v>44676</v>
      </c>
      <c r="C259" s="16" t="s">
        <v>546</v>
      </c>
      <c r="D259" s="17" t="s">
        <v>547</v>
      </c>
      <c r="E259" s="16">
        <v>1</v>
      </c>
      <c r="F259" s="9" t="str">
        <f>VLOOKUP(C259,[1]customers!$A$1:$I$1001, 2, FALSE)</f>
        <v>Denyse O'Calleran</v>
      </c>
      <c r="G259" s="16" t="str">
        <f>VLOOKUP(orders!C259,[1]customers!$A$1:$I$1001, 3, FALSE)</f>
        <v>docalleran75@ucla.edu</v>
      </c>
      <c r="H259" s="16" t="str">
        <f>VLOOKUP(C259, [1]customers!$A$1:$I$1001, 7, FALSE)</f>
        <v>United States</v>
      </c>
      <c r="I259" s="18" t="str">
        <f>VLOOKUP(orders!D259,[1]products!$A$1:$G$49, 2,FALSE)</f>
        <v>Exc</v>
      </c>
      <c r="J259" s="18" t="str">
        <f>VLOOKUP(orders!D259,[1]products!$A$1:$G$49, 3,FALSE)</f>
        <v>D</v>
      </c>
      <c r="K259" s="19">
        <f>VLOOKUP(orders!D259,[1]products!$A$1:$G$49, 4,FALSE)</f>
        <v>2.5</v>
      </c>
      <c r="L259" s="19">
        <f>VLOOKUP(orders!D259,[1]products!$A$1:$G$49, 5,FALSE)</f>
        <v>27.945</v>
      </c>
      <c r="M259" s="13">
        <f>PRODUCT(orders!$E259,orders!$L259)</f>
        <v>27.945</v>
      </c>
      <c r="N259" s="18" t="str">
        <f t="shared" si="8"/>
        <v>April</v>
      </c>
      <c r="O259" s="18">
        <f t="shared" si="9"/>
        <v>2022</v>
      </c>
      <c r="P259" s="11" t="str">
        <f>TEXT(orders!$B259, "DDD")</f>
        <v>Mon</v>
      </c>
      <c r="Q259" s="11" t="str">
        <f>VLOOKUP(orders!C259,[1]customers!$A$1:$I$1001, 6,FALSE)</f>
        <v>Pompano Beach</v>
      </c>
    </row>
    <row r="260" spans="1:17" x14ac:dyDescent="0.3">
      <c r="A260" s="7" t="s">
        <v>548</v>
      </c>
      <c r="B260" s="8">
        <v>44513</v>
      </c>
      <c r="C260" s="9" t="s">
        <v>549</v>
      </c>
      <c r="D260" s="10" t="s">
        <v>547</v>
      </c>
      <c r="E260" s="9">
        <v>5</v>
      </c>
      <c r="F260" s="9" t="str">
        <f>VLOOKUP(C260,[1]customers!$A$1:$I$1001, 2, FALSE)</f>
        <v>Cobby Cromwell</v>
      </c>
      <c r="G260" s="9" t="str">
        <f>VLOOKUP(orders!C260,[1]customers!$A$1:$I$1001, 3, FALSE)</f>
        <v>ccromwell76@desdev.cn</v>
      </c>
      <c r="H260" s="9" t="str">
        <f>VLOOKUP(C260, [1]customers!$A$1:$I$1001, 7, FALSE)</f>
        <v>United States</v>
      </c>
      <c r="I260" s="11" t="str">
        <f>VLOOKUP(orders!D260,[1]products!$A$1:$G$49, 2,FALSE)</f>
        <v>Exc</v>
      </c>
      <c r="J260" s="11" t="str">
        <f>VLOOKUP(orders!D260,[1]products!$A$1:$G$49, 3,FALSE)</f>
        <v>D</v>
      </c>
      <c r="K260" s="12">
        <f>VLOOKUP(orders!D260,[1]products!$A$1:$G$49, 4,FALSE)</f>
        <v>2.5</v>
      </c>
      <c r="L260" s="12">
        <f>VLOOKUP(orders!D260,[1]products!$A$1:$G$49, 5,FALSE)</f>
        <v>27.945</v>
      </c>
      <c r="M260" s="13">
        <f>PRODUCT(orders!$E260,orders!$L260)</f>
        <v>139.72499999999999</v>
      </c>
      <c r="N260" s="11" t="str">
        <f t="shared" si="8"/>
        <v>November</v>
      </c>
      <c r="O260" s="11">
        <f t="shared" si="9"/>
        <v>2021</v>
      </c>
      <c r="P260" s="11" t="str">
        <f>TEXT(orders!$B260, "DDD")</f>
        <v>Sat</v>
      </c>
      <c r="Q260" s="11" t="str">
        <f>VLOOKUP(orders!C260,[1]customers!$A$1:$I$1001, 6,FALSE)</f>
        <v>Whittier</v>
      </c>
    </row>
    <row r="261" spans="1:17" x14ac:dyDescent="0.3">
      <c r="A261" s="14" t="s">
        <v>550</v>
      </c>
      <c r="B261" s="15">
        <v>44355</v>
      </c>
      <c r="C261" s="16" t="s">
        <v>551</v>
      </c>
      <c r="D261" s="17" t="s">
        <v>179</v>
      </c>
      <c r="E261" s="16">
        <v>2</v>
      </c>
      <c r="F261" s="9" t="str">
        <f>VLOOKUP(C261,[1]customers!$A$1:$I$1001, 2, FALSE)</f>
        <v>Irv Hay</v>
      </c>
      <c r="G261" s="16" t="str">
        <f>VLOOKUP(orders!C261,[1]customers!$A$1:$I$1001, 3, FALSE)</f>
        <v>ihay77@lulu.com</v>
      </c>
      <c r="H261" s="16" t="str">
        <f>VLOOKUP(C261, [1]customers!$A$1:$I$1001, 7, FALSE)</f>
        <v>United Kingdom</v>
      </c>
      <c r="I261" s="18" t="str">
        <f>VLOOKUP(orders!D261,[1]products!$A$1:$G$49, 2,FALSE)</f>
        <v>Rob</v>
      </c>
      <c r="J261" s="18" t="str">
        <f>VLOOKUP(orders!D261,[1]products!$A$1:$G$49, 3,FALSE)</f>
        <v>M</v>
      </c>
      <c r="K261" s="19">
        <f>VLOOKUP(orders!D261,[1]products!$A$1:$G$49, 4,FALSE)</f>
        <v>0.2</v>
      </c>
      <c r="L261" s="19">
        <f>VLOOKUP(orders!D261,[1]products!$A$1:$G$49, 5,FALSE)</f>
        <v>2.9849999999999999</v>
      </c>
      <c r="M261" s="13">
        <f>PRODUCT(orders!$E261,orders!$L261)</f>
        <v>5.97</v>
      </c>
      <c r="N261" s="18" t="str">
        <f t="shared" si="8"/>
        <v>June</v>
      </c>
      <c r="O261" s="18">
        <f t="shared" si="9"/>
        <v>2021</v>
      </c>
      <c r="P261" s="11" t="str">
        <f>TEXT(orders!$B261, "DDD")</f>
        <v>Tue</v>
      </c>
      <c r="Q261" s="11" t="str">
        <f>VLOOKUP(orders!C261,[1]customers!$A$1:$I$1001, 6,FALSE)</f>
        <v>Sheffield</v>
      </c>
    </row>
    <row r="262" spans="1:17" x14ac:dyDescent="0.3">
      <c r="A262" s="7" t="s">
        <v>552</v>
      </c>
      <c r="B262" s="8">
        <v>44156</v>
      </c>
      <c r="C262" s="9" t="s">
        <v>553</v>
      </c>
      <c r="D262" s="10" t="s">
        <v>27</v>
      </c>
      <c r="E262" s="9">
        <v>1</v>
      </c>
      <c r="F262" s="9" t="str">
        <f>VLOOKUP(C262,[1]customers!$A$1:$I$1001, 2, FALSE)</f>
        <v>Tani Taffarello</v>
      </c>
      <c r="G262" s="9" t="str">
        <f>VLOOKUP(orders!C262,[1]customers!$A$1:$I$1001, 3, FALSE)</f>
        <v>ttaffarello78@sciencedaily.com</v>
      </c>
      <c r="H262" s="9" t="str">
        <f>VLOOKUP(C262, [1]customers!$A$1:$I$1001, 7, FALSE)</f>
        <v>United States</v>
      </c>
      <c r="I262" s="11" t="str">
        <f>VLOOKUP(orders!D262,[1]products!$A$1:$G$49, 2,FALSE)</f>
        <v>Rob</v>
      </c>
      <c r="J262" s="11" t="str">
        <f>VLOOKUP(orders!D262,[1]products!$A$1:$G$49, 3,FALSE)</f>
        <v>L</v>
      </c>
      <c r="K262" s="12">
        <f>VLOOKUP(orders!D262,[1]products!$A$1:$G$49, 4,FALSE)</f>
        <v>2.5</v>
      </c>
      <c r="L262" s="12">
        <f>VLOOKUP(orders!D262,[1]products!$A$1:$G$49, 5,FALSE)</f>
        <v>27.484999999999996</v>
      </c>
      <c r="M262" s="13">
        <f>PRODUCT(orders!$E262,orders!$L262)</f>
        <v>27.484999999999996</v>
      </c>
      <c r="N262" s="11" t="str">
        <f t="shared" si="8"/>
        <v>November</v>
      </c>
      <c r="O262" s="11">
        <f t="shared" si="9"/>
        <v>2020</v>
      </c>
      <c r="P262" s="11" t="str">
        <f>TEXT(orders!$B262, "DDD")</f>
        <v>Sat</v>
      </c>
      <c r="Q262" s="11" t="str">
        <f>VLOOKUP(orders!C262,[1]customers!$A$1:$I$1001, 6,FALSE)</f>
        <v>Saint Louis</v>
      </c>
    </row>
    <row r="263" spans="1:17" x14ac:dyDescent="0.3">
      <c r="A263" s="14" t="s">
        <v>554</v>
      </c>
      <c r="B263" s="15">
        <v>43538</v>
      </c>
      <c r="C263" s="16" t="s">
        <v>555</v>
      </c>
      <c r="D263" s="17" t="s">
        <v>206</v>
      </c>
      <c r="E263" s="16">
        <v>5</v>
      </c>
      <c r="F263" s="9" t="str">
        <f>VLOOKUP(C263,[1]customers!$A$1:$I$1001, 2, FALSE)</f>
        <v>Monique Canty</v>
      </c>
      <c r="G263" s="16" t="str">
        <f>VLOOKUP(orders!C263,[1]customers!$A$1:$I$1001, 3, FALSE)</f>
        <v>mcanty79@jigsy.com</v>
      </c>
      <c r="H263" s="16" t="str">
        <f>VLOOKUP(C263, [1]customers!$A$1:$I$1001, 7, FALSE)</f>
        <v>United States</v>
      </c>
      <c r="I263" s="18" t="str">
        <f>VLOOKUP(orders!D263,[1]products!$A$1:$G$49, 2,FALSE)</f>
        <v>Rob</v>
      </c>
      <c r="J263" s="18" t="str">
        <f>VLOOKUP(orders!D263,[1]products!$A$1:$G$49, 3,FALSE)</f>
        <v>L</v>
      </c>
      <c r="K263" s="19">
        <f>VLOOKUP(orders!D263,[1]products!$A$1:$G$49, 4,FALSE)</f>
        <v>1</v>
      </c>
      <c r="L263" s="19">
        <f>VLOOKUP(orders!D263,[1]products!$A$1:$G$49, 5,FALSE)</f>
        <v>11.95</v>
      </c>
      <c r="M263" s="13">
        <f>PRODUCT(orders!$E263,orders!$L263)</f>
        <v>59.75</v>
      </c>
      <c r="N263" s="18" t="str">
        <f t="shared" si="8"/>
        <v>March</v>
      </c>
      <c r="O263" s="18">
        <f t="shared" si="9"/>
        <v>2019</v>
      </c>
      <c r="P263" s="11" t="str">
        <f>TEXT(orders!$B263, "DDD")</f>
        <v>Thu</v>
      </c>
      <c r="Q263" s="11" t="str">
        <f>VLOOKUP(orders!C263,[1]customers!$A$1:$I$1001, 6,FALSE)</f>
        <v>Erie</v>
      </c>
    </row>
    <row r="264" spans="1:17" x14ac:dyDescent="0.3">
      <c r="A264" s="7" t="s">
        <v>556</v>
      </c>
      <c r="B264" s="8">
        <v>43693</v>
      </c>
      <c r="C264" s="9" t="s">
        <v>557</v>
      </c>
      <c r="D264" s="10" t="s">
        <v>26</v>
      </c>
      <c r="E264" s="9">
        <v>3</v>
      </c>
      <c r="F264" s="9" t="str">
        <f>VLOOKUP(C264,[1]customers!$A$1:$I$1001, 2, FALSE)</f>
        <v>Javier Kopke</v>
      </c>
      <c r="G264" s="9" t="str">
        <f>VLOOKUP(orders!C264,[1]customers!$A$1:$I$1001, 3, FALSE)</f>
        <v>jkopke7a@auda.org.au</v>
      </c>
      <c r="H264" s="9" t="str">
        <f>VLOOKUP(C264, [1]customers!$A$1:$I$1001, 7, FALSE)</f>
        <v>United States</v>
      </c>
      <c r="I264" s="11" t="str">
        <f>VLOOKUP(orders!D264,[1]products!$A$1:$G$49, 2,FALSE)</f>
        <v>Exc</v>
      </c>
      <c r="J264" s="11" t="str">
        <f>VLOOKUP(orders!D264,[1]products!$A$1:$G$49, 3,FALSE)</f>
        <v>M</v>
      </c>
      <c r="K264" s="12">
        <f>VLOOKUP(orders!D264,[1]products!$A$1:$G$49, 4,FALSE)</f>
        <v>1</v>
      </c>
      <c r="L264" s="12">
        <f>VLOOKUP(orders!D264,[1]products!$A$1:$G$49, 5,FALSE)</f>
        <v>13.75</v>
      </c>
      <c r="M264" s="13">
        <f>PRODUCT(orders!$E264,orders!$L264)</f>
        <v>41.25</v>
      </c>
      <c r="N264" s="11" t="str">
        <f t="shared" si="8"/>
        <v>August</v>
      </c>
      <c r="O264" s="11">
        <f t="shared" si="9"/>
        <v>2019</v>
      </c>
      <c r="P264" s="11" t="str">
        <f>TEXT(orders!$B264, "DDD")</f>
        <v>Fri</v>
      </c>
      <c r="Q264" s="11" t="str">
        <f>VLOOKUP(orders!C264,[1]customers!$A$1:$I$1001, 6,FALSE)</f>
        <v>Tacoma</v>
      </c>
    </row>
    <row r="265" spans="1:17" x14ac:dyDescent="0.3">
      <c r="A265" s="14" t="s">
        <v>558</v>
      </c>
      <c r="B265" s="15">
        <v>43577</v>
      </c>
      <c r="C265" s="16" t="s">
        <v>559</v>
      </c>
      <c r="D265" s="17" t="s">
        <v>214</v>
      </c>
      <c r="E265" s="16">
        <v>4</v>
      </c>
      <c r="F265" s="9" t="str">
        <f>VLOOKUP(C265,[1]customers!$A$1:$I$1001, 2, FALSE)</f>
        <v>Mar McIver</v>
      </c>
      <c r="G265" s="16">
        <f>VLOOKUP(orders!C265,[1]customers!$A$1:$I$1001, 3, FALSE)</f>
        <v>0</v>
      </c>
      <c r="H265" s="16" t="str">
        <f>VLOOKUP(C265, [1]customers!$A$1:$I$1001, 7, FALSE)</f>
        <v>United States</v>
      </c>
      <c r="I265" s="18" t="str">
        <f>VLOOKUP(orders!D265,[1]products!$A$1:$G$49, 2,FALSE)</f>
        <v>Lib</v>
      </c>
      <c r="J265" s="18" t="str">
        <f>VLOOKUP(orders!D265,[1]products!$A$1:$G$49, 3,FALSE)</f>
        <v>M</v>
      </c>
      <c r="K265" s="19">
        <f>VLOOKUP(orders!D265,[1]products!$A$1:$G$49, 4,FALSE)</f>
        <v>2.5</v>
      </c>
      <c r="L265" s="19">
        <f>VLOOKUP(orders!D265,[1]products!$A$1:$G$49, 5,FALSE)</f>
        <v>33.464999999999996</v>
      </c>
      <c r="M265" s="13">
        <f>PRODUCT(orders!$E265,orders!$L265)</f>
        <v>133.85999999999999</v>
      </c>
      <c r="N265" s="18" t="str">
        <f t="shared" si="8"/>
        <v>April</v>
      </c>
      <c r="O265" s="18">
        <f t="shared" si="9"/>
        <v>2019</v>
      </c>
      <c r="P265" s="11" t="str">
        <f>TEXT(orders!$B265, "DDD")</f>
        <v>Mon</v>
      </c>
      <c r="Q265" s="11" t="str">
        <f>VLOOKUP(orders!C265,[1]customers!$A$1:$I$1001, 6,FALSE)</f>
        <v>Richmond</v>
      </c>
    </row>
    <row r="266" spans="1:17" x14ac:dyDescent="0.3">
      <c r="A266" s="7" t="s">
        <v>560</v>
      </c>
      <c r="B266" s="8">
        <v>44683</v>
      </c>
      <c r="C266" s="9" t="s">
        <v>561</v>
      </c>
      <c r="D266" s="10" t="s">
        <v>206</v>
      </c>
      <c r="E266" s="9">
        <v>5</v>
      </c>
      <c r="F266" s="9" t="str">
        <f>VLOOKUP(C266,[1]customers!$A$1:$I$1001, 2, FALSE)</f>
        <v>Arabella Fransewich</v>
      </c>
      <c r="G266" s="9">
        <f>VLOOKUP(orders!C266,[1]customers!$A$1:$I$1001, 3, FALSE)</f>
        <v>0</v>
      </c>
      <c r="H266" s="9" t="str">
        <f>VLOOKUP(C266, [1]customers!$A$1:$I$1001, 7, FALSE)</f>
        <v>Ireland</v>
      </c>
      <c r="I266" s="11" t="str">
        <f>VLOOKUP(orders!D266,[1]products!$A$1:$G$49, 2,FALSE)</f>
        <v>Rob</v>
      </c>
      <c r="J266" s="11" t="str">
        <f>VLOOKUP(orders!D266,[1]products!$A$1:$G$49, 3,FALSE)</f>
        <v>L</v>
      </c>
      <c r="K266" s="12">
        <f>VLOOKUP(orders!D266,[1]products!$A$1:$G$49, 4,FALSE)</f>
        <v>1</v>
      </c>
      <c r="L266" s="12">
        <f>VLOOKUP(orders!D266,[1]products!$A$1:$G$49, 5,FALSE)</f>
        <v>11.95</v>
      </c>
      <c r="M266" s="13">
        <f>PRODUCT(orders!$E266,orders!$L266)</f>
        <v>59.75</v>
      </c>
      <c r="N266" s="11" t="str">
        <f t="shared" si="8"/>
        <v>May</v>
      </c>
      <c r="O266" s="11">
        <f t="shared" si="9"/>
        <v>2022</v>
      </c>
      <c r="P266" s="11" t="str">
        <f>TEXT(orders!$B266, "DDD")</f>
        <v>Mon</v>
      </c>
      <c r="Q266" s="11" t="str">
        <f>VLOOKUP(orders!C266,[1]customers!$A$1:$I$1001, 6,FALSE)</f>
        <v>Kinsealy-Drinan</v>
      </c>
    </row>
    <row r="267" spans="1:17" x14ac:dyDescent="0.3">
      <c r="A267" s="14" t="s">
        <v>562</v>
      </c>
      <c r="B267" s="15">
        <v>43872</v>
      </c>
      <c r="C267" s="16" t="s">
        <v>563</v>
      </c>
      <c r="D267" s="17" t="s">
        <v>89</v>
      </c>
      <c r="E267" s="16">
        <v>1</v>
      </c>
      <c r="F267" s="9" t="str">
        <f>VLOOKUP(C267,[1]customers!$A$1:$I$1001, 2, FALSE)</f>
        <v>Violette Hellmore</v>
      </c>
      <c r="G267" s="16" t="str">
        <f>VLOOKUP(orders!C267,[1]customers!$A$1:$I$1001, 3, FALSE)</f>
        <v>vhellmore7d@bbc.co.uk</v>
      </c>
      <c r="H267" s="16" t="str">
        <f>VLOOKUP(C267, [1]customers!$A$1:$I$1001, 7, FALSE)</f>
        <v>United States</v>
      </c>
      <c r="I267" s="18" t="str">
        <f>VLOOKUP(orders!D267,[1]products!$A$1:$G$49, 2,FALSE)</f>
        <v>Ara</v>
      </c>
      <c r="J267" s="18" t="str">
        <f>VLOOKUP(orders!D267,[1]products!$A$1:$G$49, 3,FALSE)</f>
        <v>D</v>
      </c>
      <c r="K267" s="19">
        <f>VLOOKUP(orders!D267,[1]products!$A$1:$G$49, 4,FALSE)</f>
        <v>0.5</v>
      </c>
      <c r="L267" s="19">
        <f>VLOOKUP(orders!D267,[1]products!$A$1:$G$49, 5,FALSE)</f>
        <v>5.97</v>
      </c>
      <c r="M267" s="13">
        <f>PRODUCT(orders!$E267,orders!$L267)</f>
        <v>5.97</v>
      </c>
      <c r="N267" s="18" t="str">
        <f t="shared" si="8"/>
        <v>February</v>
      </c>
      <c r="O267" s="18">
        <f t="shared" si="9"/>
        <v>2020</v>
      </c>
      <c r="P267" s="11" t="str">
        <f>TEXT(orders!$B267, "DDD")</f>
        <v>Tue</v>
      </c>
      <c r="Q267" s="11" t="str">
        <f>VLOOKUP(orders!C267,[1]customers!$A$1:$I$1001, 6,FALSE)</f>
        <v>Little Rock</v>
      </c>
    </row>
    <row r="268" spans="1:17" x14ac:dyDescent="0.3">
      <c r="A268" s="7" t="s">
        <v>564</v>
      </c>
      <c r="B268" s="8">
        <v>44283</v>
      </c>
      <c r="C268" s="9" t="s">
        <v>565</v>
      </c>
      <c r="D268" s="10" t="s">
        <v>262</v>
      </c>
      <c r="E268" s="9">
        <v>2</v>
      </c>
      <c r="F268" s="9" t="str">
        <f>VLOOKUP(C268,[1]customers!$A$1:$I$1001, 2, FALSE)</f>
        <v>Myles Seawright</v>
      </c>
      <c r="G268" s="9" t="str">
        <f>VLOOKUP(orders!C268,[1]customers!$A$1:$I$1001, 3, FALSE)</f>
        <v>mseawright7e@nbcnews.com</v>
      </c>
      <c r="H268" s="9" t="str">
        <f>VLOOKUP(C268, [1]customers!$A$1:$I$1001, 7, FALSE)</f>
        <v>United Kingdom</v>
      </c>
      <c r="I268" s="11" t="str">
        <f>VLOOKUP(orders!D268,[1]products!$A$1:$G$49, 2,FALSE)</f>
        <v>Exc</v>
      </c>
      <c r="J268" s="11" t="str">
        <f>VLOOKUP(orders!D268,[1]products!$A$1:$G$49, 3,FALSE)</f>
        <v>D</v>
      </c>
      <c r="K268" s="12">
        <f>VLOOKUP(orders!D268,[1]products!$A$1:$G$49, 4,FALSE)</f>
        <v>1</v>
      </c>
      <c r="L268" s="12">
        <f>VLOOKUP(orders!D268,[1]products!$A$1:$G$49, 5,FALSE)</f>
        <v>12.15</v>
      </c>
      <c r="M268" s="13">
        <f>PRODUCT(orders!$E268,orders!$L268)</f>
        <v>24.3</v>
      </c>
      <c r="N268" s="11" t="str">
        <f t="shared" si="8"/>
        <v>March</v>
      </c>
      <c r="O268" s="11">
        <f t="shared" si="9"/>
        <v>2021</v>
      </c>
      <c r="P268" s="11" t="str">
        <f>TEXT(orders!$B268, "DDD")</f>
        <v>Sun</v>
      </c>
      <c r="Q268" s="11" t="str">
        <f>VLOOKUP(orders!C268,[1]customers!$A$1:$I$1001, 6,FALSE)</f>
        <v>Newton</v>
      </c>
    </row>
    <row r="269" spans="1:17" x14ac:dyDescent="0.3">
      <c r="A269" s="14" t="s">
        <v>566</v>
      </c>
      <c r="B269" s="15">
        <v>44324</v>
      </c>
      <c r="C269" s="16" t="s">
        <v>567</v>
      </c>
      <c r="D269" s="17" t="s">
        <v>68</v>
      </c>
      <c r="E269" s="16">
        <v>6</v>
      </c>
      <c r="F269" s="9" t="str">
        <f>VLOOKUP(C269,[1]customers!$A$1:$I$1001, 2, FALSE)</f>
        <v>Silvana Northeast</v>
      </c>
      <c r="G269" s="16" t="str">
        <f>VLOOKUP(orders!C269,[1]customers!$A$1:$I$1001, 3, FALSE)</f>
        <v>snortheast7f@mashable.com</v>
      </c>
      <c r="H269" s="16" t="str">
        <f>VLOOKUP(C269, [1]customers!$A$1:$I$1001, 7, FALSE)</f>
        <v>United States</v>
      </c>
      <c r="I269" s="18" t="str">
        <f>VLOOKUP(orders!D269,[1]products!$A$1:$G$49, 2,FALSE)</f>
        <v>Exc</v>
      </c>
      <c r="J269" s="18" t="str">
        <f>VLOOKUP(orders!D269,[1]products!$A$1:$G$49, 3,FALSE)</f>
        <v>D</v>
      </c>
      <c r="K269" s="19">
        <f>VLOOKUP(orders!D269,[1]products!$A$1:$G$49, 4,FALSE)</f>
        <v>0.2</v>
      </c>
      <c r="L269" s="19">
        <f>VLOOKUP(orders!D269,[1]products!$A$1:$G$49, 5,FALSE)</f>
        <v>3.645</v>
      </c>
      <c r="M269" s="13">
        <f>PRODUCT(orders!$E269,orders!$L269)</f>
        <v>21.87</v>
      </c>
      <c r="N269" s="18" t="str">
        <f t="shared" si="8"/>
        <v>May</v>
      </c>
      <c r="O269" s="18">
        <f t="shared" si="9"/>
        <v>2021</v>
      </c>
      <c r="P269" s="11" t="str">
        <f>TEXT(orders!$B269, "DDD")</f>
        <v>Sat</v>
      </c>
      <c r="Q269" s="11" t="str">
        <f>VLOOKUP(orders!C269,[1]customers!$A$1:$I$1001, 6,FALSE)</f>
        <v>Sparks</v>
      </c>
    </row>
    <row r="270" spans="1:17" x14ac:dyDescent="0.3">
      <c r="A270" s="7" t="s">
        <v>568</v>
      </c>
      <c r="B270" s="8">
        <v>43790</v>
      </c>
      <c r="C270" s="9" t="s">
        <v>455</v>
      </c>
      <c r="D270" s="10" t="s">
        <v>44</v>
      </c>
      <c r="E270" s="9">
        <v>2</v>
      </c>
      <c r="F270" s="9" t="str">
        <f>VLOOKUP(C270,[1]customers!$A$1:$I$1001, 2, FALSE)</f>
        <v>Anselma Attwater</v>
      </c>
      <c r="G270" s="9" t="str">
        <f>VLOOKUP(orders!C270,[1]customers!$A$1:$I$1001, 3, FALSE)</f>
        <v>aattwater5u@wikia.com</v>
      </c>
      <c r="H270" s="9" t="str">
        <f>VLOOKUP(C270, [1]customers!$A$1:$I$1001, 7, FALSE)</f>
        <v>United States</v>
      </c>
      <c r="I270" s="11" t="str">
        <f>VLOOKUP(orders!D270,[1]products!$A$1:$G$49, 2,FALSE)</f>
        <v>Ara</v>
      </c>
      <c r="J270" s="11" t="str">
        <f>VLOOKUP(orders!D270,[1]products!$A$1:$G$49, 3,FALSE)</f>
        <v>D</v>
      </c>
      <c r="K270" s="12">
        <f>VLOOKUP(orders!D270,[1]products!$A$1:$G$49, 4,FALSE)</f>
        <v>1</v>
      </c>
      <c r="L270" s="12">
        <f>VLOOKUP(orders!D270,[1]products!$A$1:$G$49, 5,FALSE)</f>
        <v>9.9499999999999993</v>
      </c>
      <c r="M270" s="13">
        <f>PRODUCT(orders!$E270,orders!$L270)</f>
        <v>19.899999999999999</v>
      </c>
      <c r="N270" s="11" t="str">
        <f t="shared" si="8"/>
        <v>November</v>
      </c>
      <c r="O270" s="11">
        <f t="shared" si="9"/>
        <v>2019</v>
      </c>
      <c r="P270" s="11" t="str">
        <f>TEXT(orders!$B270, "DDD")</f>
        <v>Thu</v>
      </c>
      <c r="Q270" s="11" t="str">
        <f>VLOOKUP(orders!C270,[1]customers!$A$1:$I$1001, 6,FALSE)</f>
        <v>Charlottesville</v>
      </c>
    </row>
    <row r="271" spans="1:17" x14ac:dyDescent="0.3">
      <c r="A271" s="14" t="s">
        <v>569</v>
      </c>
      <c r="B271" s="15">
        <v>44333</v>
      </c>
      <c r="C271" s="16" t="s">
        <v>570</v>
      </c>
      <c r="D271" s="17" t="s">
        <v>71</v>
      </c>
      <c r="E271" s="16">
        <v>2</v>
      </c>
      <c r="F271" s="9" t="str">
        <f>VLOOKUP(C271,[1]customers!$A$1:$I$1001, 2, FALSE)</f>
        <v>Monica Fearon</v>
      </c>
      <c r="G271" s="16" t="str">
        <f>VLOOKUP(orders!C271,[1]customers!$A$1:$I$1001, 3, FALSE)</f>
        <v>mfearon7h@reverbnation.com</v>
      </c>
      <c r="H271" s="16" t="str">
        <f>VLOOKUP(C271, [1]customers!$A$1:$I$1001, 7, FALSE)</f>
        <v>United States</v>
      </c>
      <c r="I271" s="18" t="str">
        <f>VLOOKUP(orders!D271,[1]products!$A$1:$G$49, 2,FALSE)</f>
        <v>Ara</v>
      </c>
      <c r="J271" s="18" t="str">
        <f>VLOOKUP(orders!D271,[1]products!$A$1:$G$49, 3,FALSE)</f>
        <v>D</v>
      </c>
      <c r="K271" s="19">
        <f>VLOOKUP(orders!D271,[1]products!$A$1:$G$49, 4,FALSE)</f>
        <v>0.2</v>
      </c>
      <c r="L271" s="19">
        <f>VLOOKUP(orders!D271,[1]products!$A$1:$G$49, 5,FALSE)</f>
        <v>2.9849999999999999</v>
      </c>
      <c r="M271" s="13">
        <f>PRODUCT(orders!$E271,orders!$L271)</f>
        <v>5.97</v>
      </c>
      <c r="N271" s="18" t="str">
        <f t="shared" si="8"/>
        <v>May</v>
      </c>
      <c r="O271" s="18">
        <f t="shared" si="9"/>
        <v>2021</v>
      </c>
      <c r="P271" s="11" t="str">
        <f>TEXT(orders!$B271, "DDD")</f>
        <v>Mon</v>
      </c>
      <c r="Q271" s="11" t="str">
        <f>VLOOKUP(orders!C271,[1]customers!$A$1:$I$1001, 6,FALSE)</f>
        <v>Denton</v>
      </c>
    </row>
    <row r="272" spans="1:17" x14ac:dyDescent="0.3">
      <c r="A272" s="7" t="s">
        <v>571</v>
      </c>
      <c r="B272" s="8">
        <v>43655</v>
      </c>
      <c r="C272" s="9" t="s">
        <v>572</v>
      </c>
      <c r="D272" s="10" t="s">
        <v>33</v>
      </c>
      <c r="E272" s="9">
        <v>1</v>
      </c>
      <c r="F272" s="9" t="str">
        <f>VLOOKUP(C272,[1]customers!$A$1:$I$1001, 2, FALSE)</f>
        <v>Barney Chisnell</v>
      </c>
      <c r="G272" s="9">
        <f>VLOOKUP(orders!C272,[1]customers!$A$1:$I$1001, 3, FALSE)</f>
        <v>0</v>
      </c>
      <c r="H272" s="9" t="str">
        <f>VLOOKUP(C272, [1]customers!$A$1:$I$1001, 7, FALSE)</f>
        <v>Ireland</v>
      </c>
      <c r="I272" s="11" t="str">
        <f>VLOOKUP(orders!D272,[1]products!$A$1:$G$49, 2,FALSE)</f>
        <v>Exc</v>
      </c>
      <c r="J272" s="11" t="str">
        <f>VLOOKUP(orders!D272,[1]products!$A$1:$G$49, 3,FALSE)</f>
        <v>D</v>
      </c>
      <c r="K272" s="12">
        <f>VLOOKUP(orders!D272,[1]products!$A$1:$G$49, 4,FALSE)</f>
        <v>0.5</v>
      </c>
      <c r="L272" s="12">
        <f>VLOOKUP(orders!D272,[1]products!$A$1:$G$49, 5,FALSE)</f>
        <v>7.29</v>
      </c>
      <c r="M272" s="13">
        <f>PRODUCT(orders!$E272,orders!$L272)</f>
        <v>7.29</v>
      </c>
      <c r="N272" s="11" t="str">
        <f t="shared" si="8"/>
        <v>July</v>
      </c>
      <c r="O272" s="11">
        <f t="shared" si="9"/>
        <v>2019</v>
      </c>
      <c r="P272" s="11" t="str">
        <f>TEXT(orders!$B272, "DDD")</f>
        <v>Tue</v>
      </c>
      <c r="Q272" s="11" t="str">
        <f>VLOOKUP(orders!C272,[1]customers!$A$1:$I$1001, 6,FALSE)</f>
        <v>Tullamore</v>
      </c>
    </row>
    <row r="273" spans="1:17" x14ac:dyDescent="0.3">
      <c r="A273" s="14" t="s">
        <v>573</v>
      </c>
      <c r="B273" s="15">
        <v>43971</v>
      </c>
      <c r="C273" s="16" t="s">
        <v>574</v>
      </c>
      <c r="D273" s="17" t="s">
        <v>71</v>
      </c>
      <c r="E273" s="16">
        <v>4</v>
      </c>
      <c r="F273" s="9" t="str">
        <f>VLOOKUP(C273,[1]customers!$A$1:$I$1001, 2, FALSE)</f>
        <v>Jasper Sisneros</v>
      </c>
      <c r="G273" s="16" t="str">
        <f>VLOOKUP(orders!C273,[1]customers!$A$1:$I$1001, 3, FALSE)</f>
        <v>jsisneros7j@a8.net</v>
      </c>
      <c r="H273" s="16" t="str">
        <f>VLOOKUP(C273, [1]customers!$A$1:$I$1001, 7, FALSE)</f>
        <v>United States</v>
      </c>
      <c r="I273" s="18" t="str">
        <f>VLOOKUP(orders!D273,[1]products!$A$1:$G$49, 2,FALSE)</f>
        <v>Ara</v>
      </c>
      <c r="J273" s="18" t="str">
        <f>VLOOKUP(orders!D273,[1]products!$A$1:$G$49, 3,FALSE)</f>
        <v>D</v>
      </c>
      <c r="K273" s="19">
        <f>VLOOKUP(orders!D273,[1]products!$A$1:$G$49, 4,FALSE)</f>
        <v>0.2</v>
      </c>
      <c r="L273" s="19">
        <f>VLOOKUP(orders!D273,[1]products!$A$1:$G$49, 5,FALSE)</f>
        <v>2.9849999999999999</v>
      </c>
      <c r="M273" s="13">
        <f>PRODUCT(orders!$E273,orders!$L273)</f>
        <v>11.94</v>
      </c>
      <c r="N273" s="18" t="str">
        <f t="shared" si="8"/>
        <v>May</v>
      </c>
      <c r="O273" s="18">
        <f t="shared" si="9"/>
        <v>2020</v>
      </c>
      <c r="P273" s="11" t="str">
        <f>TEXT(orders!$B273, "DDD")</f>
        <v>Wed</v>
      </c>
      <c r="Q273" s="11" t="str">
        <f>VLOOKUP(orders!C273,[1]customers!$A$1:$I$1001, 6,FALSE)</f>
        <v>Raleigh</v>
      </c>
    </row>
    <row r="274" spans="1:17" x14ac:dyDescent="0.3">
      <c r="A274" s="7" t="s">
        <v>575</v>
      </c>
      <c r="B274" s="8">
        <v>44435</v>
      </c>
      <c r="C274" s="9" t="s">
        <v>576</v>
      </c>
      <c r="D274" s="10" t="s">
        <v>206</v>
      </c>
      <c r="E274" s="9">
        <v>6</v>
      </c>
      <c r="F274" s="9" t="str">
        <f>VLOOKUP(C274,[1]customers!$A$1:$I$1001, 2, FALSE)</f>
        <v>Zachariah Carlson</v>
      </c>
      <c r="G274" s="9" t="str">
        <f>VLOOKUP(orders!C274,[1]customers!$A$1:$I$1001, 3, FALSE)</f>
        <v>zcarlson7k@bigcartel.com</v>
      </c>
      <c r="H274" s="9" t="str">
        <f>VLOOKUP(C274, [1]customers!$A$1:$I$1001, 7, FALSE)</f>
        <v>Ireland</v>
      </c>
      <c r="I274" s="11" t="str">
        <f>VLOOKUP(orders!D274,[1]products!$A$1:$G$49, 2,FALSE)</f>
        <v>Rob</v>
      </c>
      <c r="J274" s="11" t="str">
        <f>VLOOKUP(orders!D274,[1]products!$A$1:$G$49, 3,FALSE)</f>
        <v>L</v>
      </c>
      <c r="K274" s="12">
        <f>VLOOKUP(orders!D274,[1]products!$A$1:$G$49, 4,FALSE)</f>
        <v>1</v>
      </c>
      <c r="L274" s="12">
        <f>VLOOKUP(orders!D274,[1]products!$A$1:$G$49, 5,FALSE)</f>
        <v>11.95</v>
      </c>
      <c r="M274" s="13">
        <f>PRODUCT(orders!$E274,orders!$L274)</f>
        <v>71.699999999999989</v>
      </c>
      <c r="N274" s="11" t="str">
        <f t="shared" si="8"/>
        <v>August</v>
      </c>
      <c r="O274" s="11">
        <f t="shared" si="9"/>
        <v>2021</v>
      </c>
      <c r="P274" s="11" t="str">
        <f>TEXT(orders!$B274, "DDD")</f>
        <v>Fri</v>
      </c>
      <c r="Q274" s="11" t="str">
        <f>VLOOKUP(orders!C274,[1]customers!$A$1:$I$1001, 6,FALSE)</f>
        <v>Shankill</v>
      </c>
    </row>
    <row r="275" spans="1:17" x14ac:dyDescent="0.3">
      <c r="A275" s="14" t="s">
        <v>577</v>
      </c>
      <c r="B275" s="15">
        <v>44681</v>
      </c>
      <c r="C275" s="16" t="s">
        <v>578</v>
      </c>
      <c r="D275" s="17" t="s">
        <v>132</v>
      </c>
      <c r="E275" s="16">
        <v>2</v>
      </c>
      <c r="F275" s="9" t="str">
        <f>VLOOKUP(C275,[1]customers!$A$1:$I$1001, 2, FALSE)</f>
        <v>Warner Maddox</v>
      </c>
      <c r="G275" s="16" t="str">
        <f>VLOOKUP(orders!C275,[1]customers!$A$1:$I$1001, 3, FALSE)</f>
        <v>wmaddox7l@timesonline.co.uk</v>
      </c>
      <c r="H275" s="16" t="str">
        <f>VLOOKUP(C275, [1]customers!$A$1:$I$1001, 7, FALSE)</f>
        <v>United States</v>
      </c>
      <c r="I275" s="18" t="str">
        <f>VLOOKUP(orders!D275,[1]products!$A$1:$G$49, 2,FALSE)</f>
        <v>Ara</v>
      </c>
      <c r="J275" s="18" t="str">
        <f>VLOOKUP(orders!D275,[1]products!$A$1:$G$49, 3,FALSE)</f>
        <v>L</v>
      </c>
      <c r="K275" s="19">
        <f>VLOOKUP(orders!D275,[1]products!$A$1:$G$49, 4,FALSE)</f>
        <v>0.2</v>
      </c>
      <c r="L275" s="19">
        <f>VLOOKUP(orders!D275,[1]products!$A$1:$G$49, 5,FALSE)</f>
        <v>3.8849999999999998</v>
      </c>
      <c r="M275" s="13">
        <f>PRODUCT(orders!$E275,orders!$L275)</f>
        <v>7.77</v>
      </c>
      <c r="N275" s="18" t="str">
        <f t="shared" si="8"/>
        <v>April</v>
      </c>
      <c r="O275" s="18">
        <f t="shared" si="9"/>
        <v>2022</v>
      </c>
      <c r="P275" s="11" t="str">
        <f>TEXT(orders!$B275, "DDD")</f>
        <v>Sat</v>
      </c>
      <c r="Q275" s="11" t="str">
        <f>VLOOKUP(orders!C275,[1]customers!$A$1:$I$1001, 6,FALSE)</f>
        <v>New York City</v>
      </c>
    </row>
    <row r="276" spans="1:17" x14ac:dyDescent="0.3">
      <c r="A276" s="7" t="s">
        <v>579</v>
      </c>
      <c r="B276" s="8">
        <v>43985</v>
      </c>
      <c r="C276" s="9" t="s">
        <v>580</v>
      </c>
      <c r="D276" s="10" t="s">
        <v>188</v>
      </c>
      <c r="E276" s="9">
        <v>1</v>
      </c>
      <c r="F276" s="9" t="str">
        <f>VLOOKUP(C276,[1]customers!$A$1:$I$1001, 2, FALSE)</f>
        <v>Donnie Hedlestone</v>
      </c>
      <c r="G276" s="9" t="str">
        <f>VLOOKUP(orders!C276,[1]customers!$A$1:$I$1001, 3, FALSE)</f>
        <v>dhedlestone7m@craigslist.org</v>
      </c>
      <c r="H276" s="9" t="str">
        <f>VLOOKUP(C276, [1]customers!$A$1:$I$1001, 7, FALSE)</f>
        <v>United States</v>
      </c>
      <c r="I276" s="11" t="str">
        <f>VLOOKUP(orders!D276,[1]products!$A$1:$G$49, 2,FALSE)</f>
        <v>Ara</v>
      </c>
      <c r="J276" s="11" t="str">
        <f>VLOOKUP(orders!D276,[1]products!$A$1:$G$49, 3,FALSE)</f>
        <v>M</v>
      </c>
      <c r="K276" s="12">
        <f>VLOOKUP(orders!D276,[1]products!$A$1:$G$49, 4,FALSE)</f>
        <v>2.5</v>
      </c>
      <c r="L276" s="12">
        <f>VLOOKUP(orders!D276,[1]products!$A$1:$G$49, 5,FALSE)</f>
        <v>25.874999999999996</v>
      </c>
      <c r="M276" s="13">
        <f>PRODUCT(orders!$E276,orders!$L276)</f>
        <v>25.874999999999996</v>
      </c>
      <c r="N276" s="11" t="str">
        <f t="shared" si="8"/>
        <v>June</v>
      </c>
      <c r="O276" s="11">
        <f t="shared" si="9"/>
        <v>2020</v>
      </c>
      <c r="P276" s="11" t="str">
        <f>TEXT(orders!$B276, "DDD")</f>
        <v>Wed</v>
      </c>
      <c r="Q276" s="11" t="str">
        <f>VLOOKUP(orders!C276,[1]customers!$A$1:$I$1001, 6,FALSE)</f>
        <v>Stamford</v>
      </c>
    </row>
    <row r="277" spans="1:17" x14ac:dyDescent="0.3">
      <c r="A277" s="14" t="s">
        <v>581</v>
      </c>
      <c r="B277" s="15">
        <v>44725</v>
      </c>
      <c r="C277" s="16" t="s">
        <v>582</v>
      </c>
      <c r="D277" s="17" t="s">
        <v>47</v>
      </c>
      <c r="E277" s="16">
        <v>6</v>
      </c>
      <c r="F277" s="9" t="str">
        <f>VLOOKUP(C277,[1]customers!$A$1:$I$1001, 2, FALSE)</f>
        <v>Teddi Crowthe</v>
      </c>
      <c r="G277" s="16" t="str">
        <f>VLOOKUP(orders!C277,[1]customers!$A$1:$I$1001, 3, FALSE)</f>
        <v>tcrowthe7n@europa.eu</v>
      </c>
      <c r="H277" s="16" t="str">
        <f>VLOOKUP(C277, [1]customers!$A$1:$I$1001, 7, FALSE)</f>
        <v>United States</v>
      </c>
      <c r="I277" s="18" t="str">
        <f>VLOOKUP(orders!D277,[1]products!$A$1:$G$49, 2,FALSE)</f>
        <v>Exc</v>
      </c>
      <c r="J277" s="18" t="str">
        <f>VLOOKUP(orders!D277,[1]products!$A$1:$G$49, 3,FALSE)</f>
        <v>L</v>
      </c>
      <c r="K277" s="19">
        <f>VLOOKUP(orders!D277,[1]products!$A$1:$G$49, 4,FALSE)</f>
        <v>2.5</v>
      </c>
      <c r="L277" s="19">
        <f>VLOOKUP(orders!D277,[1]products!$A$1:$G$49, 5,FALSE)</f>
        <v>34.154999999999994</v>
      </c>
      <c r="M277" s="13">
        <f>PRODUCT(orders!$E277,orders!$L277)</f>
        <v>204.92999999999995</v>
      </c>
      <c r="N277" s="18" t="str">
        <f t="shared" si="8"/>
        <v>June</v>
      </c>
      <c r="O277" s="18">
        <f t="shared" si="9"/>
        <v>2022</v>
      </c>
      <c r="P277" s="11" t="str">
        <f>TEXT(orders!$B277, "DDD")</f>
        <v>Mon</v>
      </c>
      <c r="Q277" s="11" t="str">
        <f>VLOOKUP(orders!C277,[1]customers!$A$1:$I$1001, 6,FALSE)</f>
        <v>Toledo</v>
      </c>
    </row>
    <row r="278" spans="1:17" x14ac:dyDescent="0.3">
      <c r="A278" s="7" t="s">
        <v>583</v>
      </c>
      <c r="B278" s="8">
        <v>43992</v>
      </c>
      <c r="C278" s="9" t="s">
        <v>584</v>
      </c>
      <c r="D278" s="10" t="s">
        <v>27</v>
      </c>
      <c r="E278" s="9">
        <v>4</v>
      </c>
      <c r="F278" s="9" t="str">
        <f>VLOOKUP(C278,[1]customers!$A$1:$I$1001, 2, FALSE)</f>
        <v>Dorelia Bury</v>
      </c>
      <c r="G278" s="9" t="str">
        <f>VLOOKUP(orders!C278,[1]customers!$A$1:$I$1001, 3, FALSE)</f>
        <v>dbury7o@tinyurl.com</v>
      </c>
      <c r="H278" s="9" t="str">
        <f>VLOOKUP(C278, [1]customers!$A$1:$I$1001, 7, FALSE)</f>
        <v>Ireland</v>
      </c>
      <c r="I278" s="11" t="str">
        <f>VLOOKUP(orders!D278,[1]products!$A$1:$G$49, 2,FALSE)</f>
        <v>Rob</v>
      </c>
      <c r="J278" s="11" t="str">
        <f>VLOOKUP(orders!D278,[1]products!$A$1:$G$49, 3,FALSE)</f>
        <v>L</v>
      </c>
      <c r="K278" s="12">
        <f>VLOOKUP(orders!D278,[1]products!$A$1:$G$49, 4,FALSE)</f>
        <v>2.5</v>
      </c>
      <c r="L278" s="12">
        <f>VLOOKUP(orders!D278,[1]products!$A$1:$G$49, 5,FALSE)</f>
        <v>27.484999999999996</v>
      </c>
      <c r="M278" s="13">
        <f>PRODUCT(orders!$E278,orders!$L278)</f>
        <v>109.93999999999998</v>
      </c>
      <c r="N278" s="11" t="str">
        <f t="shared" si="8"/>
        <v>June</v>
      </c>
      <c r="O278" s="11">
        <f t="shared" si="9"/>
        <v>2020</v>
      </c>
      <c r="P278" s="11" t="str">
        <f>TEXT(orders!$B278, "DDD")</f>
        <v>Wed</v>
      </c>
      <c r="Q278" s="11" t="str">
        <f>VLOOKUP(orders!C278,[1]customers!$A$1:$I$1001, 6,FALSE)</f>
        <v>Castleblayney</v>
      </c>
    </row>
    <row r="279" spans="1:17" x14ac:dyDescent="0.3">
      <c r="A279" s="14" t="s">
        <v>585</v>
      </c>
      <c r="B279" s="15">
        <v>44183</v>
      </c>
      <c r="C279" s="16" t="s">
        <v>586</v>
      </c>
      <c r="D279" s="17" t="s">
        <v>154</v>
      </c>
      <c r="E279" s="16">
        <v>6</v>
      </c>
      <c r="F279" s="9" t="str">
        <f>VLOOKUP(C279,[1]customers!$A$1:$I$1001, 2, FALSE)</f>
        <v>Gussy Broadbear</v>
      </c>
      <c r="G279" s="16" t="str">
        <f>VLOOKUP(orders!C279,[1]customers!$A$1:$I$1001, 3, FALSE)</f>
        <v>gbroadbear7p@omniture.com</v>
      </c>
      <c r="H279" s="16" t="str">
        <f>VLOOKUP(C279, [1]customers!$A$1:$I$1001, 7, FALSE)</f>
        <v>United States</v>
      </c>
      <c r="I279" s="18" t="str">
        <f>VLOOKUP(orders!D279,[1]products!$A$1:$G$49, 2,FALSE)</f>
        <v>Exc</v>
      </c>
      <c r="J279" s="18" t="str">
        <f>VLOOKUP(orders!D279,[1]products!$A$1:$G$49, 3,FALSE)</f>
        <v>L</v>
      </c>
      <c r="K279" s="19">
        <f>VLOOKUP(orders!D279,[1]products!$A$1:$G$49, 4,FALSE)</f>
        <v>1</v>
      </c>
      <c r="L279" s="19">
        <f>VLOOKUP(orders!D279,[1]products!$A$1:$G$49, 5,FALSE)</f>
        <v>14.85</v>
      </c>
      <c r="M279" s="13">
        <f>PRODUCT(orders!$E279,orders!$L279)</f>
        <v>89.1</v>
      </c>
      <c r="N279" s="18" t="str">
        <f t="shared" si="8"/>
        <v>December</v>
      </c>
      <c r="O279" s="18">
        <f t="shared" si="9"/>
        <v>2020</v>
      </c>
      <c r="P279" s="11" t="str">
        <f>TEXT(orders!$B279, "DDD")</f>
        <v>Fri</v>
      </c>
      <c r="Q279" s="11" t="str">
        <f>VLOOKUP(orders!C279,[1]customers!$A$1:$I$1001, 6,FALSE)</f>
        <v>Columbia</v>
      </c>
    </row>
    <row r="280" spans="1:17" x14ac:dyDescent="0.3">
      <c r="A280" s="7" t="s">
        <v>587</v>
      </c>
      <c r="B280" s="8">
        <v>43708</v>
      </c>
      <c r="C280" s="9" t="s">
        <v>588</v>
      </c>
      <c r="D280" s="10" t="s">
        <v>132</v>
      </c>
      <c r="E280" s="9">
        <v>2</v>
      </c>
      <c r="F280" s="9" t="str">
        <f>VLOOKUP(C280,[1]customers!$A$1:$I$1001, 2, FALSE)</f>
        <v>Emlynne Palfrey</v>
      </c>
      <c r="G280" s="9" t="str">
        <f>VLOOKUP(orders!C280,[1]customers!$A$1:$I$1001, 3, FALSE)</f>
        <v>epalfrey7q@devhub.com</v>
      </c>
      <c r="H280" s="9" t="str">
        <f>VLOOKUP(C280, [1]customers!$A$1:$I$1001, 7, FALSE)</f>
        <v>United States</v>
      </c>
      <c r="I280" s="11" t="str">
        <f>VLOOKUP(orders!D280,[1]products!$A$1:$G$49, 2,FALSE)</f>
        <v>Ara</v>
      </c>
      <c r="J280" s="11" t="str">
        <f>VLOOKUP(orders!D280,[1]products!$A$1:$G$49, 3,FALSE)</f>
        <v>L</v>
      </c>
      <c r="K280" s="12">
        <f>VLOOKUP(orders!D280,[1]products!$A$1:$G$49, 4,FALSE)</f>
        <v>0.2</v>
      </c>
      <c r="L280" s="12">
        <f>VLOOKUP(orders!D280,[1]products!$A$1:$G$49, 5,FALSE)</f>
        <v>3.8849999999999998</v>
      </c>
      <c r="M280" s="13">
        <f>PRODUCT(orders!$E280,orders!$L280)</f>
        <v>7.77</v>
      </c>
      <c r="N280" s="11" t="str">
        <f t="shared" si="8"/>
        <v>August</v>
      </c>
      <c r="O280" s="11">
        <f t="shared" si="9"/>
        <v>2019</v>
      </c>
      <c r="P280" s="11" t="str">
        <f>TEXT(orders!$B280, "DDD")</f>
        <v>Sat</v>
      </c>
      <c r="Q280" s="11" t="str">
        <f>VLOOKUP(orders!C280,[1]customers!$A$1:$I$1001, 6,FALSE)</f>
        <v>Fort Wayne</v>
      </c>
    </row>
    <row r="281" spans="1:17" x14ac:dyDescent="0.3">
      <c r="A281" s="14" t="s">
        <v>589</v>
      </c>
      <c r="B281" s="15">
        <v>43521</v>
      </c>
      <c r="C281" s="16" t="s">
        <v>590</v>
      </c>
      <c r="D281" s="17" t="s">
        <v>214</v>
      </c>
      <c r="E281" s="16">
        <v>1</v>
      </c>
      <c r="F281" s="9" t="str">
        <f>VLOOKUP(C281,[1]customers!$A$1:$I$1001, 2, FALSE)</f>
        <v>Parsifal Metrick</v>
      </c>
      <c r="G281" s="16" t="str">
        <f>VLOOKUP(orders!C281,[1]customers!$A$1:$I$1001, 3, FALSE)</f>
        <v>pmetrick7r@rakuten.co.jp</v>
      </c>
      <c r="H281" s="16" t="str">
        <f>VLOOKUP(C281, [1]customers!$A$1:$I$1001, 7, FALSE)</f>
        <v>United States</v>
      </c>
      <c r="I281" s="18" t="str">
        <f>VLOOKUP(orders!D281,[1]products!$A$1:$G$49, 2,FALSE)</f>
        <v>Lib</v>
      </c>
      <c r="J281" s="18" t="str">
        <f>VLOOKUP(orders!D281,[1]products!$A$1:$G$49, 3,FALSE)</f>
        <v>M</v>
      </c>
      <c r="K281" s="19">
        <f>VLOOKUP(orders!D281,[1]products!$A$1:$G$49, 4,FALSE)</f>
        <v>2.5</v>
      </c>
      <c r="L281" s="19">
        <f>VLOOKUP(orders!D281,[1]products!$A$1:$G$49, 5,FALSE)</f>
        <v>33.464999999999996</v>
      </c>
      <c r="M281" s="13">
        <f>PRODUCT(orders!$E281,orders!$L281)</f>
        <v>33.464999999999996</v>
      </c>
      <c r="N281" s="18" t="str">
        <f t="shared" si="8"/>
        <v>February</v>
      </c>
      <c r="O281" s="18">
        <f t="shared" si="9"/>
        <v>2019</v>
      </c>
      <c r="P281" s="11" t="str">
        <f>TEXT(orders!$B281, "DDD")</f>
        <v>Mon</v>
      </c>
      <c r="Q281" s="11" t="str">
        <f>VLOOKUP(orders!C281,[1]customers!$A$1:$I$1001, 6,FALSE)</f>
        <v>Saint Louis</v>
      </c>
    </row>
    <row r="282" spans="1:17" x14ac:dyDescent="0.3">
      <c r="A282" s="7" t="s">
        <v>591</v>
      </c>
      <c r="B282" s="8">
        <v>44234</v>
      </c>
      <c r="C282" s="9" t="s">
        <v>592</v>
      </c>
      <c r="D282" s="10" t="s">
        <v>20</v>
      </c>
      <c r="E282" s="9">
        <v>5</v>
      </c>
      <c r="F282" s="9" t="str">
        <f>VLOOKUP(C282,[1]customers!$A$1:$I$1001, 2, FALSE)</f>
        <v>Christopher Grieveson</v>
      </c>
      <c r="G282" s="9">
        <f>VLOOKUP(orders!C282,[1]customers!$A$1:$I$1001, 3, FALSE)</f>
        <v>0</v>
      </c>
      <c r="H282" s="9" t="str">
        <f>VLOOKUP(C282, [1]customers!$A$1:$I$1001, 7, FALSE)</f>
        <v>United States</v>
      </c>
      <c r="I282" s="11" t="str">
        <f>VLOOKUP(orders!D282,[1]products!$A$1:$G$49, 2,FALSE)</f>
        <v>Exc</v>
      </c>
      <c r="J282" s="11" t="str">
        <f>VLOOKUP(orders!D282,[1]products!$A$1:$G$49, 3,FALSE)</f>
        <v>M</v>
      </c>
      <c r="K282" s="12">
        <f>VLOOKUP(orders!D282,[1]products!$A$1:$G$49, 4,FALSE)</f>
        <v>0.5</v>
      </c>
      <c r="L282" s="12">
        <f>VLOOKUP(orders!D282,[1]products!$A$1:$G$49, 5,FALSE)</f>
        <v>8.25</v>
      </c>
      <c r="M282" s="13">
        <f>PRODUCT(orders!$E282,orders!$L282)</f>
        <v>41.25</v>
      </c>
      <c r="N282" s="11" t="str">
        <f t="shared" si="8"/>
        <v>February</v>
      </c>
      <c r="O282" s="11">
        <f t="shared" si="9"/>
        <v>2021</v>
      </c>
      <c r="P282" s="11" t="str">
        <f>TEXT(orders!$B282, "DDD")</f>
        <v>Sun</v>
      </c>
      <c r="Q282" s="11" t="str">
        <f>VLOOKUP(orders!C282,[1]customers!$A$1:$I$1001, 6,FALSE)</f>
        <v>Portland</v>
      </c>
    </row>
    <row r="283" spans="1:17" x14ac:dyDescent="0.3">
      <c r="A283" s="14" t="s">
        <v>593</v>
      </c>
      <c r="B283" s="15">
        <v>44210</v>
      </c>
      <c r="C283" s="16" t="s">
        <v>594</v>
      </c>
      <c r="D283" s="17" t="s">
        <v>154</v>
      </c>
      <c r="E283" s="16">
        <v>4</v>
      </c>
      <c r="F283" s="9" t="str">
        <f>VLOOKUP(C283,[1]customers!$A$1:$I$1001, 2, FALSE)</f>
        <v>Karlan Karby</v>
      </c>
      <c r="G283" s="16" t="str">
        <f>VLOOKUP(orders!C283,[1]customers!$A$1:$I$1001, 3, FALSE)</f>
        <v>kkarby7t@sbwire.com</v>
      </c>
      <c r="H283" s="16" t="str">
        <f>VLOOKUP(C283, [1]customers!$A$1:$I$1001, 7, FALSE)</f>
        <v>United States</v>
      </c>
      <c r="I283" s="18" t="str">
        <f>VLOOKUP(orders!D283,[1]products!$A$1:$G$49, 2,FALSE)</f>
        <v>Exc</v>
      </c>
      <c r="J283" s="18" t="str">
        <f>VLOOKUP(orders!D283,[1]products!$A$1:$G$49, 3,FALSE)</f>
        <v>L</v>
      </c>
      <c r="K283" s="19">
        <f>VLOOKUP(orders!D283,[1]products!$A$1:$G$49, 4,FALSE)</f>
        <v>1</v>
      </c>
      <c r="L283" s="19">
        <f>VLOOKUP(orders!D283,[1]products!$A$1:$G$49, 5,FALSE)</f>
        <v>14.85</v>
      </c>
      <c r="M283" s="13">
        <f>PRODUCT(orders!$E283,orders!$L283)</f>
        <v>59.4</v>
      </c>
      <c r="N283" s="18" t="str">
        <f t="shared" si="8"/>
        <v>January</v>
      </c>
      <c r="O283" s="18">
        <f t="shared" si="9"/>
        <v>2021</v>
      </c>
      <c r="P283" s="11" t="str">
        <f>TEXT(orders!$B283, "DDD")</f>
        <v>Thu</v>
      </c>
      <c r="Q283" s="11" t="str">
        <f>VLOOKUP(orders!C283,[1]customers!$A$1:$I$1001, 6,FALSE)</f>
        <v>Boulder</v>
      </c>
    </row>
    <row r="284" spans="1:17" x14ac:dyDescent="0.3">
      <c r="A284" s="7" t="s">
        <v>595</v>
      </c>
      <c r="B284" s="8">
        <v>43520</v>
      </c>
      <c r="C284" s="9" t="s">
        <v>596</v>
      </c>
      <c r="D284" s="10" t="s">
        <v>209</v>
      </c>
      <c r="E284" s="9">
        <v>1</v>
      </c>
      <c r="F284" s="9" t="str">
        <f>VLOOKUP(C284,[1]customers!$A$1:$I$1001, 2, FALSE)</f>
        <v>Flory Crumpe</v>
      </c>
      <c r="G284" s="9" t="str">
        <f>VLOOKUP(orders!C284,[1]customers!$A$1:$I$1001, 3, FALSE)</f>
        <v>fcrumpe7u@ftc.gov</v>
      </c>
      <c r="H284" s="9" t="str">
        <f>VLOOKUP(C284, [1]customers!$A$1:$I$1001, 7, FALSE)</f>
        <v>United Kingdom</v>
      </c>
      <c r="I284" s="11" t="str">
        <f>VLOOKUP(orders!D284,[1]products!$A$1:$G$49, 2,FALSE)</f>
        <v>Ara</v>
      </c>
      <c r="J284" s="11" t="str">
        <f>VLOOKUP(orders!D284,[1]products!$A$1:$G$49, 3,FALSE)</f>
        <v>L</v>
      </c>
      <c r="K284" s="12">
        <f>VLOOKUP(orders!D284,[1]products!$A$1:$G$49, 4,FALSE)</f>
        <v>0.5</v>
      </c>
      <c r="L284" s="12">
        <f>VLOOKUP(orders!D284,[1]products!$A$1:$G$49, 5,FALSE)</f>
        <v>7.77</v>
      </c>
      <c r="M284" s="13">
        <f>PRODUCT(orders!$E284,orders!$L284)</f>
        <v>7.77</v>
      </c>
      <c r="N284" s="11" t="str">
        <f t="shared" si="8"/>
        <v>February</v>
      </c>
      <c r="O284" s="11">
        <f t="shared" si="9"/>
        <v>2019</v>
      </c>
      <c r="P284" s="11" t="str">
        <f>TEXT(orders!$B284, "DDD")</f>
        <v>Sun</v>
      </c>
      <c r="Q284" s="11" t="str">
        <f>VLOOKUP(orders!C284,[1]customers!$A$1:$I$1001, 6,FALSE)</f>
        <v>Norton</v>
      </c>
    </row>
    <row r="285" spans="1:17" x14ac:dyDescent="0.3">
      <c r="A285" s="14" t="s">
        <v>597</v>
      </c>
      <c r="B285" s="15">
        <v>43639</v>
      </c>
      <c r="C285" s="16" t="s">
        <v>598</v>
      </c>
      <c r="D285" s="17" t="s">
        <v>163</v>
      </c>
      <c r="E285" s="16">
        <v>1</v>
      </c>
      <c r="F285" s="9" t="str">
        <f>VLOOKUP(C285,[1]customers!$A$1:$I$1001, 2, FALSE)</f>
        <v>Amity Chatto</v>
      </c>
      <c r="G285" s="16" t="str">
        <f>VLOOKUP(orders!C285,[1]customers!$A$1:$I$1001, 3, FALSE)</f>
        <v>achatto7v@sakura.ne.jp</v>
      </c>
      <c r="H285" s="16" t="str">
        <f>VLOOKUP(C285, [1]customers!$A$1:$I$1001, 7, FALSE)</f>
        <v>United Kingdom</v>
      </c>
      <c r="I285" s="18" t="str">
        <f>VLOOKUP(orders!D285,[1]products!$A$1:$G$49, 2,FALSE)</f>
        <v>Rob</v>
      </c>
      <c r="J285" s="18" t="str">
        <f>VLOOKUP(orders!D285,[1]products!$A$1:$G$49, 3,FALSE)</f>
        <v>D</v>
      </c>
      <c r="K285" s="19">
        <f>VLOOKUP(orders!D285,[1]products!$A$1:$G$49, 4,FALSE)</f>
        <v>0.5</v>
      </c>
      <c r="L285" s="19">
        <f>VLOOKUP(orders!D285,[1]products!$A$1:$G$49, 5,FALSE)</f>
        <v>5.3699999999999992</v>
      </c>
      <c r="M285" s="13">
        <f>PRODUCT(orders!$E285,orders!$L285)</f>
        <v>5.3699999999999992</v>
      </c>
      <c r="N285" s="18" t="str">
        <f t="shared" si="8"/>
        <v>June</v>
      </c>
      <c r="O285" s="18">
        <f t="shared" si="9"/>
        <v>2019</v>
      </c>
      <c r="P285" s="11" t="str">
        <f>TEXT(orders!$B285, "DDD")</f>
        <v>Sun</v>
      </c>
      <c r="Q285" s="11" t="str">
        <f>VLOOKUP(orders!C285,[1]customers!$A$1:$I$1001, 6,FALSE)</f>
        <v>Sheffield</v>
      </c>
    </row>
    <row r="286" spans="1:17" x14ac:dyDescent="0.3">
      <c r="A286" s="7" t="s">
        <v>599</v>
      </c>
      <c r="B286" s="8">
        <v>43960</v>
      </c>
      <c r="C286" s="9" t="s">
        <v>600</v>
      </c>
      <c r="D286" s="10" t="s">
        <v>129</v>
      </c>
      <c r="E286" s="9">
        <v>3</v>
      </c>
      <c r="F286" s="9" t="str">
        <f>VLOOKUP(C286,[1]customers!$A$1:$I$1001, 2, FALSE)</f>
        <v>Nanine McCarthy</v>
      </c>
      <c r="G286" s="9">
        <f>VLOOKUP(orders!C286,[1]customers!$A$1:$I$1001, 3, FALSE)</f>
        <v>0</v>
      </c>
      <c r="H286" s="9" t="str">
        <f>VLOOKUP(C286, [1]customers!$A$1:$I$1001, 7, FALSE)</f>
        <v>United States</v>
      </c>
      <c r="I286" s="11" t="str">
        <f>VLOOKUP(orders!D286,[1]products!$A$1:$G$49, 2,FALSE)</f>
        <v>Exc</v>
      </c>
      <c r="J286" s="11" t="str">
        <f>VLOOKUP(orders!D286,[1]products!$A$1:$G$49, 3,FALSE)</f>
        <v>M</v>
      </c>
      <c r="K286" s="12">
        <f>VLOOKUP(orders!D286,[1]products!$A$1:$G$49, 4,FALSE)</f>
        <v>2.5</v>
      </c>
      <c r="L286" s="12">
        <f>VLOOKUP(orders!D286,[1]products!$A$1:$G$49, 5,FALSE)</f>
        <v>31.624999999999996</v>
      </c>
      <c r="M286" s="13">
        <f>PRODUCT(orders!$E286,orders!$L286)</f>
        <v>94.874999999999986</v>
      </c>
      <c r="N286" s="11" t="str">
        <f t="shared" si="8"/>
        <v>May</v>
      </c>
      <c r="O286" s="11">
        <f t="shared" si="9"/>
        <v>2020</v>
      </c>
      <c r="P286" s="11" t="str">
        <f>TEXT(orders!$B286, "DDD")</f>
        <v>Sat</v>
      </c>
      <c r="Q286" s="11" t="str">
        <f>VLOOKUP(orders!C286,[1]customers!$A$1:$I$1001, 6,FALSE)</f>
        <v>Louisville</v>
      </c>
    </row>
    <row r="287" spans="1:17" x14ac:dyDescent="0.3">
      <c r="A287" s="14" t="s">
        <v>601</v>
      </c>
      <c r="B287" s="15">
        <v>44030</v>
      </c>
      <c r="C287" s="16" t="s">
        <v>602</v>
      </c>
      <c r="D287" s="17" t="s">
        <v>121</v>
      </c>
      <c r="E287" s="16">
        <v>1</v>
      </c>
      <c r="F287" s="9" t="str">
        <f>VLOOKUP(C287,[1]customers!$A$1:$I$1001, 2, FALSE)</f>
        <v>Lyndsey Megany</v>
      </c>
      <c r="G287" s="16">
        <f>VLOOKUP(orders!C287,[1]customers!$A$1:$I$1001, 3, FALSE)</f>
        <v>0</v>
      </c>
      <c r="H287" s="16" t="str">
        <f>VLOOKUP(C287, [1]customers!$A$1:$I$1001, 7, FALSE)</f>
        <v>United States</v>
      </c>
      <c r="I287" s="18" t="str">
        <f>VLOOKUP(orders!D287,[1]products!$A$1:$G$49, 2,FALSE)</f>
        <v>Lib</v>
      </c>
      <c r="J287" s="18" t="str">
        <f>VLOOKUP(orders!D287,[1]products!$A$1:$G$49, 3,FALSE)</f>
        <v>L</v>
      </c>
      <c r="K287" s="19">
        <f>VLOOKUP(orders!D287,[1]products!$A$1:$G$49, 4,FALSE)</f>
        <v>2.5</v>
      </c>
      <c r="L287" s="19">
        <f>VLOOKUP(orders!D287,[1]products!$A$1:$G$49, 5,FALSE)</f>
        <v>36.454999999999998</v>
      </c>
      <c r="M287" s="13">
        <f>PRODUCT(orders!$E287,orders!$L287)</f>
        <v>36.454999999999998</v>
      </c>
      <c r="N287" s="18" t="str">
        <f t="shared" si="8"/>
        <v>July</v>
      </c>
      <c r="O287" s="18">
        <f t="shared" si="9"/>
        <v>2020</v>
      </c>
      <c r="P287" s="11" t="str">
        <f>TEXT(orders!$B287, "DDD")</f>
        <v>Sat</v>
      </c>
      <c r="Q287" s="11" t="str">
        <f>VLOOKUP(orders!C287,[1]customers!$A$1:$I$1001, 6,FALSE)</f>
        <v>Buffalo</v>
      </c>
    </row>
    <row r="288" spans="1:17" x14ac:dyDescent="0.3">
      <c r="A288" s="7" t="s">
        <v>603</v>
      </c>
      <c r="B288" s="8">
        <v>43755</v>
      </c>
      <c r="C288" s="9" t="s">
        <v>604</v>
      </c>
      <c r="D288" s="10" t="s">
        <v>61</v>
      </c>
      <c r="E288" s="9">
        <v>4</v>
      </c>
      <c r="F288" s="9" t="str">
        <f>VLOOKUP(C288,[1]customers!$A$1:$I$1001, 2, FALSE)</f>
        <v>Byram Mergue</v>
      </c>
      <c r="G288" s="9" t="str">
        <f>VLOOKUP(orders!C288,[1]customers!$A$1:$I$1001, 3, FALSE)</f>
        <v>bmergue7y@umn.edu</v>
      </c>
      <c r="H288" s="9" t="str">
        <f>VLOOKUP(C288, [1]customers!$A$1:$I$1001, 7, FALSE)</f>
        <v>United States</v>
      </c>
      <c r="I288" s="11" t="str">
        <f>VLOOKUP(orders!D288,[1]products!$A$1:$G$49, 2,FALSE)</f>
        <v>Ara</v>
      </c>
      <c r="J288" s="11" t="str">
        <f>VLOOKUP(orders!D288,[1]products!$A$1:$G$49, 3,FALSE)</f>
        <v>M</v>
      </c>
      <c r="K288" s="12">
        <f>VLOOKUP(orders!D288,[1]products!$A$1:$G$49, 4,FALSE)</f>
        <v>0.2</v>
      </c>
      <c r="L288" s="12">
        <f>VLOOKUP(orders!D288,[1]products!$A$1:$G$49, 5,FALSE)</f>
        <v>3.375</v>
      </c>
      <c r="M288" s="13">
        <f>PRODUCT(orders!$E288,orders!$L288)</f>
        <v>13.5</v>
      </c>
      <c r="N288" s="11" t="str">
        <f t="shared" si="8"/>
        <v>October</v>
      </c>
      <c r="O288" s="11">
        <f t="shared" si="9"/>
        <v>2019</v>
      </c>
      <c r="P288" s="11" t="str">
        <f>TEXT(orders!$B288, "DDD")</f>
        <v>Thu</v>
      </c>
      <c r="Q288" s="11" t="str">
        <f>VLOOKUP(orders!C288,[1]customers!$A$1:$I$1001, 6,FALSE)</f>
        <v>Canton</v>
      </c>
    </row>
    <row r="289" spans="1:17" x14ac:dyDescent="0.3">
      <c r="A289" s="14" t="s">
        <v>605</v>
      </c>
      <c r="B289" s="15">
        <v>44697</v>
      </c>
      <c r="C289" s="16" t="s">
        <v>606</v>
      </c>
      <c r="D289" s="17" t="s">
        <v>199</v>
      </c>
      <c r="E289" s="16">
        <v>4</v>
      </c>
      <c r="F289" s="9" t="str">
        <f>VLOOKUP(C289,[1]customers!$A$1:$I$1001, 2, FALSE)</f>
        <v>Kerr Patise</v>
      </c>
      <c r="G289" s="16" t="str">
        <f>VLOOKUP(orders!C289,[1]customers!$A$1:$I$1001, 3, FALSE)</f>
        <v>kpatise7z@jigsy.com</v>
      </c>
      <c r="H289" s="16" t="str">
        <f>VLOOKUP(C289, [1]customers!$A$1:$I$1001, 7, FALSE)</f>
        <v>United States</v>
      </c>
      <c r="I289" s="18" t="str">
        <f>VLOOKUP(orders!D289,[1]products!$A$1:$G$49, 2,FALSE)</f>
        <v>Rob</v>
      </c>
      <c r="J289" s="18" t="str">
        <f>VLOOKUP(orders!D289,[1]products!$A$1:$G$49, 3,FALSE)</f>
        <v>L</v>
      </c>
      <c r="K289" s="19">
        <f>VLOOKUP(orders!D289,[1]products!$A$1:$G$49, 4,FALSE)</f>
        <v>0.2</v>
      </c>
      <c r="L289" s="19">
        <f>VLOOKUP(orders!D289,[1]products!$A$1:$G$49, 5,FALSE)</f>
        <v>3.5849999999999995</v>
      </c>
      <c r="M289" s="13">
        <f>PRODUCT(orders!$E289,orders!$L289)</f>
        <v>14.339999999999998</v>
      </c>
      <c r="N289" s="18" t="str">
        <f t="shared" si="8"/>
        <v>May</v>
      </c>
      <c r="O289" s="18">
        <f t="shared" si="9"/>
        <v>2022</v>
      </c>
      <c r="P289" s="11" t="str">
        <f>TEXT(orders!$B289, "DDD")</f>
        <v>Mon</v>
      </c>
      <c r="Q289" s="11" t="str">
        <f>VLOOKUP(orders!C289,[1]customers!$A$1:$I$1001, 6,FALSE)</f>
        <v>Boston</v>
      </c>
    </row>
    <row r="290" spans="1:17" x14ac:dyDescent="0.3">
      <c r="A290" s="7" t="s">
        <v>607</v>
      </c>
      <c r="B290" s="8">
        <v>44279</v>
      </c>
      <c r="C290" s="9" t="s">
        <v>608</v>
      </c>
      <c r="D290" s="10" t="s">
        <v>20</v>
      </c>
      <c r="E290" s="9">
        <v>1</v>
      </c>
      <c r="F290" s="9" t="str">
        <f>VLOOKUP(C290,[1]customers!$A$1:$I$1001, 2, FALSE)</f>
        <v>Mathew Goulter</v>
      </c>
      <c r="G290" s="9">
        <f>VLOOKUP(orders!C290,[1]customers!$A$1:$I$1001, 3, FALSE)</f>
        <v>0</v>
      </c>
      <c r="H290" s="9" t="str">
        <f>VLOOKUP(C290, [1]customers!$A$1:$I$1001, 7, FALSE)</f>
        <v>Ireland</v>
      </c>
      <c r="I290" s="11" t="str">
        <f>VLOOKUP(orders!D290,[1]products!$A$1:$G$49, 2,FALSE)</f>
        <v>Exc</v>
      </c>
      <c r="J290" s="11" t="str">
        <f>VLOOKUP(orders!D290,[1]products!$A$1:$G$49, 3,FALSE)</f>
        <v>M</v>
      </c>
      <c r="K290" s="12">
        <f>VLOOKUP(orders!D290,[1]products!$A$1:$G$49, 4,FALSE)</f>
        <v>0.5</v>
      </c>
      <c r="L290" s="12">
        <f>VLOOKUP(orders!D290,[1]products!$A$1:$G$49, 5,FALSE)</f>
        <v>8.25</v>
      </c>
      <c r="M290" s="13">
        <f>PRODUCT(orders!$E290,orders!$L290)</f>
        <v>8.25</v>
      </c>
      <c r="N290" s="11" t="str">
        <f t="shared" si="8"/>
        <v>March</v>
      </c>
      <c r="O290" s="11">
        <f t="shared" si="9"/>
        <v>2021</v>
      </c>
      <c r="P290" s="11" t="str">
        <f>TEXT(orders!$B290, "DDD")</f>
        <v>Wed</v>
      </c>
      <c r="Q290" s="11" t="str">
        <f>VLOOKUP(orders!C290,[1]customers!$A$1:$I$1001, 6,FALSE)</f>
        <v>Kinlough</v>
      </c>
    </row>
    <row r="291" spans="1:17" x14ac:dyDescent="0.3">
      <c r="A291" s="14" t="s">
        <v>609</v>
      </c>
      <c r="B291" s="15">
        <v>43772</v>
      </c>
      <c r="C291" s="16" t="s">
        <v>610</v>
      </c>
      <c r="D291" s="17" t="s">
        <v>118</v>
      </c>
      <c r="E291" s="16">
        <v>5</v>
      </c>
      <c r="F291" s="9" t="str">
        <f>VLOOKUP(C291,[1]customers!$A$1:$I$1001, 2, FALSE)</f>
        <v>Marris Grcic</v>
      </c>
      <c r="G291" s="16">
        <f>VLOOKUP(orders!C291,[1]customers!$A$1:$I$1001, 3, FALSE)</f>
        <v>0</v>
      </c>
      <c r="H291" s="16" t="str">
        <f>VLOOKUP(C291, [1]customers!$A$1:$I$1001, 7, FALSE)</f>
        <v>United States</v>
      </c>
      <c r="I291" s="18" t="str">
        <f>VLOOKUP(orders!D291,[1]products!$A$1:$G$49, 2,FALSE)</f>
        <v>Rob</v>
      </c>
      <c r="J291" s="18" t="str">
        <f>VLOOKUP(orders!D291,[1]products!$A$1:$G$49, 3,FALSE)</f>
        <v>D</v>
      </c>
      <c r="K291" s="19">
        <f>VLOOKUP(orders!D291,[1]products!$A$1:$G$49, 4,FALSE)</f>
        <v>0.2</v>
      </c>
      <c r="L291" s="19">
        <f>VLOOKUP(orders!D291,[1]products!$A$1:$G$49, 5,FALSE)</f>
        <v>2.6849999999999996</v>
      </c>
      <c r="M291" s="13">
        <f>PRODUCT(orders!$E291,orders!$L291)</f>
        <v>13.424999999999997</v>
      </c>
      <c r="N291" s="18" t="str">
        <f t="shared" si="8"/>
        <v>November</v>
      </c>
      <c r="O291" s="18">
        <f t="shared" si="9"/>
        <v>2019</v>
      </c>
      <c r="P291" s="11" t="str">
        <f>TEXT(orders!$B291, "DDD")</f>
        <v>Sun</v>
      </c>
      <c r="Q291" s="11" t="str">
        <f>VLOOKUP(orders!C291,[1]customers!$A$1:$I$1001, 6,FALSE)</f>
        <v>Lynchburg</v>
      </c>
    </row>
    <row r="292" spans="1:17" x14ac:dyDescent="0.3">
      <c r="A292" s="7" t="s">
        <v>611</v>
      </c>
      <c r="B292" s="8">
        <v>44497</v>
      </c>
      <c r="C292" s="9" t="s">
        <v>612</v>
      </c>
      <c r="D292" s="10" t="s">
        <v>44</v>
      </c>
      <c r="E292" s="9">
        <v>5</v>
      </c>
      <c r="F292" s="9" t="str">
        <f>VLOOKUP(C292,[1]customers!$A$1:$I$1001, 2, FALSE)</f>
        <v>Domeniga Duke</v>
      </c>
      <c r="G292" s="9" t="str">
        <f>VLOOKUP(orders!C292,[1]customers!$A$1:$I$1001, 3, FALSE)</f>
        <v>dduke82@vkontakte.ru</v>
      </c>
      <c r="H292" s="9" t="str">
        <f>VLOOKUP(C292, [1]customers!$A$1:$I$1001, 7, FALSE)</f>
        <v>United States</v>
      </c>
      <c r="I292" s="11" t="str">
        <f>VLOOKUP(orders!D292,[1]products!$A$1:$G$49, 2,FALSE)</f>
        <v>Ara</v>
      </c>
      <c r="J292" s="11" t="str">
        <f>VLOOKUP(orders!D292,[1]products!$A$1:$G$49, 3,FALSE)</f>
        <v>D</v>
      </c>
      <c r="K292" s="12">
        <f>VLOOKUP(orders!D292,[1]products!$A$1:$G$49, 4,FALSE)</f>
        <v>1</v>
      </c>
      <c r="L292" s="12">
        <f>VLOOKUP(orders!D292,[1]products!$A$1:$G$49, 5,FALSE)</f>
        <v>9.9499999999999993</v>
      </c>
      <c r="M292" s="13">
        <f>PRODUCT(orders!$E292,orders!$L292)</f>
        <v>49.75</v>
      </c>
      <c r="N292" s="11" t="str">
        <f t="shared" si="8"/>
        <v>October</v>
      </c>
      <c r="O292" s="11">
        <f t="shared" si="9"/>
        <v>2021</v>
      </c>
      <c r="P292" s="11" t="str">
        <f>TEXT(orders!$B292, "DDD")</f>
        <v>Thu</v>
      </c>
      <c r="Q292" s="11" t="str">
        <f>VLOOKUP(orders!C292,[1]customers!$A$1:$I$1001, 6,FALSE)</f>
        <v>Los Angeles</v>
      </c>
    </row>
    <row r="293" spans="1:17" x14ac:dyDescent="0.3">
      <c r="A293" s="14" t="s">
        <v>613</v>
      </c>
      <c r="B293" s="15">
        <v>44181</v>
      </c>
      <c r="C293" s="16" t="s">
        <v>614</v>
      </c>
      <c r="D293" s="17" t="s">
        <v>20</v>
      </c>
      <c r="E293" s="16">
        <v>2</v>
      </c>
      <c r="F293" s="9" t="str">
        <f>VLOOKUP(C293,[1]customers!$A$1:$I$1001, 2, FALSE)</f>
        <v>Violante Skouling</v>
      </c>
      <c r="G293" s="16">
        <f>VLOOKUP(orders!C293,[1]customers!$A$1:$I$1001, 3, FALSE)</f>
        <v>0</v>
      </c>
      <c r="H293" s="16" t="str">
        <f>VLOOKUP(C293, [1]customers!$A$1:$I$1001, 7, FALSE)</f>
        <v>Ireland</v>
      </c>
      <c r="I293" s="18" t="str">
        <f>VLOOKUP(orders!D293,[1]products!$A$1:$G$49, 2,FALSE)</f>
        <v>Exc</v>
      </c>
      <c r="J293" s="18" t="str">
        <f>VLOOKUP(orders!D293,[1]products!$A$1:$G$49, 3,FALSE)</f>
        <v>M</v>
      </c>
      <c r="K293" s="19">
        <f>VLOOKUP(orders!D293,[1]products!$A$1:$G$49, 4,FALSE)</f>
        <v>0.5</v>
      </c>
      <c r="L293" s="19">
        <f>VLOOKUP(orders!D293,[1]products!$A$1:$G$49, 5,FALSE)</f>
        <v>8.25</v>
      </c>
      <c r="M293" s="13">
        <f>PRODUCT(orders!$E293,orders!$L293)</f>
        <v>16.5</v>
      </c>
      <c r="N293" s="18" t="str">
        <f t="shared" si="8"/>
        <v>December</v>
      </c>
      <c r="O293" s="18">
        <f t="shared" si="9"/>
        <v>2020</v>
      </c>
      <c r="P293" s="11" t="str">
        <f>TEXT(orders!$B293, "DDD")</f>
        <v>Wed</v>
      </c>
      <c r="Q293" s="11" t="str">
        <f>VLOOKUP(orders!C293,[1]customers!$A$1:$I$1001, 6,FALSE)</f>
        <v>Drumcondra</v>
      </c>
    </row>
    <row r="294" spans="1:17" x14ac:dyDescent="0.3">
      <c r="A294" s="7" t="s">
        <v>615</v>
      </c>
      <c r="B294" s="8">
        <v>44529</v>
      </c>
      <c r="C294" s="9" t="s">
        <v>616</v>
      </c>
      <c r="D294" s="10" t="s">
        <v>89</v>
      </c>
      <c r="E294" s="9">
        <v>3</v>
      </c>
      <c r="F294" s="9" t="str">
        <f>VLOOKUP(C294,[1]customers!$A$1:$I$1001, 2, FALSE)</f>
        <v>Isidore Hussey</v>
      </c>
      <c r="G294" s="9" t="str">
        <f>VLOOKUP(orders!C294,[1]customers!$A$1:$I$1001, 3, FALSE)</f>
        <v>ihussey84@mapy.cz</v>
      </c>
      <c r="H294" s="9" t="str">
        <f>VLOOKUP(C294, [1]customers!$A$1:$I$1001, 7, FALSE)</f>
        <v>United States</v>
      </c>
      <c r="I294" s="11" t="str">
        <f>VLOOKUP(orders!D294,[1]products!$A$1:$G$49, 2,FALSE)</f>
        <v>Ara</v>
      </c>
      <c r="J294" s="11" t="str">
        <f>VLOOKUP(orders!D294,[1]products!$A$1:$G$49, 3,FALSE)</f>
        <v>D</v>
      </c>
      <c r="K294" s="12">
        <f>VLOOKUP(orders!D294,[1]products!$A$1:$G$49, 4,FALSE)</f>
        <v>0.5</v>
      </c>
      <c r="L294" s="12">
        <f>VLOOKUP(orders!D294,[1]products!$A$1:$G$49, 5,FALSE)</f>
        <v>5.97</v>
      </c>
      <c r="M294" s="13">
        <f>PRODUCT(orders!$E294,orders!$L294)</f>
        <v>17.91</v>
      </c>
      <c r="N294" s="11" t="str">
        <f t="shared" si="8"/>
        <v>November</v>
      </c>
      <c r="O294" s="11">
        <f t="shared" si="9"/>
        <v>2021</v>
      </c>
      <c r="P294" s="11" t="str">
        <f>TEXT(orders!$B294, "DDD")</f>
        <v>Mon</v>
      </c>
      <c r="Q294" s="11" t="str">
        <f>VLOOKUP(orders!C294,[1]customers!$A$1:$I$1001, 6,FALSE)</f>
        <v>Birmingham</v>
      </c>
    </row>
    <row r="295" spans="1:17" x14ac:dyDescent="0.3">
      <c r="A295" s="14" t="s">
        <v>617</v>
      </c>
      <c r="B295" s="15">
        <v>44275</v>
      </c>
      <c r="C295" s="16" t="s">
        <v>618</v>
      </c>
      <c r="D295" s="17" t="s">
        <v>89</v>
      </c>
      <c r="E295" s="16">
        <v>5</v>
      </c>
      <c r="F295" s="9" t="str">
        <f>VLOOKUP(C295,[1]customers!$A$1:$I$1001, 2, FALSE)</f>
        <v>Cassie Pinkerton</v>
      </c>
      <c r="G295" s="16" t="str">
        <f>VLOOKUP(orders!C295,[1]customers!$A$1:$I$1001, 3, FALSE)</f>
        <v>cpinkerton85@upenn.edu</v>
      </c>
      <c r="H295" s="16" t="str">
        <f>VLOOKUP(C295, [1]customers!$A$1:$I$1001, 7, FALSE)</f>
        <v>United States</v>
      </c>
      <c r="I295" s="18" t="str">
        <f>VLOOKUP(orders!D295,[1]products!$A$1:$G$49, 2,FALSE)</f>
        <v>Ara</v>
      </c>
      <c r="J295" s="18" t="str">
        <f>VLOOKUP(orders!D295,[1]products!$A$1:$G$49, 3,FALSE)</f>
        <v>D</v>
      </c>
      <c r="K295" s="19">
        <f>VLOOKUP(orders!D295,[1]products!$A$1:$G$49, 4,FALSE)</f>
        <v>0.5</v>
      </c>
      <c r="L295" s="19">
        <f>VLOOKUP(orders!D295,[1]products!$A$1:$G$49, 5,FALSE)</f>
        <v>5.97</v>
      </c>
      <c r="M295" s="13">
        <f>PRODUCT(orders!$E295,orders!$L295)</f>
        <v>29.849999999999998</v>
      </c>
      <c r="N295" s="18" t="str">
        <f t="shared" si="8"/>
        <v>March</v>
      </c>
      <c r="O295" s="18">
        <f t="shared" si="9"/>
        <v>2021</v>
      </c>
      <c r="P295" s="11" t="str">
        <f>TEXT(orders!$B295, "DDD")</f>
        <v>Sat</v>
      </c>
      <c r="Q295" s="11" t="str">
        <f>VLOOKUP(orders!C295,[1]customers!$A$1:$I$1001, 6,FALSE)</f>
        <v>Alexandria</v>
      </c>
    </row>
    <row r="296" spans="1:17" x14ac:dyDescent="0.3">
      <c r="A296" s="7" t="s">
        <v>619</v>
      </c>
      <c r="B296" s="8">
        <v>44659</v>
      </c>
      <c r="C296" s="9" t="s">
        <v>620</v>
      </c>
      <c r="D296" s="10" t="s">
        <v>154</v>
      </c>
      <c r="E296" s="9">
        <v>3</v>
      </c>
      <c r="F296" s="9" t="str">
        <f>VLOOKUP(C296,[1]customers!$A$1:$I$1001, 2, FALSE)</f>
        <v>Micki Fero</v>
      </c>
      <c r="G296" s="9">
        <f>VLOOKUP(orders!C296,[1]customers!$A$1:$I$1001, 3, FALSE)</f>
        <v>0</v>
      </c>
      <c r="H296" s="9" t="str">
        <f>VLOOKUP(C296, [1]customers!$A$1:$I$1001, 7, FALSE)</f>
        <v>United States</v>
      </c>
      <c r="I296" s="11" t="str">
        <f>VLOOKUP(orders!D296,[1]products!$A$1:$G$49, 2,FALSE)</f>
        <v>Exc</v>
      </c>
      <c r="J296" s="11" t="str">
        <f>VLOOKUP(orders!D296,[1]products!$A$1:$G$49, 3,FALSE)</f>
        <v>L</v>
      </c>
      <c r="K296" s="12">
        <f>VLOOKUP(orders!D296,[1]products!$A$1:$G$49, 4,FALSE)</f>
        <v>1</v>
      </c>
      <c r="L296" s="12">
        <f>VLOOKUP(orders!D296,[1]products!$A$1:$G$49, 5,FALSE)</f>
        <v>14.85</v>
      </c>
      <c r="M296" s="13">
        <f>PRODUCT(orders!$E296,orders!$L296)</f>
        <v>44.55</v>
      </c>
      <c r="N296" s="11" t="str">
        <f t="shared" si="8"/>
        <v>April</v>
      </c>
      <c r="O296" s="11">
        <f t="shared" si="9"/>
        <v>2022</v>
      </c>
      <c r="P296" s="11" t="str">
        <f>TEXT(orders!$B296, "DDD")</f>
        <v>Fri</v>
      </c>
      <c r="Q296" s="11" t="str">
        <f>VLOOKUP(orders!C296,[1]customers!$A$1:$I$1001, 6,FALSE)</f>
        <v>Danbury</v>
      </c>
    </row>
    <row r="297" spans="1:17" x14ac:dyDescent="0.3">
      <c r="A297" s="14" t="s">
        <v>621</v>
      </c>
      <c r="B297" s="15">
        <v>44057</v>
      </c>
      <c r="C297" s="16" t="s">
        <v>622</v>
      </c>
      <c r="D297" s="17" t="s">
        <v>26</v>
      </c>
      <c r="E297" s="16">
        <v>2</v>
      </c>
      <c r="F297" s="9" t="str">
        <f>VLOOKUP(C297,[1]customers!$A$1:$I$1001, 2, FALSE)</f>
        <v>Cybill Graddell</v>
      </c>
      <c r="G297" s="16">
        <f>VLOOKUP(orders!C297,[1]customers!$A$1:$I$1001, 3, FALSE)</f>
        <v>0</v>
      </c>
      <c r="H297" s="16" t="str">
        <f>VLOOKUP(C297, [1]customers!$A$1:$I$1001, 7, FALSE)</f>
        <v>United States</v>
      </c>
      <c r="I297" s="18" t="str">
        <f>VLOOKUP(orders!D297,[1]products!$A$1:$G$49, 2,FALSE)</f>
        <v>Exc</v>
      </c>
      <c r="J297" s="18" t="str">
        <f>VLOOKUP(orders!D297,[1]products!$A$1:$G$49, 3,FALSE)</f>
        <v>M</v>
      </c>
      <c r="K297" s="19">
        <f>VLOOKUP(orders!D297,[1]products!$A$1:$G$49, 4,FALSE)</f>
        <v>1</v>
      </c>
      <c r="L297" s="19">
        <f>VLOOKUP(orders!D297,[1]products!$A$1:$G$49, 5,FALSE)</f>
        <v>13.75</v>
      </c>
      <c r="M297" s="13">
        <f>PRODUCT(orders!$E297,orders!$L297)</f>
        <v>27.5</v>
      </c>
      <c r="N297" s="18" t="str">
        <f t="shared" si="8"/>
        <v>August</v>
      </c>
      <c r="O297" s="18">
        <f t="shared" si="9"/>
        <v>2020</v>
      </c>
      <c r="P297" s="11" t="str">
        <f>TEXT(orders!$B297, "DDD")</f>
        <v>Fri</v>
      </c>
      <c r="Q297" s="11" t="str">
        <f>VLOOKUP(orders!C297,[1]customers!$A$1:$I$1001, 6,FALSE)</f>
        <v>Albany</v>
      </c>
    </row>
    <row r="298" spans="1:17" x14ac:dyDescent="0.3">
      <c r="A298" s="7" t="s">
        <v>623</v>
      </c>
      <c r="B298" s="8">
        <v>43597</v>
      </c>
      <c r="C298" s="9" t="s">
        <v>624</v>
      </c>
      <c r="D298" s="10" t="s">
        <v>39</v>
      </c>
      <c r="E298" s="9">
        <v>6</v>
      </c>
      <c r="F298" s="9" t="str">
        <f>VLOOKUP(C298,[1]customers!$A$1:$I$1001, 2, FALSE)</f>
        <v>Dorian Vizor</v>
      </c>
      <c r="G298" s="9" t="str">
        <f>VLOOKUP(orders!C298,[1]customers!$A$1:$I$1001, 3, FALSE)</f>
        <v>dvizor88@furl.net</v>
      </c>
      <c r="H298" s="9" t="str">
        <f>VLOOKUP(C298, [1]customers!$A$1:$I$1001, 7, FALSE)</f>
        <v>United States</v>
      </c>
      <c r="I298" s="11" t="str">
        <f>VLOOKUP(orders!D298,[1]products!$A$1:$G$49, 2,FALSE)</f>
        <v>Rob</v>
      </c>
      <c r="J298" s="11" t="str">
        <f>VLOOKUP(orders!D298,[1]products!$A$1:$G$49, 3,FALSE)</f>
        <v>M</v>
      </c>
      <c r="K298" s="12">
        <f>VLOOKUP(orders!D298,[1]products!$A$1:$G$49, 4,FALSE)</f>
        <v>0.5</v>
      </c>
      <c r="L298" s="12">
        <f>VLOOKUP(orders!D298,[1]products!$A$1:$G$49, 5,FALSE)</f>
        <v>5.97</v>
      </c>
      <c r="M298" s="13">
        <f>PRODUCT(orders!$E298,orders!$L298)</f>
        <v>35.82</v>
      </c>
      <c r="N298" s="11" t="str">
        <f t="shared" si="8"/>
        <v>May</v>
      </c>
      <c r="O298" s="11">
        <f t="shared" si="9"/>
        <v>2019</v>
      </c>
      <c r="P298" s="11" t="str">
        <f>TEXT(orders!$B298, "DDD")</f>
        <v>Sun</v>
      </c>
      <c r="Q298" s="11" t="str">
        <f>VLOOKUP(orders!C298,[1]customers!$A$1:$I$1001, 6,FALSE)</f>
        <v>Naples</v>
      </c>
    </row>
    <row r="299" spans="1:17" x14ac:dyDescent="0.3">
      <c r="A299" s="14" t="s">
        <v>625</v>
      </c>
      <c r="B299" s="15">
        <v>44258</v>
      </c>
      <c r="C299" s="16" t="s">
        <v>626</v>
      </c>
      <c r="D299" s="17" t="s">
        <v>163</v>
      </c>
      <c r="E299" s="16">
        <v>3</v>
      </c>
      <c r="F299" s="9" t="str">
        <f>VLOOKUP(C299,[1]customers!$A$1:$I$1001, 2, FALSE)</f>
        <v>Eddi Sedgebeer</v>
      </c>
      <c r="G299" s="16" t="str">
        <f>VLOOKUP(orders!C299,[1]customers!$A$1:$I$1001, 3, FALSE)</f>
        <v>esedgebeer89@oaic.gov.au</v>
      </c>
      <c r="H299" s="16" t="str">
        <f>VLOOKUP(C299, [1]customers!$A$1:$I$1001, 7, FALSE)</f>
        <v>United States</v>
      </c>
      <c r="I299" s="18" t="str">
        <f>VLOOKUP(orders!D299,[1]products!$A$1:$G$49, 2,FALSE)</f>
        <v>Rob</v>
      </c>
      <c r="J299" s="18" t="str">
        <f>VLOOKUP(orders!D299,[1]products!$A$1:$G$49, 3,FALSE)</f>
        <v>D</v>
      </c>
      <c r="K299" s="19">
        <f>VLOOKUP(orders!D299,[1]products!$A$1:$G$49, 4,FALSE)</f>
        <v>0.5</v>
      </c>
      <c r="L299" s="19">
        <f>VLOOKUP(orders!D299,[1]products!$A$1:$G$49, 5,FALSE)</f>
        <v>5.3699999999999992</v>
      </c>
      <c r="M299" s="13">
        <f>PRODUCT(orders!$E299,orders!$L299)</f>
        <v>16.11</v>
      </c>
      <c r="N299" s="18" t="str">
        <f t="shared" si="8"/>
        <v>March</v>
      </c>
      <c r="O299" s="18">
        <f t="shared" si="9"/>
        <v>2021</v>
      </c>
      <c r="P299" s="11" t="str">
        <f>TEXT(orders!$B299, "DDD")</f>
        <v>Wed</v>
      </c>
      <c r="Q299" s="11" t="str">
        <f>VLOOKUP(orders!C299,[1]customers!$A$1:$I$1001, 6,FALSE)</f>
        <v>Miami Beach</v>
      </c>
    </row>
    <row r="300" spans="1:17" x14ac:dyDescent="0.3">
      <c r="A300" s="7" t="s">
        <v>627</v>
      </c>
      <c r="B300" s="8">
        <v>43872</v>
      </c>
      <c r="C300" s="9" t="s">
        <v>628</v>
      </c>
      <c r="D300" s="10" t="s">
        <v>271</v>
      </c>
      <c r="E300" s="9">
        <v>6</v>
      </c>
      <c r="F300" s="9" t="str">
        <f>VLOOKUP(C300,[1]customers!$A$1:$I$1001, 2, FALSE)</f>
        <v>Ken Lestrange</v>
      </c>
      <c r="G300" s="9" t="str">
        <f>VLOOKUP(orders!C300,[1]customers!$A$1:$I$1001, 3, FALSE)</f>
        <v>klestrange8a@lulu.com</v>
      </c>
      <c r="H300" s="9" t="str">
        <f>VLOOKUP(C300, [1]customers!$A$1:$I$1001, 7, FALSE)</f>
        <v>United States</v>
      </c>
      <c r="I300" s="11" t="str">
        <f>VLOOKUP(orders!D300,[1]products!$A$1:$G$49, 2,FALSE)</f>
        <v>Exc</v>
      </c>
      <c r="J300" s="11" t="str">
        <f>VLOOKUP(orders!D300,[1]products!$A$1:$G$49, 3,FALSE)</f>
        <v>L</v>
      </c>
      <c r="K300" s="12">
        <f>VLOOKUP(orders!D300,[1]products!$A$1:$G$49, 4,FALSE)</f>
        <v>0.2</v>
      </c>
      <c r="L300" s="12">
        <f>VLOOKUP(orders!D300,[1]products!$A$1:$G$49, 5,FALSE)</f>
        <v>4.4550000000000001</v>
      </c>
      <c r="M300" s="13">
        <f>PRODUCT(orders!$E300,orders!$L300)</f>
        <v>26.73</v>
      </c>
      <c r="N300" s="11" t="str">
        <f t="shared" si="8"/>
        <v>February</v>
      </c>
      <c r="O300" s="11">
        <f t="shared" si="9"/>
        <v>2020</v>
      </c>
      <c r="P300" s="11" t="str">
        <f>TEXT(orders!$B300, "DDD")</f>
        <v>Tue</v>
      </c>
      <c r="Q300" s="11" t="str">
        <f>VLOOKUP(orders!C300,[1]customers!$A$1:$I$1001, 6,FALSE)</f>
        <v>Atlanta</v>
      </c>
    </row>
    <row r="301" spans="1:17" x14ac:dyDescent="0.3">
      <c r="A301" s="14" t="s">
        <v>629</v>
      </c>
      <c r="B301" s="15">
        <v>43582</v>
      </c>
      <c r="C301" s="16" t="s">
        <v>630</v>
      </c>
      <c r="D301" s="17" t="s">
        <v>47</v>
      </c>
      <c r="E301" s="16">
        <v>6</v>
      </c>
      <c r="F301" s="9" t="str">
        <f>VLOOKUP(C301,[1]customers!$A$1:$I$1001, 2, FALSE)</f>
        <v>Lacee Tanti</v>
      </c>
      <c r="G301" s="16" t="str">
        <f>VLOOKUP(orders!C301,[1]customers!$A$1:$I$1001, 3, FALSE)</f>
        <v>ltanti8b@techcrunch.com</v>
      </c>
      <c r="H301" s="16" t="str">
        <f>VLOOKUP(C301, [1]customers!$A$1:$I$1001, 7, FALSE)</f>
        <v>United States</v>
      </c>
      <c r="I301" s="18" t="str">
        <f>VLOOKUP(orders!D301,[1]products!$A$1:$G$49, 2,FALSE)</f>
        <v>Exc</v>
      </c>
      <c r="J301" s="18" t="str">
        <f>VLOOKUP(orders!D301,[1]products!$A$1:$G$49, 3,FALSE)</f>
        <v>L</v>
      </c>
      <c r="K301" s="19">
        <f>VLOOKUP(orders!D301,[1]products!$A$1:$G$49, 4,FALSE)</f>
        <v>2.5</v>
      </c>
      <c r="L301" s="19">
        <f>VLOOKUP(orders!D301,[1]products!$A$1:$G$49, 5,FALSE)</f>
        <v>34.154999999999994</v>
      </c>
      <c r="M301" s="13">
        <f>PRODUCT(orders!$E301,orders!$L301)</f>
        <v>204.92999999999995</v>
      </c>
      <c r="N301" s="18" t="str">
        <f t="shared" si="8"/>
        <v>April</v>
      </c>
      <c r="O301" s="18">
        <f t="shared" si="9"/>
        <v>2019</v>
      </c>
      <c r="P301" s="11" t="str">
        <f>TEXT(orders!$B301, "DDD")</f>
        <v>Sat</v>
      </c>
      <c r="Q301" s="11" t="str">
        <f>VLOOKUP(orders!C301,[1]customers!$A$1:$I$1001, 6,FALSE)</f>
        <v>Corpus Christi</v>
      </c>
    </row>
    <row r="302" spans="1:17" x14ac:dyDescent="0.3">
      <c r="A302" s="7" t="s">
        <v>631</v>
      </c>
      <c r="B302" s="8">
        <v>44646</v>
      </c>
      <c r="C302" s="9" t="s">
        <v>632</v>
      </c>
      <c r="D302" s="10" t="s">
        <v>23</v>
      </c>
      <c r="E302" s="9">
        <v>3</v>
      </c>
      <c r="F302" s="9" t="str">
        <f>VLOOKUP(C302,[1]customers!$A$1:$I$1001, 2, FALSE)</f>
        <v>Arel De Lasci</v>
      </c>
      <c r="G302" s="9" t="str">
        <f>VLOOKUP(orders!C302,[1]customers!$A$1:$I$1001, 3, FALSE)</f>
        <v>ade8c@1und1.de</v>
      </c>
      <c r="H302" s="9" t="str">
        <f>VLOOKUP(C302, [1]customers!$A$1:$I$1001, 7, FALSE)</f>
        <v>United States</v>
      </c>
      <c r="I302" s="11" t="str">
        <f>VLOOKUP(orders!D302,[1]products!$A$1:$G$49, 2,FALSE)</f>
        <v>Ara</v>
      </c>
      <c r="J302" s="11" t="str">
        <f>VLOOKUP(orders!D302,[1]products!$A$1:$G$49, 3,FALSE)</f>
        <v>L</v>
      </c>
      <c r="K302" s="12">
        <f>VLOOKUP(orders!D302,[1]products!$A$1:$G$49, 4,FALSE)</f>
        <v>1</v>
      </c>
      <c r="L302" s="12">
        <f>VLOOKUP(orders!D302,[1]products!$A$1:$G$49, 5,FALSE)</f>
        <v>12.95</v>
      </c>
      <c r="M302" s="13">
        <f>PRODUCT(orders!$E302,orders!$L302)</f>
        <v>38.849999999999994</v>
      </c>
      <c r="N302" s="11" t="str">
        <f t="shared" si="8"/>
        <v>March</v>
      </c>
      <c r="O302" s="11">
        <f t="shared" si="9"/>
        <v>2022</v>
      </c>
      <c r="P302" s="11" t="str">
        <f>TEXT(orders!$B302, "DDD")</f>
        <v>Sat</v>
      </c>
      <c r="Q302" s="11" t="str">
        <f>VLOOKUP(orders!C302,[1]customers!$A$1:$I$1001, 6,FALSE)</f>
        <v>Honolulu</v>
      </c>
    </row>
    <row r="303" spans="1:17" x14ac:dyDescent="0.3">
      <c r="A303" s="14" t="s">
        <v>633</v>
      </c>
      <c r="B303" s="15">
        <v>44102</v>
      </c>
      <c r="C303" s="16" t="s">
        <v>634</v>
      </c>
      <c r="D303" s="17" t="s">
        <v>55</v>
      </c>
      <c r="E303" s="16">
        <v>4</v>
      </c>
      <c r="F303" s="9" t="str">
        <f>VLOOKUP(C303,[1]customers!$A$1:$I$1001, 2, FALSE)</f>
        <v>Trescha Jedrachowicz</v>
      </c>
      <c r="G303" s="16" t="str">
        <f>VLOOKUP(orders!C303,[1]customers!$A$1:$I$1001, 3, FALSE)</f>
        <v>tjedrachowicz8d@acquirethisname.com</v>
      </c>
      <c r="H303" s="16" t="str">
        <f>VLOOKUP(C303, [1]customers!$A$1:$I$1001, 7, FALSE)</f>
        <v>United States</v>
      </c>
      <c r="I303" s="18" t="str">
        <f>VLOOKUP(orders!D303,[1]products!$A$1:$G$49, 2,FALSE)</f>
        <v>Lib</v>
      </c>
      <c r="J303" s="18" t="str">
        <f>VLOOKUP(orders!D303,[1]products!$A$1:$G$49, 3,FALSE)</f>
        <v>D</v>
      </c>
      <c r="K303" s="19">
        <f>VLOOKUP(orders!D303,[1]products!$A$1:$G$49, 4,FALSE)</f>
        <v>0.2</v>
      </c>
      <c r="L303" s="19">
        <f>VLOOKUP(orders!D303,[1]products!$A$1:$G$49, 5,FALSE)</f>
        <v>3.8849999999999998</v>
      </c>
      <c r="M303" s="13">
        <f>PRODUCT(orders!$E303,orders!$L303)</f>
        <v>15.54</v>
      </c>
      <c r="N303" s="18" t="str">
        <f t="shared" si="8"/>
        <v>September</v>
      </c>
      <c r="O303" s="18">
        <f t="shared" si="9"/>
        <v>2020</v>
      </c>
      <c r="P303" s="11" t="str">
        <f>TEXT(orders!$B303, "DDD")</f>
        <v>Mon</v>
      </c>
      <c r="Q303" s="11" t="str">
        <f>VLOOKUP(orders!C303,[1]customers!$A$1:$I$1001, 6,FALSE)</f>
        <v>Austin</v>
      </c>
    </row>
    <row r="304" spans="1:17" x14ac:dyDescent="0.3">
      <c r="A304" s="7" t="s">
        <v>635</v>
      </c>
      <c r="B304" s="8">
        <v>43762</v>
      </c>
      <c r="C304" s="9" t="s">
        <v>636</v>
      </c>
      <c r="D304" s="10" t="s">
        <v>84</v>
      </c>
      <c r="E304" s="9">
        <v>1</v>
      </c>
      <c r="F304" s="9" t="str">
        <f>VLOOKUP(C304,[1]customers!$A$1:$I$1001, 2, FALSE)</f>
        <v>Perkin Stonner</v>
      </c>
      <c r="G304" s="9" t="str">
        <f>VLOOKUP(orders!C304,[1]customers!$A$1:$I$1001, 3, FALSE)</f>
        <v>pstonner8e@moonfruit.com</v>
      </c>
      <c r="H304" s="9" t="str">
        <f>VLOOKUP(C304, [1]customers!$A$1:$I$1001, 7, FALSE)</f>
        <v>United States</v>
      </c>
      <c r="I304" s="11" t="str">
        <f>VLOOKUP(orders!D304,[1]products!$A$1:$G$49, 2,FALSE)</f>
        <v>Ara</v>
      </c>
      <c r="J304" s="11" t="str">
        <f>VLOOKUP(orders!D304,[1]products!$A$1:$G$49, 3,FALSE)</f>
        <v>M</v>
      </c>
      <c r="K304" s="12">
        <f>VLOOKUP(orders!D304,[1]products!$A$1:$G$49, 4,FALSE)</f>
        <v>0.5</v>
      </c>
      <c r="L304" s="12">
        <f>VLOOKUP(orders!D304,[1]products!$A$1:$G$49, 5,FALSE)</f>
        <v>6.75</v>
      </c>
      <c r="M304" s="13">
        <f>PRODUCT(orders!$E304,orders!$L304)</f>
        <v>6.75</v>
      </c>
      <c r="N304" s="11" t="str">
        <f t="shared" si="8"/>
        <v>October</v>
      </c>
      <c r="O304" s="11">
        <f t="shared" si="9"/>
        <v>2019</v>
      </c>
      <c r="P304" s="11" t="str">
        <f>TEXT(orders!$B304, "DDD")</f>
        <v>Thu</v>
      </c>
      <c r="Q304" s="11" t="str">
        <f>VLOOKUP(orders!C304,[1]customers!$A$1:$I$1001, 6,FALSE)</f>
        <v>Baltimore</v>
      </c>
    </row>
    <row r="305" spans="1:17" x14ac:dyDescent="0.3">
      <c r="A305" s="14" t="s">
        <v>637</v>
      </c>
      <c r="B305" s="15">
        <v>44412</v>
      </c>
      <c r="C305" s="16" t="s">
        <v>638</v>
      </c>
      <c r="D305" s="17" t="s">
        <v>547</v>
      </c>
      <c r="E305" s="16">
        <v>4</v>
      </c>
      <c r="F305" s="9" t="str">
        <f>VLOOKUP(C305,[1]customers!$A$1:$I$1001, 2, FALSE)</f>
        <v>Darrin Tingly</v>
      </c>
      <c r="G305" s="16" t="str">
        <f>VLOOKUP(orders!C305,[1]customers!$A$1:$I$1001, 3, FALSE)</f>
        <v>dtingly8f@goo.ne.jp</v>
      </c>
      <c r="H305" s="16" t="str">
        <f>VLOOKUP(C305, [1]customers!$A$1:$I$1001, 7, FALSE)</f>
        <v>United States</v>
      </c>
      <c r="I305" s="18" t="str">
        <f>VLOOKUP(orders!D305,[1]products!$A$1:$G$49, 2,FALSE)</f>
        <v>Exc</v>
      </c>
      <c r="J305" s="18" t="str">
        <f>VLOOKUP(orders!D305,[1]products!$A$1:$G$49, 3,FALSE)</f>
        <v>D</v>
      </c>
      <c r="K305" s="19">
        <f>VLOOKUP(orders!D305,[1]products!$A$1:$G$49, 4,FALSE)</f>
        <v>2.5</v>
      </c>
      <c r="L305" s="19">
        <f>VLOOKUP(orders!D305,[1]products!$A$1:$G$49, 5,FALSE)</f>
        <v>27.945</v>
      </c>
      <c r="M305" s="13">
        <f>PRODUCT(orders!$E305,orders!$L305)</f>
        <v>111.78</v>
      </c>
      <c r="N305" s="18" t="str">
        <f t="shared" si="8"/>
        <v>August</v>
      </c>
      <c r="O305" s="18">
        <f t="shared" si="9"/>
        <v>2021</v>
      </c>
      <c r="P305" s="11" t="str">
        <f>TEXT(orders!$B305, "DDD")</f>
        <v>Wed</v>
      </c>
      <c r="Q305" s="11" t="str">
        <f>VLOOKUP(orders!C305,[1]customers!$A$1:$I$1001, 6,FALSE)</f>
        <v>Lexington</v>
      </c>
    </row>
    <row r="306" spans="1:17" x14ac:dyDescent="0.3">
      <c r="A306" s="7" t="s">
        <v>639</v>
      </c>
      <c r="B306" s="8">
        <v>43828</v>
      </c>
      <c r="C306" s="9" t="s">
        <v>640</v>
      </c>
      <c r="D306" s="10" t="s">
        <v>132</v>
      </c>
      <c r="E306" s="9">
        <v>1</v>
      </c>
      <c r="F306" s="9" t="str">
        <f>VLOOKUP(C306,[1]customers!$A$1:$I$1001, 2, FALSE)</f>
        <v>Claudetta Rushe</v>
      </c>
      <c r="G306" s="9" t="str">
        <f>VLOOKUP(orders!C306,[1]customers!$A$1:$I$1001, 3, FALSE)</f>
        <v>crushe8n@about.me</v>
      </c>
      <c r="H306" s="9" t="str">
        <f>VLOOKUP(C306, [1]customers!$A$1:$I$1001, 7, FALSE)</f>
        <v>United States</v>
      </c>
      <c r="I306" s="11" t="str">
        <f>VLOOKUP(orders!D306,[1]products!$A$1:$G$49, 2,FALSE)</f>
        <v>Ara</v>
      </c>
      <c r="J306" s="11" t="str">
        <f>VLOOKUP(orders!D306,[1]products!$A$1:$G$49, 3,FALSE)</f>
        <v>L</v>
      </c>
      <c r="K306" s="12">
        <f>VLOOKUP(orders!D306,[1]products!$A$1:$G$49, 4,FALSE)</f>
        <v>0.2</v>
      </c>
      <c r="L306" s="12">
        <f>VLOOKUP(orders!D306,[1]products!$A$1:$G$49, 5,FALSE)</f>
        <v>3.8849999999999998</v>
      </c>
      <c r="M306" s="13">
        <f>PRODUCT(orders!$E306,orders!$L306)</f>
        <v>3.8849999999999998</v>
      </c>
      <c r="N306" s="11" t="str">
        <f t="shared" si="8"/>
        <v>December</v>
      </c>
      <c r="O306" s="11">
        <f t="shared" si="9"/>
        <v>2019</v>
      </c>
      <c r="P306" s="11" t="str">
        <f>TEXT(orders!$B306, "DDD")</f>
        <v>Sun</v>
      </c>
      <c r="Q306" s="11" t="str">
        <f>VLOOKUP(orders!C306,[1]customers!$A$1:$I$1001, 6,FALSE)</f>
        <v>Charlotte</v>
      </c>
    </row>
    <row r="307" spans="1:17" x14ac:dyDescent="0.3">
      <c r="A307" s="14" t="s">
        <v>641</v>
      </c>
      <c r="B307" s="15">
        <v>43796</v>
      </c>
      <c r="C307" s="16" t="s">
        <v>642</v>
      </c>
      <c r="D307" s="17" t="s">
        <v>94</v>
      </c>
      <c r="E307" s="16">
        <v>5</v>
      </c>
      <c r="F307" s="9" t="str">
        <f>VLOOKUP(C307,[1]customers!$A$1:$I$1001, 2, FALSE)</f>
        <v>Benn Checci</v>
      </c>
      <c r="G307" s="16" t="str">
        <f>VLOOKUP(orders!C307,[1]customers!$A$1:$I$1001, 3, FALSE)</f>
        <v>bchecci8h@usa.gov</v>
      </c>
      <c r="H307" s="16" t="str">
        <f>VLOOKUP(C307, [1]customers!$A$1:$I$1001, 7, FALSE)</f>
        <v>United Kingdom</v>
      </c>
      <c r="I307" s="18" t="str">
        <f>VLOOKUP(orders!D307,[1]products!$A$1:$G$49, 2,FALSE)</f>
        <v>Lib</v>
      </c>
      <c r="J307" s="18" t="str">
        <f>VLOOKUP(orders!D307,[1]products!$A$1:$G$49, 3,FALSE)</f>
        <v>M</v>
      </c>
      <c r="K307" s="19">
        <f>VLOOKUP(orders!D307,[1]products!$A$1:$G$49, 4,FALSE)</f>
        <v>0.2</v>
      </c>
      <c r="L307" s="19">
        <f>VLOOKUP(orders!D307,[1]products!$A$1:$G$49, 5,FALSE)</f>
        <v>4.3650000000000002</v>
      </c>
      <c r="M307" s="13">
        <f>PRODUCT(orders!$E307,orders!$L307)</f>
        <v>21.825000000000003</v>
      </c>
      <c r="N307" s="18" t="str">
        <f t="shared" si="8"/>
        <v>November</v>
      </c>
      <c r="O307" s="18">
        <f t="shared" si="9"/>
        <v>2019</v>
      </c>
      <c r="P307" s="11" t="str">
        <f>TEXT(orders!$B307, "DDD")</f>
        <v>Wed</v>
      </c>
      <c r="Q307" s="11" t="str">
        <f>VLOOKUP(orders!C307,[1]customers!$A$1:$I$1001, 6,FALSE)</f>
        <v>Eaton</v>
      </c>
    </row>
    <row r="308" spans="1:17" x14ac:dyDescent="0.3">
      <c r="A308" s="7" t="s">
        <v>643</v>
      </c>
      <c r="B308" s="8">
        <v>43890</v>
      </c>
      <c r="C308" s="9" t="s">
        <v>644</v>
      </c>
      <c r="D308" s="10" t="s">
        <v>179</v>
      </c>
      <c r="E308" s="9">
        <v>5</v>
      </c>
      <c r="F308" s="9" t="str">
        <f>VLOOKUP(C308,[1]customers!$A$1:$I$1001, 2, FALSE)</f>
        <v>Janifer Bagot</v>
      </c>
      <c r="G308" s="9" t="str">
        <f>VLOOKUP(orders!C308,[1]customers!$A$1:$I$1001, 3, FALSE)</f>
        <v>jbagot8i@mac.com</v>
      </c>
      <c r="H308" s="9" t="str">
        <f>VLOOKUP(C308, [1]customers!$A$1:$I$1001, 7, FALSE)</f>
        <v>United States</v>
      </c>
      <c r="I308" s="11" t="str">
        <f>VLOOKUP(orders!D308,[1]products!$A$1:$G$49, 2,FALSE)</f>
        <v>Rob</v>
      </c>
      <c r="J308" s="11" t="str">
        <f>VLOOKUP(orders!D308,[1]products!$A$1:$G$49, 3,FALSE)</f>
        <v>M</v>
      </c>
      <c r="K308" s="12">
        <f>VLOOKUP(orders!D308,[1]products!$A$1:$G$49, 4,FALSE)</f>
        <v>0.2</v>
      </c>
      <c r="L308" s="12">
        <f>VLOOKUP(orders!D308,[1]products!$A$1:$G$49, 5,FALSE)</f>
        <v>2.9849999999999999</v>
      </c>
      <c r="M308" s="13">
        <f>PRODUCT(orders!$E308,orders!$L308)</f>
        <v>14.924999999999999</v>
      </c>
      <c r="N308" s="11" t="str">
        <f t="shared" si="8"/>
        <v>February</v>
      </c>
      <c r="O308" s="11">
        <f t="shared" si="9"/>
        <v>2020</v>
      </c>
      <c r="P308" s="11" t="str">
        <f>TEXT(orders!$B308, "DDD")</f>
        <v>Sat</v>
      </c>
      <c r="Q308" s="11" t="str">
        <f>VLOOKUP(orders!C308,[1]customers!$A$1:$I$1001, 6,FALSE)</f>
        <v>Lincoln</v>
      </c>
    </row>
    <row r="309" spans="1:17" x14ac:dyDescent="0.3">
      <c r="A309" s="14" t="s">
        <v>645</v>
      </c>
      <c r="B309" s="15">
        <v>44227</v>
      </c>
      <c r="C309" s="16" t="s">
        <v>646</v>
      </c>
      <c r="D309" s="17" t="s">
        <v>78</v>
      </c>
      <c r="E309" s="16">
        <v>3</v>
      </c>
      <c r="F309" s="9" t="str">
        <f>VLOOKUP(C309,[1]customers!$A$1:$I$1001, 2, FALSE)</f>
        <v>Ermin Beeble</v>
      </c>
      <c r="G309" s="16" t="str">
        <f>VLOOKUP(orders!C309,[1]customers!$A$1:$I$1001, 3, FALSE)</f>
        <v>ebeeble8j@soundcloud.com</v>
      </c>
      <c r="H309" s="16" t="str">
        <f>VLOOKUP(C309, [1]customers!$A$1:$I$1001, 7, FALSE)</f>
        <v>United States</v>
      </c>
      <c r="I309" s="18" t="str">
        <f>VLOOKUP(orders!D309,[1]products!$A$1:$G$49, 2,FALSE)</f>
        <v>Ara</v>
      </c>
      <c r="J309" s="18" t="str">
        <f>VLOOKUP(orders!D309,[1]products!$A$1:$G$49, 3,FALSE)</f>
        <v>M</v>
      </c>
      <c r="K309" s="19">
        <f>VLOOKUP(orders!D309,[1]products!$A$1:$G$49, 4,FALSE)</f>
        <v>1</v>
      </c>
      <c r="L309" s="19">
        <f>VLOOKUP(orders!D309,[1]products!$A$1:$G$49, 5,FALSE)</f>
        <v>11.25</v>
      </c>
      <c r="M309" s="13">
        <f>PRODUCT(orders!$E309,orders!$L309)</f>
        <v>33.75</v>
      </c>
      <c r="N309" s="18" t="str">
        <f t="shared" si="8"/>
        <v>January</v>
      </c>
      <c r="O309" s="18">
        <f t="shared" si="9"/>
        <v>2021</v>
      </c>
      <c r="P309" s="11" t="str">
        <f>TEXT(orders!$B309, "DDD")</f>
        <v>Sun</v>
      </c>
      <c r="Q309" s="11" t="str">
        <f>VLOOKUP(orders!C309,[1]customers!$A$1:$I$1001, 6,FALSE)</f>
        <v>Cincinnati</v>
      </c>
    </row>
    <row r="310" spans="1:17" x14ac:dyDescent="0.3">
      <c r="A310" s="7" t="s">
        <v>647</v>
      </c>
      <c r="B310" s="8">
        <v>44729</v>
      </c>
      <c r="C310" s="9" t="s">
        <v>648</v>
      </c>
      <c r="D310" s="10" t="s">
        <v>78</v>
      </c>
      <c r="E310" s="9">
        <v>3</v>
      </c>
      <c r="F310" s="9" t="str">
        <f>VLOOKUP(C310,[1]customers!$A$1:$I$1001, 2, FALSE)</f>
        <v>Cos Fluin</v>
      </c>
      <c r="G310" s="9" t="str">
        <f>VLOOKUP(orders!C310,[1]customers!$A$1:$I$1001, 3, FALSE)</f>
        <v>cfluin8k@flickr.com</v>
      </c>
      <c r="H310" s="9" t="str">
        <f>VLOOKUP(C310, [1]customers!$A$1:$I$1001, 7, FALSE)</f>
        <v>United Kingdom</v>
      </c>
      <c r="I310" s="11" t="str">
        <f>VLOOKUP(orders!D310,[1]products!$A$1:$G$49, 2,FALSE)</f>
        <v>Ara</v>
      </c>
      <c r="J310" s="11" t="str">
        <f>VLOOKUP(orders!D310,[1]products!$A$1:$G$49, 3,FALSE)</f>
        <v>M</v>
      </c>
      <c r="K310" s="12">
        <f>VLOOKUP(orders!D310,[1]products!$A$1:$G$49, 4,FALSE)</f>
        <v>1</v>
      </c>
      <c r="L310" s="12">
        <f>VLOOKUP(orders!D310,[1]products!$A$1:$G$49, 5,FALSE)</f>
        <v>11.25</v>
      </c>
      <c r="M310" s="13">
        <f>PRODUCT(orders!$E310,orders!$L310)</f>
        <v>33.75</v>
      </c>
      <c r="N310" s="11" t="str">
        <f t="shared" si="8"/>
        <v>June</v>
      </c>
      <c r="O310" s="11">
        <f t="shared" si="9"/>
        <v>2022</v>
      </c>
      <c r="P310" s="11" t="str">
        <f>TEXT(orders!$B310, "DDD")</f>
        <v>Fri</v>
      </c>
      <c r="Q310" s="11" t="str">
        <f>VLOOKUP(orders!C310,[1]customers!$A$1:$I$1001, 6,FALSE)</f>
        <v>Sheffield</v>
      </c>
    </row>
    <row r="311" spans="1:17" x14ac:dyDescent="0.3">
      <c r="A311" s="14" t="s">
        <v>649</v>
      </c>
      <c r="B311" s="15">
        <v>43864</v>
      </c>
      <c r="C311" s="16" t="s">
        <v>650</v>
      </c>
      <c r="D311" s="17" t="s">
        <v>94</v>
      </c>
      <c r="E311" s="16">
        <v>6</v>
      </c>
      <c r="F311" s="9" t="str">
        <f>VLOOKUP(C311,[1]customers!$A$1:$I$1001, 2, FALSE)</f>
        <v>Eveleen Bletsor</v>
      </c>
      <c r="G311" s="16" t="str">
        <f>VLOOKUP(orders!C311,[1]customers!$A$1:$I$1001, 3, FALSE)</f>
        <v>ebletsor8l@vinaora.com</v>
      </c>
      <c r="H311" s="16" t="str">
        <f>VLOOKUP(C311, [1]customers!$A$1:$I$1001, 7, FALSE)</f>
        <v>United States</v>
      </c>
      <c r="I311" s="18" t="str">
        <f>VLOOKUP(orders!D311,[1]products!$A$1:$G$49, 2,FALSE)</f>
        <v>Lib</v>
      </c>
      <c r="J311" s="18" t="str">
        <f>VLOOKUP(orders!D311,[1]products!$A$1:$G$49, 3,FALSE)</f>
        <v>M</v>
      </c>
      <c r="K311" s="19">
        <f>VLOOKUP(orders!D311,[1]products!$A$1:$G$49, 4,FALSE)</f>
        <v>0.2</v>
      </c>
      <c r="L311" s="19">
        <f>VLOOKUP(orders!D311,[1]products!$A$1:$G$49, 5,FALSE)</f>
        <v>4.3650000000000002</v>
      </c>
      <c r="M311" s="13">
        <f>PRODUCT(orders!$E311,orders!$L311)</f>
        <v>26.19</v>
      </c>
      <c r="N311" s="18" t="str">
        <f t="shared" si="8"/>
        <v>February</v>
      </c>
      <c r="O311" s="18">
        <f t="shared" si="9"/>
        <v>2020</v>
      </c>
      <c r="P311" s="11" t="str">
        <f>TEXT(orders!$B311, "DDD")</f>
        <v>Mon</v>
      </c>
      <c r="Q311" s="11" t="str">
        <f>VLOOKUP(orders!C311,[1]customers!$A$1:$I$1001, 6,FALSE)</f>
        <v>West Hartford</v>
      </c>
    </row>
    <row r="312" spans="1:17" x14ac:dyDescent="0.3">
      <c r="A312" s="7" t="s">
        <v>651</v>
      </c>
      <c r="B312" s="8">
        <v>44586</v>
      </c>
      <c r="C312" s="9" t="s">
        <v>652</v>
      </c>
      <c r="D312" s="10" t="s">
        <v>154</v>
      </c>
      <c r="E312" s="9">
        <v>1</v>
      </c>
      <c r="F312" s="9" t="str">
        <f>VLOOKUP(C312,[1]customers!$A$1:$I$1001, 2, FALSE)</f>
        <v>Paola Brydell</v>
      </c>
      <c r="G312" s="9" t="str">
        <f>VLOOKUP(orders!C312,[1]customers!$A$1:$I$1001, 3, FALSE)</f>
        <v>pbrydell8m@bloglovin.com</v>
      </c>
      <c r="H312" s="9" t="str">
        <f>VLOOKUP(C312, [1]customers!$A$1:$I$1001, 7, FALSE)</f>
        <v>Ireland</v>
      </c>
      <c r="I312" s="11" t="str">
        <f>VLOOKUP(orders!D312,[1]products!$A$1:$G$49, 2,FALSE)</f>
        <v>Exc</v>
      </c>
      <c r="J312" s="11" t="str">
        <f>VLOOKUP(orders!D312,[1]products!$A$1:$G$49, 3,FALSE)</f>
        <v>L</v>
      </c>
      <c r="K312" s="12">
        <f>VLOOKUP(orders!D312,[1]products!$A$1:$G$49, 4,FALSE)</f>
        <v>1</v>
      </c>
      <c r="L312" s="12">
        <f>VLOOKUP(orders!D312,[1]products!$A$1:$G$49, 5,FALSE)</f>
        <v>14.85</v>
      </c>
      <c r="M312" s="13">
        <f>PRODUCT(orders!$E312,orders!$L312)</f>
        <v>14.85</v>
      </c>
      <c r="N312" s="11" t="str">
        <f t="shared" si="8"/>
        <v>January</v>
      </c>
      <c r="O312" s="11">
        <f t="shared" si="9"/>
        <v>2022</v>
      </c>
      <c r="P312" s="11" t="str">
        <f>TEXT(orders!$B312, "DDD")</f>
        <v>Tue</v>
      </c>
      <c r="Q312" s="11" t="str">
        <f>VLOOKUP(orders!C312,[1]customers!$A$1:$I$1001, 6,FALSE)</f>
        <v>Listowel</v>
      </c>
    </row>
    <row r="313" spans="1:17" x14ac:dyDescent="0.3">
      <c r="A313" s="14" t="s">
        <v>653</v>
      </c>
      <c r="B313" s="15">
        <v>43951</v>
      </c>
      <c r="C313" s="16" t="s">
        <v>640</v>
      </c>
      <c r="D313" s="17" t="s">
        <v>129</v>
      </c>
      <c r="E313" s="16">
        <v>6</v>
      </c>
      <c r="F313" s="9" t="str">
        <f>VLOOKUP(C313,[1]customers!$A$1:$I$1001, 2, FALSE)</f>
        <v>Claudetta Rushe</v>
      </c>
      <c r="G313" s="16" t="str">
        <f>VLOOKUP(orders!C313,[1]customers!$A$1:$I$1001, 3, FALSE)</f>
        <v>crushe8n@about.me</v>
      </c>
      <c r="H313" s="16" t="str">
        <f>VLOOKUP(C313, [1]customers!$A$1:$I$1001, 7, FALSE)</f>
        <v>United States</v>
      </c>
      <c r="I313" s="18" t="str">
        <f>VLOOKUP(orders!D313,[1]products!$A$1:$G$49, 2,FALSE)</f>
        <v>Exc</v>
      </c>
      <c r="J313" s="18" t="str">
        <f>VLOOKUP(orders!D313,[1]products!$A$1:$G$49, 3,FALSE)</f>
        <v>M</v>
      </c>
      <c r="K313" s="19">
        <f>VLOOKUP(orders!D313,[1]products!$A$1:$G$49, 4,FALSE)</f>
        <v>2.5</v>
      </c>
      <c r="L313" s="19">
        <f>VLOOKUP(orders!D313,[1]products!$A$1:$G$49, 5,FALSE)</f>
        <v>31.624999999999996</v>
      </c>
      <c r="M313" s="13">
        <f>PRODUCT(orders!$E313,orders!$L313)</f>
        <v>189.74999999999997</v>
      </c>
      <c r="N313" s="18" t="str">
        <f t="shared" si="8"/>
        <v>April</v>
      </c>
      <c r="O313" s="18">
        <f t="shared" si="9"/>
        <v>2020</v>
      </c>
      <c r="P313" s="11" t="str">
        <f>TEXT(orders!$B313, "DDD")</f>
        <v>Thu</v>
      </c>
      <c r="Q313" s="11" t="str">
        <f>VLOOKUP(orders!C313,[1]customers!$A$1:$I$1001, 6,FALSE)</f>
        <v>Charlotte</v>
      </c>
    </row>
    <row r="314" spans="1:17" x14ac:dyDescent="0.3">
      <c r="A314" s="7" t="s">
        <v>654</v>
      </c>
      <c r="B314" s="8">
        <v>44317</v>
      </c>
      <c r="C314" s="9" t="s">
        <v>655</v>
      </c>
      <c r="D314" s="10" t="s">
        <v>39</v>
      </c>
      <c r="E314" s="9">
        <v>1</v>
      </c>
      <c r="F314" s="9" t="str">
        <f>VLOOKUP(C314,[1]customers!$A$1:$I$1001, 2, FALSE)</f>
        <v>Natka Leethem</v>
      </c>
      <c r="G314" s="9" t="str">
        <f>VLOOKUP(orders!C314,[1]customers!$A$1:$I$1001, 3, FALSE)</f>
        <v>nleethem8o@mac.com</v>
      </c>
      <c r="H314" s="9" t="str">
        <f>VLOOKUP(C314, [1]customers!$A$1:$I$1001, 7, FALSE)</f>
        <v>United States</v>
      </c>
      <c r="I314" s="11" t="str">
        <f>VLOOKUP(orders!D314,[1]products!$A$1:$G$49, 2,FALSE)</f>
        <v>Rob</v>
      </c>
      <c r="J314" s="11" t="str">
        <f>VLOOKUP(orders!D314,[1]products!$A$1:$G$49, 3,FALSE)</f>
        <v>M</v>
      </c>
      <c r="K314" s="12">
        <f>VLOOKUP(orders!D314,[1]products!$A$1:$G$49, 4,FALSE)</f>
        <v>0.5</v>
      </c>
      <c r="L314" s="12">
        <f>VLOOKUP(orders!D314,[1]products!$A$1:$G$49, 5,FALSE)</f>
        <v>5.97</v>
      </c>
      <c r="M314" s="13">
        <f>PRODUCT(orders!$E314,orders!$L314)</f>
        <v>5.97</v>
      </c>
      <c r="N314" s="11" t="str">
        <f t="shared" si="8"/>
        <v>May</v>
      </c>
      <c r="O314" s="11">
        <f t="shared" si="9"/>
        <v>2021</v>
      </c>
      <c r="P314" s="11" t="str">
        <f>TEXT(orders!$B314, "DDD")</f>
        <v>Sat</v>
      </c>
      <c r="Q314" s="11" t="str">
        <f>VLOOKUP(orders!C314,[1]customers!$A$1:$I$1001, 6,FALSE)</f>
        <v>Alexandria</v>
      </c>
    </row>
    <row r="315" spans="1:17" x14ac:dyDescent="0.3">
      <c r="A315" s="14" t="s">
        <v>656</v>
      </c>
      <c r="B315" s="15">
        <v>44497</v>
      </c>
      <c r="C315" s="16" t="s">
        <v>657</v>
      </c>
      <c r="D315" s="17" t="s">
        <v>19</v>
      </c>
      <c r="E315" s="16">
        <v>3</v>
      </c>
      <c r="F315" s="9" t="str">
        <f>VLOOKUP(C315,[1]customers!$A$1:$I$1001, 2, FALSE)</f>
        <v>Ailene Nesfield</v>
      </c>
      <c r="G315" s="16" t="str">
        <f>VLOOKUP(orders!C315,[1]customers!$A$1:$I$1001, 3, FALSE)</f>
        <v>anesfield8p@people.com.cn</v>
      </c>
      <c r="H315" s="16" t="str">
        <f>VLOOKUP(C315, [1]customers!$A$1:$I$1001, 7, FALSE)</f>
        <v>United Kingdom</v>
      </c>
      <c r="I315" s="18" t="str">
        <f>VLOOKUP(orders!D315,[1]products!$A$1:$G$49, 2,FALSE)</f>
        <v>Rob</v>
      </c>
      <c r="J315" s="18" t="str">
        <f>VLOOKUP(orders!D315,[1]products!$A$1:$G$49, 3,FALSE)</f>
        <v>M</v>
      </c>
      <c r="K315" s="19">
        <f>VLOOKUP(orders!D315,[1]products!$A$1:$G$49, 4,FALSE)</f>
        <v>1</v>
      </c>
      <c r="L315" s="19">
        <f>VLOOKUP(orders!D315,[1]products!$A$1:$G$49, 5,FALSE)</f>
        <v>9.9499999999999993</v>
      </c>
      <c r="M315" s="13">
        <f>PRODUCT(orders!$E315,orders!$L315)</f>
        <v>29.849999999999998</v>
      </c>
      <c r="N315" s="18" t="str">
        <f t="shared" si="8"/>
        <v>October</v>
      </c>
      <c r="O315" s="18">
        <f t="shared" si="9"/>
        <v>2021</v>
      </c>
      <c r="P315" s="11" t="str">
        <f>TEXT(orders!$B315, "DDD")</f>
        <v>Thu</v>
      </c>
      <c r="Q315" s="11" t="str">
        <f>VLOOKUP(orders!C315,[1]customers!$A$1:$I$1001, 6,FALSE)</f>
        <v>Belfast</v>
      </c>
    </row>
    <row r="316" spans="1:17" x14ac:dyDescent="0.3">
      <c r="A316" s="7" t="s">
        <v>658</v>
      </c>
      <c r="B316" s="8">
        <v>44437</v>
      </c>
      <c r="C316" s="9" t="s">
        <v>659</v>
      </c>
      <c r="D316" s="10" t="s">
        <v>196</v>
      </c>
      <c r="E316" s="9">
        <v>5</v>
      </c>
      <c r="F316" s="9" t="str">
        <f>VLOOKUP(C316,[1]customers!$A$1:$I$1001, 2, FALSE)</f>
        <v>Stacy Pickworth</v>
      </c>
      <c r="G316" s="9">
        <f>VLOOKUP(orders!C316,[1]customers!$A$1:$I$1001, 3, FALSE)</f>
        <v>0</v>
      </c>
      <c r="H316" s="9" t="str">
        <f>VLOOKUP(C316, [1]customers!$A$1:$I$1001, 7, FALSE)</f>
        <v>United States</v>
      </c>
      <c r="I316" s="11" t="str">
        <f>VLOOKUP(orders!D316,[1]products!$A$1:$G$49, 2,FALSE)</f>
        <v>Rob</v>
      </c>
      <c r="J316" s="11" t="str">
        <f>VLOOKUP(orders!D316,[1]products!$A$1:$G$49, 3,FALSE)</f>
        <v>D</v>
      </c>
      <c r="K316" s="12">
        <f>VLOOKUP(orders!D316,[1]products!$A$1:$G$49, 4,FALSE)</f>
        <v>1</v>
      </c>
      <c r="L316" s="12">
        <f>VLOOKUP(orders!D316,[1]products!$A$1:$G$49, 5,FALSE)</f>
        <v>8.9499999999999993</v>
      </c>
      <c r="M316" s="13">
        <f>PRODUCT(orders!$E316,orders!$L316)</f>
        <v>44.75</v>
      </c>
      <c r="N316" s="11" t="str">
        <f t="shared" si="8"/>
        <v>August</v>
      </c>
      <c r="O316" s="11">
        <f t="shared" si="9"/>
        <v>2021</v>
      </c>
      <c r="P316" s="11" t="str">
        <f>TEXT(orders!$B316, "DDD")</f>
        <v>Sun</v>
      </c>
      <c r="Q316" s="11" t="str">
        <f>VLOOKUP(orders!C316,[1]customers!$A$1:$I$1001, 6,FALSE)</f>
        <v>Las Vegas</v>
      </c>
    </row>
    <row r="317" spans="1:17" x14ac:dyDescent="0.3">
      <c r="A317" s="14" t="s">
        <v>660</v>
      </c>
      <c r="B317" s="15">
        <v>43826</v>
      </c>
      <c r="C317" s="16" t="s">
        <v>661</v>
      </c>
      <c r="D317" s="17" t="s">
        <v>47</v>
      </c>
      <c r="E317" s="16">
        <v>1</v>
      </c>
      <c r="F317" s="9" t="str">
        <f>VLOOKUP(C317,[1]customers!$A$1:$I$1001, 2, FALSE)</f>
        <v>Melli Brockway</v>
      </c>
      <c r="G317" s="16" t="str">
        <f>VLOOKUP(orders!C317,[1]customers!$A$1:$I$1001, 3, FALSE)</f>
        <v>mbrockway8r@ibm.com</v>
      </c>
      <c r="H317" s="16" t="str">
        <f>VLOOKUP(C317, [1]customers!$A$1:$I$1001, 7, FALSE)</f>
        <v>United States</v>
      </c>
      <c r="I317" s="18" t="str">
        <f>VLOOKUP(orders!D317,[1]products!$A$1:$G$49, 2,FALSE)</f>
        <v>Exc</v>
      </c>
      <c r="J317" s="18" t="str">
        <f>VLOOKUP(orders!D317,[1]products!$A$1:$G$49, 3,FALSE)</f>
        <v>L</v>
      </c>
      <c r="K317" s="19">
        <f>VLOOKUP(orders!D317,[1]products!$A$1:$G$49, 4,FALSE)</f>
        <v>2.5</v>
      </c>
      <c r="L317" s="19">
        <f>VLOOKUP(orders!D317,[1]products!$A$1:$G$49, 5,FALSE)</f>
        <v>34.154999999999994</v>
      </c>
      <c r="M317" s="13">
        <f>PRODUCT(orders!$E317,orders!$L317)</f>
        <v>34.154999999999994</v>
      </c>
      <c r="N317" s="18" t="str">
        <f t="shared" si="8"/>
        <v>December</v>
      </c>
      <c r="O317" s="18">
        <f t="shared" si="9"/>
        <v>2019</v>
      </c>
      <c r="P317" s="11" t="str">
        <f>TEXT(orders!$B317, "DDD")</f>
        <v>Fri</v>
      </c>
      <c r="Q317" s="11" t="str">
        <f>VLOOKUP(orders!C317,[1]customers!$A$1:$I$1001, 6,FALSE)</f>
        <v>Des Moines</v>
      </c>
    </row>
    <row r="318" spans="1:17" x14ac:dyDescent="0.3">
      <c r="A318" s="7" t="s">
        <v>662</v>
      </c>
      <c r="B318" s="8">
        <v>43641</v>
      </c>
      <c r="C318" s="9" t="s">
        <v>663</v>
      </c>
      <c r="D318" s="10" t="s">
        <v>47</v>
      </c>
      <c r="E318" s="9">
        <v>6</v>
      </c>
      <c r="F318" s="9" t="str">
        <f>VLOOKUP(C318,[1]customers!$A$1:$I$1001, 2, FALSE)</f>
        <v>Nanny Lush</v>
      </c>
      <c r="G318" s="9" t="str">
        <f>VLOOKUP(orders!C318,[1]customers!$A$1:$I$1001, 3, FALSE)</f>
        <v>nlush8s@dedecms.com</v>
      </c>
      <c r="H318" s="9" t="str">
        <f>VLOOKUP(C318, [1]customers!$A$1:$I$1001, 7, FALSE)</f>
        <v>Ireland</v>
      </c>
      <c r="I318" s="11" t="str">
        <f>VLOOKUP(orders!D318,[1]products!$A$1:$G$49, 2,FALSE)</f>
        <v>Exc</v>
      </c>
      <c r="J318" s="11" t="str">
        <f>VLOOKUP(orders!D318,[1]products!$A$1:$G$49, 3,FALSE)</f>
        <v>L</v>
      </c>
      <c r="K318" s="12">
        <f>VLOOKUP(orders!D318,[1]products!$A$1:$G$49, 4,FALSE)</f>
        <v>2.5</v>
      </c>
      <c r="L318" s="12">
        <f>VLOOKUP(orders!D318,[1]products!$A$1:$G$49, 5,FALSE)</f>
        <v>34.154999999999994</v>
      </c>
      <c r="M318" s="13">
        <f>PRODUCT(orders!$E318,orders!$L318)</f>
        <v>204.92999999999995</v>
      </c>
      <c r="N318" s="11" t="str">
        <f t="shared" si="8"/>
        <v>June</v>
      </c>
      <c r="O318" s="11">
        <f t="shared" si="9"/>
        <v>2019</v>
      </c>
      <c r="P318" s="11" t="str">
        <f>TEXT(orders!$B318, "DDD")</f>
        <v>Tue</v>
      </c>
      <c r="Q318" s="11" t="str">
        <f>VLOOKUP(orders!C318,[1]customers!$A$1:$I$1001, 6,FALSE)</f>
        <v>Ballivor</v>
      </c>
    </row>
    <row r="319" spans="1:17" x14ac:dyDescent="0.3">
      <c r="A319" s="14" t="s">
        <v>664</v>
      </c>
      <c r="B319" s="15">
        <v>43526</v>
      </c>
      <c r="C319" s="16" t="s">
        <v>665</v>
      </c>
      <c r="D319" s="17" t="s">
        <v>33</v>
      </c>
      <c r="E319" s="16">
        <v>3</v>
      </c>
      <c r="F319" s="9" t="str">
        <f>VLOOKUP(C319,[1]customers!$A$1:$I$1001, 2, FALSE)</f>
        <v>Selma McMillian</v>
      </c>
      <c r="G319" s="16" t="str">
        <f>VLOOKUP(orders!C319,[1]customers!$A$1:$I$1001, 3, FALSE)</f>
        <v>smcmillian8t@csmonitor.com</v>
      </c>
      <c r="H319" s="16" t="str">
        <f>VLOOKUP(C319, [1]customers!$A$1:$I$1001, 7, FALSE)</f>
        <v>United States</v>
      </c>
      <c r="I319" s="18" t="str">
        <f>VLOOKUP(orders!D319,[1]products!$A$1:$G$49, 2,FALSE)</f>
        <v>Exc</v>
      </c>
      <c r="J319" s="18" t="str">
        <f>VLOOKUP(orders!D319,[1]products!$A$1:$G$49, 3,FALSE)</f>
        <v>D</v>
      </c>
      <c r="K319" s="19">
        <f>VLOOKUP(orders!D319,[1]products!$A$1:$G$49, 4,FALSE)</f>
        <v>0.5</v>
      </c>
      <c r="L319" s="19">
        <f>VLOOKUP(orders!D319,[1]products!$A$1:$G$49, 5,FALSE)</f>
        <v>7.29</v>
      </c>
      <c r="M319" s="13">
        <f>PRODUCT(orders!$E319,orders!$L319)</f>
        <v>21.87</v>
      </c>
      <c r="N319" s="18" t="str">
        <f t="shared" si="8"/>
        <v>March</v>
      </c>
      <c r="O319" s="18">
        <f t="shared" si="9"/>
        <v>2019</v>
      </c>
      <c r="P319" s="11" t="str">
        <f>TEXT(orders!$B319, "DDD")</f>
        <v>Sat</v>
      </c>
      <c r="Q319" s="11" t="str">
        <f>VLOOKUP(orders!C319,[1]customers!$A$1:$I$1001, 6,FALSE)</f>
        <v>Akron</v>
      </c>
    </row>
    <row r="320" spans="1:17" x14ac:dyDescent="0.3">
      <c r="A320" s="7" t="s">
        <v>666</v>
      </c>
      <c r="B320" s="8">
        <v>44563</v>
      </c>
      <c r="C320" s="9" t="s">
        <v>667</v>
      </c>
      <c r="D320" s="10" t="s">
        <v>188</v>
      </c>
      <c r="E320" s="9">
        <v>2</v>
      </c>
      <c r="F320" s="9" t="str">
        <f>VLOOKUP(C320,[1]customers!$A$1:$I$1001, 2, FALSE)</f>
        <v>Tess Bennison</v>
      </c>
      <c r="G320" s="9" t="str">
        <f>VLOOKUP(orders!C320,[1]customers!$A$1:$I$1001, 3, FALSE)</f>
        <v>tbennison8u@google.cn</v>
      </c>
      <c r="H320" s="9" t="str">
        <f>VLOOKUP(C320, [1]customers!$A$1:$I$1001, 7, FALSE)</f>
        <v>United States</v>
      </c>
      <c r="I320" s="11" t="str">
        <f>VLOOKUP(orders!D320,[1]products!$A$1:$G$49, 2,FALSE)</f>
        <v>Ara</v>
      </c>
      <c r="J320" s="11" t="str">
        <f>VLOOKUP(orders!D320,[1]products!$A$1:$G$49, 3,FALSE)</f>
        <v>M</v>
      </c>
      <c r="K320" s="12">
        <f>VLOOKUP(orders!D320,[1]products!$A$1:$G$49, 4,FALSE)</f>
        <v>2.5</v>
      </c>
      <c r="L320" s="12">
        <f>VLOOKUP(orders!D320,[1]products!$A$1:$G$49, 5,FALSE)</f>
        <v>25.874999999999996</v>
      </c>
      <c r="M320" s="13">
        <f>PRODUCT(orders!$E320,orders!$L320)</f>
        <v>51.749999999999993</v>
      </c>
      <c r="N320" s="11" t="str">
        <f t="shared" si="8"/>
        <v>January</v>
      </c>
      <c r="O320" s="11">
        <f t="shared" si="9"/>
        <v>2022</v>
      </c>
      <c r="P320" s="11" t="str">
        <f>TEXT(orders!$B320, "DDD")</f>
        <v>Sun</v>
      </c>
      <c r="Q320" s="11" t="str">
        <f>VLOOKUP(orders!C320,[1]customers!$A$1:$I$1001, 6,FALSE)</f>
        <v>West Palm Beach</v>
      </c>
    </row>
    <row r="321" spans="1:17" x14ac:dyDescent="0.3">
      <c r="A321" s="14" t="s">
        <v>668</v>
      </c>
      <c r="B321" s="15">
        <v>43676</v>
      </c>
      <c r="C321" s="16" t="s">
        <v>669</v>
      </c>
      <c r="D321" s="17" t="s">
        <v>81</v>
      </c>
      <c r="E321" s="16">
        <v>2</v>
      </c>
      <c r="F321" s="9" t="str">
        <f>VLOOKUP(C321,[1]customers!$A$1:$I$1001, 2, FALSE)</f>
        <v>Gabie Tweed</v>
      </c>
      <c r="G321" s="16" t="str">
        <f>VLOOKUP(orders!C321,[1]customers!$A$1:$I$1001, 3, FALSE)</f>
        <v>gtweed8v@yolasite.com</v>
      </c>
      <c r="H321" s="16" t="str">
        <f>VLOOKUP(C321, [1]customers!$A$1:$I$1001, 7, FALSE)</f>
        <v>United States</v>
      </c>
      <c r="I321" s="18" t="str">
        <f>VLOOKUP(orders!D321,[1]products!$A$1:$G$49, 2,FALSE)</f>
        <v>Exc</v>
      </c>
      <c r="J321" s="18" t="str">
        <f>VLOOKUP(orders!D321,[1]products!$A$1:$G$49, 3,FALSE)</f>
        <v>M</v>
      </c>
      <c r="K321" s="19">
        <f>VLOOKUP(orders!D321,[1]products!$A$1:$G$49, 4,FALSE)</f>
        <v>0.2</v>
      </c>
      <c r="L321" s="19">
        <f>VLOOKUP(orders!D321,[1]products!$A$1:$G$49, 5,FALSE)</f>
        <v>4.125</v>
      </c>
      <c r="M321" s="13">
        <f>PRODUCT(orders!$E321,orders!$L321)</f>
        <v>8.25</v>
      </c>
      <c r="N321" s="18" t="str">
        <f t="shared" si="8"/>
        <v>July</v>
      </c>
      <c r="O321" s="18">
        <f t="shared" si="9"/>
        <v>2019</v>
      </c>
      <c r="P321" s="11" t="str">
        <f>TEXT(orders!$B321, "DDD")</f>
        <v>Tue</v>
      </c>
      <c r="Q321" s="11" t="str">
        <f>VLOOKUP(orders!C321,[1]customers!$A$1:$I$1001, 6,FALSE)</f>
        <v>Fresno</v>
      </c>
    </row>
    <row r="322" spans="1:17" x14ac:dyDescent="0.3">
      <c r="A322" s="7" t="s">
        <v>668</v>
      </c>
      <c r="B322" s="8">
        <v>43676</v>
      </c>
      <c r="C322" s="9" t="s">
        <v>669</v>
      </c>
      <c r="D322" s="10" t="s">
        <v>132</v>
      </c>
      <c r="E322" s="9">
        <v>5</v>
      </c>
      <c r="F322" s="9" t="str">
        <f>VLOOKUP(C322,[1]customers!$A$1:$I$1001, 2, FALSE)</f>
        <v>Gabie Tweed</v>
      </c>
      <c r="G322" s="9" t="str">
        <f>VLOOKUP(orders!C322,[1]customers!$A$1:$I$1001, 3, FALSE)</f>
        <v>gtweed8v@yolasite.com</v>
      </c>
      <c r="H322" s="9" t="str">
        <f>VLOOKUP(C322, [1]customers!$A$1:$I$1001, 7, FALSE)</f>
        <v>United States</v>
      </c>
      <c r="I322" s="11" t="str">
        <f>VLOOKUP(orders!D322,[1]products!$A$1:$G$49, 2,FALSE)</f>
        <v>Ara</v>
      </c>
      <c r="J322" s="11" t="str">
        <f>VLOOKUP(orders!D322,[1]products!$A$1:$G$49, 3,FALSE)</f>
        <v>L</v>
      </c>
      <c r="K322" s="12">
        <f>VLOOKUP(orders!D322,[1]products!$A$1:$G$49, 4,FALSE)</f>
        <v>0.2</v>
      </c>
      <c r="L322" s="12">
        <f>VLOOKUP(orders!D322,[1]products!$A$1:$G$49, 5,FALSE)</f>
        <v>3.8849999999999998</v>
      </c>
      <c r="M322" s="13">
        <f>PRODUCT(orders!$E322,orders!$L322)</f>
        <v>19.424999999999997</v>
      </c>
      <c r="N322" s="11" t="str">
        <f t="shared" ref="N322:N385" si="10">TEXT(B322, "mmmm")</f>
        <v>July</v>
      </c>
      <c r="O322" s="11">
        <f t="shared" ref="O322:O385" si="11">YEAR(B322)</f>
        <v>2019</v>
      </c>
      <c r="P322" s="11" t="str">
        <f>TEXT(orders!$B322, "DDD")</f>
        <v>Tue</v>
      </c>
      <c r="Q322" s="11" t="str">
        <f>VLOOKUP(orders!C322,[1]customers!$A$1:$I$1001, 6,FALSE)</f>
        <v>Fresno</v>
      </c>
    </row>
    <row r="323" spans="1:17" x14ac:dyDescent="0.3">
      <c r="A323" s="14" t="s">
        <v>670</v>
      </c>
      <c r="B323" s="15">
        <v>44170</v>
      </c>
      <c r="C323" s="16" t="s">
        <v>671</v>
      </c>
      <c r="D323" s="17" t="s">
        <v>61</v>
      </c>
      <c r="E323" s="16">
        <v>6</v>
      </c>
      <c r="F323" s="9" t="str">
        <f>VLOOKUP(C323,[1]customers!$A$1:$I$1001, 2, FALSE)</f>
        <v>Gaile Goggin</v>
      </c>
      <c r="G323" s="16" t="str">
        <f>VLOOKUP(orders!C323,[1]customers!$A$1:$I$1001, 3, FALSE)</f>
        <v>ggoggin8x@wix.com</v>
      </c>
      <c r="H323" s="16" t="str">
        <f>VLOOKUP(C323, [1]customers!$A$1:$I$1001, 7, FALSE)</f>
        <v>Ireland</v>
      </c>
      <c r="I323" s="18" t="str">
        <f>VLOOKUP(orders!D323,[1]products!$A$1:$G$49, 2,FALSE)</f>
        <v>Ara</v>
      </c>
      <c r="J323" s="18" t="str">
        <f>VLOOKUP(orders!D323,[1]products!$A$1:$G$49, 3,FALSE)</f>
        <v>M</v>
      </c>
      <c r="K323" s="19">
        <f>VLOOKUP(orders!D323,[1]products!$A$1:$G$49, 4,FALSE)</f>
        <v>0.2</v>
      </c>
      <c r="L323" s="19">
        <f>VLOOKUP(orders!D323,[1]products!$A$1:$G$49, 5,FALSE)</f>
        <v>3.375</v>
      </c>
      <c r="M323" s="13">
        <f>PRODUCT(orders!$E323,orders!$L323)</f>
        <v>20.25</v>
      </c>
      <c r="N323" s="18" t="str">
        <f t="shared" si="10"/>
        <v>December</v>
      </c>
      <c r="O323" s="18">
        <f t="shared" si="11"/>
        <v>2020</v>
      </c>
      <c r="P323" s="11" t="str">
        <f>TEXT(orders!$B323, "DDD")</f>
        <v>Sat</v>
      </c>
      <c r="Q323" s="11" t="str">
        <f>VLOOKUP(orders!C323,[1]customers!$A$1:$I$1001, 6,FALSE)</f>
        <v>Sandyford</v>
      </c>
    </row>
    <row r="324" spans="1:17" x14ac:dyDescent="0.3">
      <c r="A324" s="7" t="s">
        <v>672</v>
      </c>
      <c r="B324" s="8">
        <v>44182</v>
      </c>
      <c r="C324" s="9" t="s">
        <v>673</v>
      </c>
      <c r="D324" s="10" t="s">
        <v>140</v>
      </c>
      <c r="E324" s="9">
        <v>3</v>
      </c>
      <c r="F324" s="9" t="str">
        <f>VLOOKUP(C324,[1]customers!$A$1:$I$1001, 2, FALSE)</f>
        <v>Skylar Jeyness</v>
      </c>
      <c r="G324" s="9" t="str">
        <f>VLOOKUP(orders!C324,[1]customers!$A$1:$I$1001, 3, FALSE)</f>
        <v>sjeyness8y@biglobe.ne.jp</v>
      </c>
      <c r="H324" s="9" t="str">
        <f>VLOOKUP(C324, [1]customers!$A$1:$I$1001, 7, FALSE)</f>
        <v>Ireland</v>
      </c>
      <c r="I324" s="11" t="str">
        <f>VLOOKUP(orders!D324,[1]products!$A$1:$G$49, 2,FALSE)</f>
        <v>Lib</v>
      </c>
      <c r="J324" s="11" t="str">
        <f>VLOOKUP(orders!D324,[1]products!$A$1:$G$49, 3,FALSE)</f>
        <v>D</v>
      </c>
      <c r="K324" s="12">
        <f>VLOOKUP(orders!D324,[1]products!$A$1:$G$49, 4,FALSE)</f>
        <v>0.5</v>
      </c>
      <c r="L324" s="12">
        <f>VLOOKUP(orders!D324,[1]products!$A$1:$G$49, 5,FALSE)</f>
        <v>7.77</v>
      </c>
      <c r="M324" s="13">
        <f>PRODUCT(orders!$E324,orders!$L324)</f>
        <v>23.31</v>
      </c>
      <c r="N324" s="11" t="str">
        <f t="shared" si="10"/>
        <v>December</v>
      </c>
      <c r="O324" s="11">
        <f t="shared" si="11"/>
        <v>2020</v>
      </c>
      <c r="P324" s="11" t="str">
        <f>TEXT(orders!$B324, "DDD")</f>
        <v>Thu</v>
      </c>
      <c r="Q324" s="11" t="str">
        <f>VLOOKUP(orders!C324,[1]customers!$A$1:$I$1001, 6,FALSE)</f>
        <v>Dublin</v>
      </c>
    </row>
    <row r="325" spans="1:17" x14ac:dyDescent="0.3">
      <c r="A325" s="14" t="s">
        <v>674</v>
      </c>
      <c r="B325" s="15">
        <v>44373</v>
      </c>
      <c r="C325" s="16" t="s">
        <v>675</v>
      </c>
      <c r="D325" s="17" t="s">
        <v>68</v>
      </c>
      <c r="E325" s="16">
        <v>5</v>
      </c>
      <c r="F325" s="9" t="str">
        <f>VLOOKUP(C325,[1]customers!$A$1:$I$1001, 2, FALSE)</f>
        <v>Donica Bonhome</v>
      </c>
      <c r="G325" s="16" t="str">
        <f>VLOOKUP(orders!C325,[1]customers!$A$1:$I$1001, 3, FALSE)</f>
        <v>dbonhome8z@shinystat.com</v>
      </c>
      <c r="H325" s="16" t="str">
        <f>VLOOKUP(C325, [1]customers!$A$1:$I$1001, 7, FALSE)</f>
        <v>United States</v>
      </c>
      <c r="I325" s="18" t="str">
        <f>VLOOKUP(orders!D325,[1]products!$A$1:$G$49, 2,FALSE)</f>
        <v>Exc</v>
      </c>
      <c r="J325" s="18" t="str">
        <f>VLOOKUP(orders!D325,[1]products!$A$1:$G$49, 3,FALSE)</f>
        <v>D</v>
      </c>
      <c r="K325" s="19">
        <f>VLOOKUP(orders!D325,[1]products!$A$1:$G$49, 4,FALSE)</f>
        <v>0.2</v>
      </c>
      <c r="L325" s="19">
        <f>VLOOKUP(orders!D325,[1]products!$A$1:$G$49, 5,FALSE)</f>
        <v>3.645</v>
      </c>
      <c r="M325" s="13">
        <f>PRODUCT(orders!$E325,orders!$L325)</f>
        <v>18.225000000000001</v>
      </c>
      <c r="N325" s="18" t="str">
        <f t="shared" si="10"/>
        <v>June</v>
      </c>
      <c r="O325" s="18">
        <f t="shared" si="11"/>
        <v>2021</v>
      </c>
      <c r="P325" s="11" t="str">
        <f>TEXT(orders!$B325, "DDD")</f>
        <v>Sat</v>
      </c>
      <c r="Q325" s="11" t="str">
        <f>VLOOKUP(orders!C325,[1]customers!$A$1:$I$1001, 6,FALSE)</f>
        <v>Knoxville</v>
      </c>
    </row>
    <row r="326" spans="1:17" x14ac:dyDescent="0.3">
      <c r="A326" s="7" t="s">
        <v>676</v>
      </c>
      <c r="B326" s="8">
        <v>43666</v>
      </c>
      <c r="C326" s="9" t="s">
        <v>677</v>
      </c>
      <c r="D326" s="10" t="s">
        <v>26</v>
      </c>
      <c r="E326" s="9">
        <v>1</v>
      </c>
      <c r="F326" s="9" t="str">
        <f>VLOOKUP(C326,[1]customers!$A$1:$I$1001, 2, FALSE)</f>
        <v>Diena Peetermann</v>
      </c>
      <c r="G326" s="9">
        <f>VLOOKUP(orders!C326,[1]customers!$A$1:$I$1001, 3, FALSE)</f>
        <v>0</v>
      </c>
      <c r="H326" s="9" t="str">
        <f>VLOOKUP(C326, [1]customers!$A$1:$I$1001, 7, FALSE)</f>
        <v>United States</v>
      </c>
      <c r="I326" s="11" t="str">
        <f>VLOOKUP(orders!D326,[1]products!$A$1:$G$49, 2,FALSE)</f>
        <v>Exc</v>
      </c>
      <c r="J326" s="11" t="str">
        <f>VLOOKUP(orders!D326,[1]products!$A$1:$G$49, 3,FALSE)</f>
        <v>M</v>
      </c>
      <c r="K326" s="12">
        <f>VLOOKUP(orders!D326,[1]products!$A$1:$G$49, 4,FALSE)</f>
        <v>1</v>
      </c>
      <c r="L326" s="12">
        <f>VLOOKUP(orders!D326,[1]products!$A$1:$G$49, 5,FALSE)</f>
        <v>13.75</v>
      </c>
      <c r="M326" s="13">
        <f>PRODUCT(orders!$E326,orders!$L326)</f>
        <v>13.75</v>
      </c>
      <c r="N326" s="11" t="str">
        <f t="shared" si="10"/>
        <v>July</v>
      </c>
      <c r="O326" s="11">
        <f t="shared" si="11"/>
        <v>2019</v>
      </c>
      <c r="P326" s="11" t="str">
        <f>TEXT(orders!$B326, "DDD")</f>
        <v>Sat</v>
      </c>
      <c r="Q326" s="11" t="str">
        <f>VLOOKUP(orders!C326,[1]customers!$A$1:$I$1001, 6,FALSE)</f>
        <v>Shawnee Mission</v>
      </c>
    </row>
    <row r="327" spans="1:17" x14ac:dyDescent="0.3">
      <c r="A327" s="14" t="s">
        <v>678</v>
      </c>
      <c r="B327" s="15">
        <v>44756</v>
      </c>
      <c r="C327" s="16" t="s">
        <v>679</v>
      </c>
      <c r="D327" s="17" t="s">
        <v>221</v>
      </c>
      <c r="E327" s="16">
        <v>1</v>
      </c>
      <c r="F327" s="9" t="str">
        <f>VLOOKUP(C327,[1]customers!$A$1:$I$1001, 2, FALSE)</f>
        <v>Trina Le Sarr</v>
      </c>
      <c r="G327" s="16" t="str">
        <f>VLOOKUP(orders!C327,[1]customers!$A$1:$I$1001, 3, FALSE)</f>
        <v>tle91@epa.gov</v>
      </c>
      <c r="H327" s="16" t="str">
        <f>VLOOKUP(C327, [1]customers!$A$1:$I$1001, 7, FALSE)</f>
        <v>United States</v>
      </c>
      <c r="I327" s="18" t="str">
        <f>VLOOKUP(orders!D327,[1]products!$A$1:$G$49, 2,FALSE)</f>
        <v>Ara</v>
      </c>
      <c r="J327" s="18" t="str">
        <f>VLOOKUP(orders!D327,[1]products!$A$1:$G$49, 3,FALSE)</f>
        <v>L</v>
      </c>
      <c r="K327" s="19">
        <f>VLOOKUP(orders!D327,[1]products!$A$1:$G$49, 4,FALSE)</f>
        <v>2.5</v>
      </c>
      <c r="L327" s="19">
        <f>VLOOKUP(orders!D327,[1]products!$A$1:$G$49, 5,FALSE)</f>
        <v>29.784999999999997</v>
      </c>
      <c r="M327" s="13">
        <f>PRODUCT(orders!$E327,orders!$L327)</f>
        <v>29.784999999999997</v>
      </c>
      <c r="N327" s="18" t="str">
        <f t="shared" si="10"/>
        <v>July</v>
      </c>
      <c r="O327" s="18">
        <f t="shared" si="11"/>
        <v>2022</v>
      </c>
      <c r="P327" s="11" t="str">
        <f>TEXT(orders!$B327, "DDD")</f>
        <v>Thu</v>
      </c>
      <c r="Q327" s="11" t="str">
        <f>VLOOKUP(orders!C327,[1]customers!$A$1:$I$1001, 6,FALSE)</f>
        <v>San Francisco</v>
      </c>
    </row>
    <row r="328" spans="1:17" x14ac:dyDescent="0.3">
      <c r="A328" s="7" t="s">
        <v>680</v>
      </c>
      <c r="B328" s="8">
        <v>44057</v>
      </c>
      <c r="C328" s="9" t="s">
        <v>681</v>
      </c>
      <c r="D328" s="10" t="s">
        <v>196</v>
      </c>
      <c r="E328" s="9">
        <v>5</v>
      </c>
      <c r="F328" s="9" t="str">
        <f>VLOOKUP(C328,[1]customers!$A$1:$I$1001, 2, FALSE)</f>
        <v>Flynn Antony</v>
      </c>
      <c r="G328" s="9">
        <f>VLOOKUP(orders!C328,[1]customers!$A$1:$I$1001, 3, FALSE)</f>
        <v>0</v>
      </c>
      <c r="H328" s="9" t="str">
        <f>VLOOKUP(C328, [1]customers!$A$1:$I$1001, 7, FALSE)</f>
        <v>United States</v>
      </c>
      <c r="I328" s="11" t="str">
        <f>VLOOKUP(orders!D328,[1]products!$A$1:$G$49, 2,FALSE)</f>
        <v>Rob</v>
      </c>
      <c r="J328" s="11" t="str">
        <f>VLOOKUP(orders!D328,[1]products!$A$1:$G$49, 3,FALSE)</f>
        <v>D</v>
      </c>
      <c r="K328" s="12">
        <f>VLOOKUP(orders!D328,[1]products!$A$1:$G$49, 4,FALSE)</f>
        <v>1</v>
      </c>
      <c r="L328" s="12">
        <f>VLOOKUP(orders!D328,[1]products!$A$1:$G$49, 5,FALSE)</f>
        <v>8.9499999999999993</v>
      </c>
      <c r="M328" s="13">
        <f>PRODUCT(orders!$E328,orders!$L328)</f>
        <v>44.75</v>
      </c>
      <c r="N328" s="11" t="str">
        <f t="shared" si="10"/>
        <v>August</v>
      </c>
      <c r="O328" s="11">
        <f t="shared" si="11"/>
        <v>2020</v>
      </c>
      <c r="P328" s="11" t="str">
        <f>TEXT(orders!$B328, "DDD")</f>
        <v>Fri</v>
      </c>
      <c r="Q328" s="11" t="str">
        <f>VLOOKUP(orders!C328,[1]customers!$A$1:$I$1001, 6,FALSE)</f>
        <v>Birmingham</v>
      </c>
    </row>
    <row r="329" spans="1:17" x14ac:dyDescent="0.3">
      <c r="A329" s="14" t="s">
        <v>682</v>
      </c>
      <c r="B329" s="15">
        <v>43579</v>
      </c>
      <c r="C329" s="16" t="s">
        <v>683</v>
      </c>
      <c r="D329" s="17" t="s">
        <v>196</v>
      </c>
      <c r="E329" s="16">
        <v>5</v>
      </c>
      <c r="F329" s="9" t="str">
        <f>VLOOKUP(C329,[1]customers!$A$1:$I$1001, 2, FALSE)</f>
        <v>Baudoin Alldridge</v>
      </c>
      <c r="G329" s="16" t="str">
        <f>VLOOKUP(orders!C329,[1]customers!$A$1:$I$1001, 3, FALSE)</f>
        <v>balldridge93@yandex.ru</v>
      </c>
      <c r="H329" s="16" t="str">
        <f>VLOOKUP(C329, [1]customers!$A$1:$I$1001, 7, FALSE)</f>
        <v>United States</v>
      </c>
      <c r="I329" s="18" t="str">
        <f>VLOOKUP(orders!D329,[1]products!$A$1:$G$49, 2,FALSE)</f>
        <v>Rob</v>
      </c>
      <c r="J329" s="18" t="str">
        <f>VLOOKUP(orders!D329,[1]products!$A$1:$G$49, 3,FALSE)</f>
        <v>D</v>
      </c>
      <c r="K329" s="19">
        <f>VLOOKUP(orders!D329,[1]products!$A$1:$G$49, 4,FALSE)</f>
        <v>1</v>
      </c>
      <c r="L329" s="19">
        <f>VLOOKUP(orders!D329,[1]products!$A$1:$G$49, 5,FALSE)</f>
        <v>8.9499999999999993</v>
      </c>
      <c r="M329" s="13">
        <f>PRODUCT(orders!$E329,orders!$L329)</f>
        <v>44.75</v>
      </c>
      <c r="N329" s="18" t="str">
        <f t="shared" si="10"/>
        <v>April</v>
      </c>
      <c r="O329" s="18">
        <f t="shared" si="11"/>
        <v>2019</v>
      </c>
      <c r="P329" s="11" t="str">
        <f>TEXT(orders!$B329, "DDD")</f>
        <v>Wed</v>
      </c>
      <c r="Q329" s="11" t="str">
        <f>VLOOKUP(orders!C329,[1]customers!$A$1:$I$1001, 6,FALSE)</f>
        <v>Brooklyn</v>
      </c>
    </row>
    <row r="330" spans="1:17" x14ac:dyDescent="0.3">
      <c r="A330" s="7" t="s">
        <v>684</v>
      </c>
      <c r="B330" s="8">
        <v>43620</v>
      </c>
      <c r="C330" s="9" t="s">
        <v>685</v>
      </c>
      <c r="D330" s="10" t="s">
        <v>100</v>
      </c>
      <c r="E330" s="9">
        <v>4</v>
      </c>
      <c r="F330" s="9" t="str">
        <f>VLOOKUP(C330,[1]customers!$A$1:$I$1001, 2, FALSE)</f>
        <v>Homer Dulany</v>
      </c>
      <c r="G330" s="9">
        <f>VLOOKUP(orders!C330,[1]customers!$A$1:$I$1001, 3, FALSE)</f>
        <v>0</v>
      </c>
      <c r="H330" s="9" t="str">
        <f>VLOOKUP(C330, [1]customers!$A$1:$I$1001, 7, FALSE)</f>
        <v>United States</v>
      </c>
      <c r="I330" s="11" t="str">
        <f>VLOOKUP(orders!D330,[1]products!$A$1:$G$49, 2,FALSE)</f>
        <v>Lib</v>
      </c>
      <c r="J330" s="11" t="str">
        <f>VLOOKUP(orders!D330,[1]products!$A$1:$G$49, 3,FALSE)</f>
        <v>L</v>
      </c>
      <c r="K330" s="12">
        <f>VLOOKUP(orders!D330,[1]products!$A$1:$G$49, 4,FALSE)</f>
        <v>0.5</v>
      </c>
      <c r="L330" s="12">
        <f>VLOOKUP(orders!D330,[1]products!$A$1:$G$49, 5,FALSE)</f>
        <v>9.51</v>
      </c>
      <c r="M330" s="13">
        <f>PRODUCT(orders!$E330,orders!$L330)</f>
        <v>38.04</v>
      </c>
      <c r="N330" s="11" t="str">
        <f t="shared" si="10"/>
        <v>June</v>
      </c>
      <c r="O330" s="11">
        <f t="shared" si="11"/>
        <v>2019</v>
      </c>
      <c r="P330" s="11" t="str">
        <f>TEXT(orders!$B330, "DDD")</f>
        <v>Tue</v>
      </c>
      <c r="Q330" s="11" t="str">
        <f>VLOOKUP(orders!C330,[1]customers!$A$1:$I$1001, 6,FALSE)</f>
        <v>El Paso</v>
      </c>
    </row>
    <row r="331" spans="1:17" x14ac:dyDescent="0.3">
      <c r="A331" s="14" t="s">
        <v>686</v>
      </c>
      <c r="B331" s="15">
        <v>44781</v>
      </c>
      <c r="C331" s="16" t="s">
        <v>687</v>
      </c>
      <c r="D331" s="17" t="s">
        <v>163</v>
      </c>
      <c r="E331" s="16">
        <v>4</v>
      </c>
      <c r="F331" s="9" t="str">
        <f>VLOOKUP(C331,[1]customers!$A$1:$I$1001, 2, FALSE)</f>
        <v>Lisa Goodger</v>
      </c>
      <c r="G331" s="16" t="str">
        <f>VLOOKUP(orders!C331,[1]customers!$A$1:$I$1001, 3, FALSE)</f>
        <v>lgoodger95@guardian.co.uk</v>
      </c>
      <c r="H331" s="16" t="str">
        <f>VLOOKUP(C331, [1]customers!$A$1:$I$1001, 7, FALSE)</f>
        <v>United States</v>
      </c>
      <c r="I331" s="18" t="str">
        <f>VLOOKUP(orders!D331,[1]products!$A$1:$G$49, 2,FALSE)</f>
        <v>Rob</v>
      </c>
      <c r="J331" s="18" t="str">
        <f>VLOOKUP(orders!D331,[1]products!$A$1:$G$49, 3,FALSE)</f>
        <v>D</v>
      </c>
      <c r="K331" s="19">
        <f>VLOOKUP(orders!D331,[1]products!$A$1:$G$49, 4,FALSE)</f>
        <v>0.5</v>
      </c>
      <c r="L331" s="19">
        <f>VLOOKUP(orders!D331,[1]products!$A$1:$G$49, 5,FALSE)</f>
        <v>5.3699999999999992</v>
      </c>
      <c r="M331" s="13">
        <f>PRODUCT(orders!$E331,orders!$L331)</f>
        <v>21.479999999999997</v>
      </c>
      <c r="N331" s="18" t="str">
        <f t="shared" si="10"/>
        <v>August</v>
      </c>
      <c r="O331" s="18">
        <f t="shared" si="11"/>
        <v>2022</v>
      </c>
      <c r="P331" s="11" t="str">
        <f>TEXT(orders!$B331, "DDD")</f>
        <v>Mon</v>
      </c>
      <c r="Q331" s="11" t="str">
        <f>VLOOKUP(orders!C331,[1]customers!$A$1:$I$1001, 6,FALSE)</f>
        <v>Sacramento</v>
      </c>
    </row>
    <row r="332" spans="1:17" x14ac:dyDescent="0.3">
      <c r="A332" s="7" t="s">
        <v>688</v>
      </c>
      <c r="B332" s="8">
        <v>43782</v>
      </c>
      <c r="C332" s="9" t="s">
        <v>665</v>
      </c>
      <c r="D332" s="10" t="s">
        <v>163</v>
      </c>
      <c r="E332" s="9">
        <v>3</v>
      </c>
      <c r="F332" s="9" t="str">
        <f>VLOOKUP(C332,[1]customers!$A$1:$I$1001, 2, FALSE)</f>
        <v>Selma McMillian</v>
      </c>
      <c r="G332" s="9" t="str">
        <f>VLOOKUP(orders!C332,[1]customers!$A$1:$I$1001, 3, FALSE)</f>
        <v>smcmillian8t@csmonitor.com</v>
      </c>
      <c r="H332" s="9" t="str">
        <f>VLOOKUP(C332, [1]customers!$A$1:$I$1001, 7, FALSE)</f>
        <v>United States</v>
      </c>
      <c r="I332" s="11" t="str">
        <f>VLOOKUP(orders!D332,[1]products!$A$1:$G$49, 2,FALSE)</f>
        <v>Rob</v>
      </c>
      <c r="J332" s="11" t="str">
        <f>VLOOKUP(orders!D332,[1]products!$A$1:$G$49, 3,FALSE)</f>
        <v>D</v>
      </c>
      <c r="K332" s="12">
        <f>VLOOKUP(orders!D332,[1]products!$A$1:$G$49, 4,FALSE)</f>
        <v>0.5</v>
      </c>
      <c r="L332" s="12">
        <f>VLOOKUP(orders!D332,[1]products!$A$1:$G$49, 5,FALSE)</f>
        <v>5.3699999999999992</v>
      </c>
      <c r="M332" s="13">
        <f>PRODUCT(orders!$E332,orders!$L332)</f>
        <v>16.11</v>
      </c>
      <c r="N332" s="11" t="str">
        <f t="shared" si="10"/>
        <v>November</v>
      </c>
      <c r="O332" s="11">
        <f t="shared" si="11"/>
        <v>2019</v>
      </c>
      <c r="P332" s="11" t="str">
        <f>TEXT(orders!$B332, "DDD")</f>
        <v>Wed</v>
      </c>
      <c r="Q332" s="11" t="str">
        <f>VLOOKUP(orders!C332,[1]customers!$A$1:$I$1001, 6,FALSE)</f>
        <v>Akron</v>
      </c>
    </row>
    <row r="333" spans="1:17" x14ac:dyDescent="0.3">
      <c r="A333" s="14" t="s">
        <v>689</v>
      </c>
      <c r="B333" s="15">
        <v>43989</v>
      </c>
      <c r="C333" s="16" t="s">
        <v>690</v>
      </c>
      <c r="D333" s="17" t="s">
        <v>58</v>
      </c>
      <c r="E333" s="16">
        <v>1</v>
      </c>
      <c r="F333" s="9" t="str">
        <f>VLOOKUP(C333,[1]customers!$A$1:$I$1001, 2, FALSE)</f>
        <v>Corine Drewett</v>
      </c>
      <c r="G333" s="16" t="str">
        <f>VLOOKUP(orders!C333,[1]customers!$A$1:$I$1001, 3, FALSE)</f>
        <v>cdrewett97@wikipedia.org</v>
      </c>
      <c r="H333" s="16" t="str">
        <f>VLOOKUP(C333, [1]customers!$A$1:$I$1001, 7, FALSE)</f>
        <v>United States</v>
      </c>
      <c r="I333" s="18" t="str">
        <f>VLOOKUP(orders!D333,[1]products!$A$1:$G$49, 2,FALSE)</f>
        <v>Rob</v>
      </c>
      <c r="J333" s="18" t="str">
        <f>VLOOKUP(orders!D333,[1]products!$A$1:$G$49, 3,FALSE)</f>
        <v>M</v>
      </c>
      <c r="K333" s="19">
        <f>VLOOKUP(orders!D333,[1]products!$A$1:$G$49, 4,FALSE)</f>
        <v>2.5</v>
      </c>
      <c r="L333" s="19">
        <f>VLOOKUP(orders!D333,[1]products!$A$1:$G$49, 5,FALSE)</f>
        <v>22.884999999999998</v>
      </c>
      <c r="M333" s="13">
        <f>PRODUCT(orders!$E333,orders!$L333)</f>
        <v>22.884999999999998</v>
      </c>
      <c r="N333" s="18" t="str">
        <f t="shared" si="10"/>
        <v>June</v>
      </c>
      <c r="O333" s="18">
        <f t="shared" si="11"/>
        <v>2020</v>
      </c>
      <c r="P333" s="11" t="str">
        <f>TEXT(orders!$B333, "DDD")</f>
        <v>Sun</v>
      </c>
      <c r="Q333" s="11" t="str">
        <f>VLOOKUP(orders!C333,[1]customers!$A$1:$I$1001, 6,FALSE)</f>
        <v>Boynton Beach</v>
      </c>
    </row>
    <row r="334" spans="1:17" x14ac:dyDescent="0.3">
      <c r="A334" s="7" t="s">
        <v>691</v>
      </c>
      <c r="B334" s="8">
        <v>43689</v>
      </c>
      <c r="C334" s="9" t="s">
        <v>692</v>
      </c>
      <c r="D334" s="10" t="s">
        <v>89</v>
      </c>
      <c r="E334" s="9">
        <v>3</v>
      </c>
      <c r="F334" s="9" t="str">
        <f>VLOOKUP(C334,[1]customers!$A$1:$I$1001, 2, FALSE)</f>
        <v>Quinn Parsons</v>
      </c>
      <c r="G334" s="9" t="str">
        <f>VLOOKUP(orders!C334,[1]customers!$A$1:$I$1001, 3, FALSE)</f>
        <v>qparsons98@blogtalkradio.com</v>
      </c>
      <c r="H334" s="9" t="str">
        <f>VLOOKUP(C334, [1]customers!$A$1:$I$1001, 7, FALSE)</f>
        <v>United States</v>
      </c>
      <c r="I334" s="11" t="str">
        <f>VLOOKUP(orders!D334,[1]products!$A$1:$G$49, 2,FALSE)</f>
        <v>Ara</v>
      </c>
      <c r="J334" s="11" t="str">
        <f>VLOOKUP(orders!D334,[1]products!$A$1:$G$49, 3,FALSE)</f>
        <v>D</v>
      </c>
      <c r="K334" s="12">
        <f>VLOOKUP(orders!D334,[1]products!$A$1:$G$49, 4,FALSE)</f>
        <v>0.5</v>
      </c>
      <c r="L334" s="12">
        <f>VLOOKUP(orders!D334,[1]products!$A$1:$G$49, 5,FALSE)</f>
        <v>5.97</v>
      </c>
      <c r="M334" s="13">
        <f>PRODUCT(orders!$E334,orders!$L334)</f>
        <v>17.91</v>
      </c>
      <c r="N334" s="11" t="str">
        <f t="shared" si="10"/>
        <v>August</v>
      </c>
      <c r="O334" s="11">
        <f t="shared" si="11"/>
        <v>2019</v>
      </c>
      <c r="P334" s="11" t="str">
        <f>TEXT(orders!$B334, "DDD")</f>
        <v>Mon</v>
      </c>
      <c r="Q334" s="11" t="str">
        <f>VLOOKUP(orders!C334,[1]customers!$A$1:$I$1001, 6,FALSE)</f>
        <v>Los Angeles</v>
      </c>
    </row>
    <row r="335" spans="1:17" x14ac:dyDescent="0.3">
      <c r="A335" s="14" t="s">
        <v>693</v>
      </c>
      <c r="B335" s="15">
        <v>43712</v>
      </c>
      <c r="C335" s="16" t="s">
        <v>694</v>
      </c>
      <c r="D335" s="17" t="s">
        <v>39</v>
      </c>
      <c r="E335" s="16">
        <v>4</v>
      </c>
      <c r="F335" s="9" t="str">
        <f>VLOOKUP(C335,[1]customers!$A$1:$I$1001, 2, FALSE)</f>
        <v>Vivyan Ceely</v>
      </c>
      <c r="G335" s="16" t="str">
        <f>VLOOKUP(orders!C335,[1]customers!$A$1:$I$1001, 3, FALSE)</f>
        <v>vceely99@auda.org.au</v>
      </c>
      <c r="H335" s="16" t="str">
        <f>VLOOKUP(C335, [1]customers!$A$1:$I$1001, 7, FALSE)</f>
        <v>United States</v>
      </c>
      <c r="I335" s="18" t="str">
        <f>VLOOKUP(orders!D335,[1]products!$A$1:$G$49, 2,FALSE)</f>
        <v>Rob</v>
      </c>
      <c r="J335" s="18" t="str">
        <f>VLOOKUP(orders!D335,[1]products!$A$1:$G$49, 3,FALSE)</f>
        <v>M</v>
      </c>
      <c r="K335" s="19">
        <f>VLOOKUP(orders!D335,[1]products!$A$1:$G$49, 4,FALSE)</f>
        <v>0.5</v>
      </c>
      <c r="L335" s="19">
        <f>VLOOKUP(orders!D335,[1]products!$A$1:$G$49, 5,FALSE)</f>
        <v>5.97</v>
      </c>
      <c r="M335" s="13">
        <f>PRODUCT(orders!$E335,orders!$L335)</f>
        <v>23.88</v>
      </c>
      <c r="N335" s="18" t="str">
        <f t="shared" si="10"/>
        <v>September</v>
      </c>
      <c r="O335" s="18">
        <f t="shared" si="11"/>
        <v>2019</v>
      </c>
      <c r="P335" s="11" t="str">
        <f>TEXT(orders!$B335, "DDD")</f>
        <v>Wed</v>
      </c>
      <c r="Q335" s="11" t="str">
        <f>VLOOKUP(orders!C335,[1]customers!$A$1:$I$1001, 6,FALSE)</f>
        <v>Baltimore</v>
      </c>
    </row>
    <row r="336" spans="1:17" x14ac:dyDescent="0.3">
      <c r="A336" s="7" t="s">
        <v>695</v>
      </c>
      <c r="B336" s="8">
        <v>43742</v>
      </c>
      <c r="C336" s="9" t="s">
        <v>696</v>
      </c>
      <c r="D336" s="10" t="s">
        <v>206</v>
      </c>
      <c r="E336" s="9">
        <v>5</v>
      </c>
      <c r="F336" s="9" t="str">
        <f>VLOOKUP(C336,[1]customers!$A$1:$I$1001, 2, FALSE)</f>
        <v>Elonore Goodings</v>
      </c>
      <c r="G336" s="9">
        <f>VLOOKUP(orders!C336,[1]customers!$A$1:$I$1001, 3, FALSE)</f>
        <v>0</v>
      </c>
      <c r="H336" s="9" t="str">
        <f>VLOOKUP(C336, [1]customers!$A$1:$I$1001, 7, FALSE)</f>
        <v>United States</v>
      </c>
      <c r="I336" s="11" t="str">
        <f>VLOOKUP(orders!D336,[1]products!$A$1:$G$49, 2,FALSE)</f>
        <v>Rob</v>
      </c>
      <c r="J336" s="11" t="str">
        <f>VLOOKUP(orders!D336,[1]products!$A$1:$G$49, 3,FALSE)</f>
        <v>L</v>
      </c>
      <c r="K336" s="12">
        <f>VLOOKUP(orders!D336,[1]products!$A$1:$G$49, 4,FALSE)</f>
        <v>1</v>
      </c>
      <c r="L336" s="12">
        <f>VLOOKUP(orders!D336,[1]products!$A$1:$G$49, 5,FALSE)</f>
        <v>11.95</v>
      </c>
      <c r="M336" s="13">
        <f>PRODUCT(orders!$E336,orders!$L336)</f>
        <v>59.75</v>
      </c>
      <c r="N336" s="11" t="str">
        <f t="shared" si="10"/>
        <v>October</v>
      </c>
      <c r="O336" s="11">
        <f t="shared" si="11"/>
        <v>2019</v>
      </c>
      <c r="P336" s="11" t="str">
        <f>TEXT(orders!$B336, "DDD")</f>
        <v>Fri</v>
      </c>
      <c r="Q336" s="11" t="str">
        <f>VLOOKUP(orders!C336,[1]customers!$A$1:$I$1001, 6,FALSE)</f>
        <v>Salt Lake City</v>
      </c>
    </row>
    <row r="337" spans="1:17" x14ac:dyDescent="0.3">
      <c r="A337" s="14" t="s">
        <v>697</v>
      </c>
      <c r="B337" s="15">
        <v>43885</v>
      </c>
      <c r="C337" s="16" t="s">
        <v>698</v>
      </c>
      <c r="D337" s="17" t="s">
        <v>36</v>
      </c>
      <c r="E337" s="16">
        <v>6</v>
      </c>
      <c r="F337" s="9" t="str">
        <f>VLOOKUP(C337,[1]customers!$A$1:$I$1001, 2, FALSE)</f>
        <v>Clement Vasiliev</v>
      </c>
      <c r="G337" s="16" t="str">
        <f>VLOOKUP(orders!C337,[1]customers!$A$1:$I$1001, 3, FALSE)</f>
        <v>cvasiliev9b@discuz.net</v>
      </c>
      <c r="H337" s="16" t="str">
        <f>VLOOKUP(C337, [1]customers!$A$1:$I$1001, 7, FALSE)</f>
        <v>United States</v>
      </c>
      <c r="I337" s="18" t="str">
        <f>VLOOKUP(orders!D337,[1]products!$A$1:$G$49, 2,FALSE)</f>
        <v>Lib</v>
      </c>
      <c r="J337" s="18" t="str">
        <f>VLOOKUP(orders!D337,[1]products!$A$1:$G$49, 3,FALSE)</f>
        <v>L</v>
      </c>
      <c r="K337" s="19">
        <f>VLOOKUP(orders!D337,[1]products!$A$1:$G$49, 4,FALSE)</f>
        <v>0.2</v>
      </c>
      <c r="L337" s="19">
        <f>VLOOKUP(orders!D337,[1]products!$A$1:$G$49, 5,FALSE)</f>
        <v>4.7549999999999999</v>
      </c>
      <c r="M337" s="13">
        <f>PRODUCT(orders!$E337,orders!$L337)</f>
        <v>28.53</v>
      </c>
      <c r="N337" s="18" t="str">
        <f t="shared" si="10"/>
        <v>February</v>
      </c>
      <c r="O337" s="18">
        <f t="shared" si="11"/>
        <v>2020</v>
      </c>
      <c r="P337" s="11" t="str">
        <f>TEXT(orders!$B337, "DDD")</f>
        <v>Mon</v>
      </c>
      <c r="Q337" s="11" t="str">
        <f>VLOOKUP(orders!C337,[1]customers!$A$1:$I$1001, 6,FALSE)</f>
        <v>Garland</v>
      </c>
    </row>
    <row r="338" spans="1:17" x14ac:dyDescent="0.3">
      <c r="A338" s="7" t="s">
        <v>699</v>
      </c>
      <c r="B338" s="8">
        <v>44434</v>
      </c>
      <c r="C338" s="9" t="s">
        <v>700</v>
      </c>
      <c r="D338" s="10" t="s">
        <v>78</v>
      </c>
      <c r="E338" s="9">
        <v>4</v>
      </c>
      <c r="F338" s="9" t="str">
        <f>VLOOKUP(C338,[1]customers!$A$1:$I$1001, 2, FALSE)</f>
        <v>Terencio O'Moylan</v>
      </c>
      <c r="G338" s="9" t="str">
        <f>VLOOKUP(orders!C338,[1]customers!$A$1:$I$1001, 3, FALSE)</f>
        <v>tomoylan9c@liveinternet.ru</v>
      </c>
      <c r="H338" s="9" t="str">
        <f>VLOOKUP(C338, [1]customers!$A$1:$I$1001, 7, FALSE)</f>
        <v>United Kingdom</v>
      </c>
      <c r="I338" s="11" t="str">
        <f>VLOOKUP(orders!D338,[1]products!$A$1:$G$49, 2,FALSE)</f>
        <v>Ara</v>
      </c>
      <c r="J338" s="11" t="str">
        <f>VLOOKUP(orders!D338,[1]products!$A$1:$G$49, 3,FALSE)</f>
        <v>M</v>
      </c>
      <c r="K338" s="12">
        <f>VLOOKUP(orders!D338,[1]products!$A$1:$G$49, 4,FALSE)</f>
        <v>1</v>
      </c>
      <c r="L338" s="12">
        <f>VLOOKUP(orders!D338,[1]products!$A$1:$G$49, 5,FALSE)</f>
        <v>11.25</v>
      </c>
      <c r="M338" s="13">
        <f>PRODUCT(orders!$E338,orders!$L338)</f>
        <v>45</v>
      </c>
      <c r="N338" s="11" t="str">
        <f t="shared" si="10"/>
        <v>August</v>
      </c>
      <c r="O338" s="11">
        <f t="shared" si="11"/>
        <v>2021</v>
      </c>
      <c r="P338" s="11" t="str">
        <f>TEXT(orders!$B338, "DDD")</f>
        <v>Thu</v>
      </c>
      <c r="Q338" s="11" t="str">
        <f>VLOOKUP(orders!C338,[1]customers!$A$1:$I$1001, 6,FALSE)</f>
        <v>Church End</v>
      </c>
    </row>
    <row r="339" spans="1:17" x14ac:dyDescent="0.3">
      <c r="A339" s="14" t="s">
        <v>701</v>
      </c>
      <c r="B339" s="15">
        <v>44472</v>
      </c>
      <c r="C339" s="16" t="s">
        <v>681</v>
      </c>
      <c r="D339" s="17" t="s">
        <v>547</v>
      </c>
      <c r="E339" s="16">
        <v>2</v>
      </c>
      <c r="F339" s="9" t="str">
        <f>VLOOKUP(C339,[1]customers!$A$1:$I$1001, 2, FALSE)</f>
        <v>Flynn Antony</v>
      </c>
      <c r="G339" s="16">
        <f>VLOOKUP(orders!C339,[1]customers!$A$1:$I$1001, 3, FALSE)</f>
        <v>0</v>
      </c>
      <c r="H339" s="16" t="str">
        <f>VLOOKUP(C339, [1]customers!$A$1:$I$1001, 7, FALSE)</f>
        <v>United States</v>
      </c>
      <c r="I339" s="18" t="str">
        <f>VLOOKUP(orders!D339,[1]products!$A$1:$G$49, 2,FALSE)</f>
        <v>Exc</v>
      </c>
      <c r="J339" s="18" t="str">
        <f>VLOOKUP(orders!D339,[1]products!$A$1:$G$49, 3,FALSE)</f>
        <v>D</v>
      </c>
      <c r="K339" s="19">
        <f>VLOOKUP(orders!D339,[1]products!$A$1:$G$49, 4,FALSE)</f>
        <v>2.5</v>
      </c>
      <c r="L339" s="19">
        <f>VLOOKUP(orders!D339,[1]products!$A$1:$G$49, 5,FALSE)</f>
        <v>27.945</v>
      </c>
      <c r="M339" s="13">
        <f>PRODUCT(orders!$E339,orders!$L339)</f>
        <v>55.89</v>
      </c>
      <c r="N339" s="18" t="str">
        <f t="shared" si="10"/>
        <v>October</v>
      </c>
      <c r="O339" s="18">
        <f t="shared" si="11"/>
        <v>2021</v>
      </c>
      <c r="P339" s="11" t="str">
        <f>TEXT(orders!$B339, "DDD")</f>
        <v>Sun</v>
      </c>
      <c r="Q339" s="11" t="str">
        <f>VLOOKUP(orders!C339,[1]customers!$A$1:$I$1001, 6,FALSE)</f>
        <v>Birmingham</v>
      </c>
    </row>
    <row r="340" spans="1:17" x14ac:dyDescent="0.3">
      <c r="A340" s="7" t="s">
        <v>702</v>
      </c>
      <c r="B340" s="8">
        <v>43995</v>
      </c>
      <c r="C340" s="9" t="s">
        <v>703</v>
      </c>
      <c r="D340" s="10" t="s">
        <v>154</v>
      </c>
      <c r="E340" s="9">
        <v>4</v>
      </c>
      <c r="F340" s="9" t="str">
        <f>VLOOKUP(C340,[1]customers!$A$1:$I$1001, 2, FALSE)</f>
        <v>Wyatan Fetherston</v>
      </c>
      <c r="G340" s="9" t="str">
        <f>VLOOKUP(orders!C340,[1]customers!$A$1:$I$1001, 3, FALSE)</f>
        <v>wfetherston9e@constantcontact.com</v>
      </c>
      <c r="H340" s="9" t="str">
        <f>VLOOKUP(C340, [1]customers!$A$1:$I$1001, 7, FALSE)</f>
        <v>United States</v>
      </c>
      <c r="I340" s="11" t="str">
        <f>VLOOKUP(orders!D340,[1]products!$A$1:$G$49, 2,FALSE)</f>
        <v>Exc</v>
      </c>
      <c r="J340" s="11" t="str">
        <f>VLOOKUP(orders!D340,[1]products!$A$1:$G$49, 3,FALSE)</f>
        <v>L</v>
      </c>
      <c r="K340" s="12">
        <f>VLOOKUP(orders!D340,[1]products!$A$1:$G$49, 4,FALSE)</f>
        <v>1</v>
      </c>
      <c r="L340" s="12">
        <f>VLOOKUP(orders!D340,[1]products!$A$1:$G$49, 5,FALSE)</f>
        <v>14.85</v>
      </c>
      <c r="M340" s="13">
        <f>PRODUCT(orders!$E340,orders!$L340)</f>
        <v>59.4</v>
      </c>
      <c r="N340" s="11" t="str">
        <f t="shared" si="10"/>
        <v>June</v>
      </c>
      <c r="O340" s="11">
        <f t="shared" si="11"/>
        <v>2020</v>
      </c>
      <c r="P340" s="11" t="str">
        <f>TEXT(orders!$B340, "DDD")</f>
        <v>Sat</v>
      </c>
      <c r="Q340" s="11" t="str">
        <f>VLOOKUP(orders!C340,[1]customers!$A$1:$I$1001, 6,FALSE)</f>
        <v>New York City</v>
      </c>
    </row>
    <row r="341" spans="1:17" x14ac:dyDescent="0.3">
      <c r="A341" s="14" t="s">
        <v>704</v>
      </c>
      <c r="B341" s="15">
        <v>44256</v>
      </c>
      <c r="C341" s="16" t="s">
        <v>705</v>
      </c>
      <c r="D341" s="17" t="s">
        <v>68</v>
      </c>
      <c r="E341" s="16">
        <v>2</v>
      </c>
      <c r="F341" s="9" t="str">
        <f>VLOOKUP(C341,[1]customers!$A$1:$I$1001, 2, FALSE)</f>
        <v>Emmaline Rasmus</v>
      </c>
      <c r="G341" s="16" t="str">
        <f>VLOOKUP(orders!C341,[1]customers!$A$1:$I$1001, 3, FALSE)</f>
        <v>erasmus9f@techcrunch.com</v>
      </c>
      <c r="H341" s="16" t="str">
        <f>VLOOKUP(C341, [1]customers!$A$1:$I$1001, 7, FALSE)</f>
        <v>United States</v>
      </c>
      <c r="I341" s="18" t="str">
        <f>VLOOKUP(orders!D341,[1]products!$A$1:$G$49, 2,FALSE)</f>
        <v>Exc</v>
      </c>
      <c r="J341" s="18" t="str">
        <f>VLOOKUP(orders!D341,[1]products!$A$1:$G$49, 3,FALSE)</f>
        <v>D</v>
      </c>
      <c r="K341" s="19">
        <f>VLOOKUP(orders!D341,[1]products!$A$1:$G$49, 4,FALSE)</f>
        <v>0.2</v>
      </c>
      <c r="L341" s="19">
        <f>VLOOKUP(orders!D341,[1]products!$A$1:$G$49, 5,FALSE)</f>
        <v>3.645</v>
      </c>
      <c r="M341" s="13">
        <f>PRODUCT(orders!$E341,orders!$L341)</f>
        <v>7.29</v>
      </c>
      <c r="N341" s="18" t="str">
        <f t="shared" si="10"/>
        <v>March</v>
      </c>
      <c r="O341" s="18">
        <f t="shared" si="11"/>
        <v>2021</v>
      </c>
      <c r="P341" s="11" t="str">
        <f>TEXT(orders!$B341, "DDD")</f>
        <v>Mon</v>
      </c>
      <c r="Q341" s="11" t="str">
        <f>VLOOKUP(orders!C341,[1]customers!$A$1:$I$1001, 6,FALSE)</f>
        <v>Boston</v>
      </c>
    </row>
    <row r="342" spans="1:17" x14ac:dyDescent="0.3">
      <c r="A342" s="7" t="s">
        <v>706</v>
      </c>
      <c r="B342" s="8">
        <v>43528</v>
      </c>
      <c r="C342" s="9" t="s">
        <v>707</v>
      </c>
      <c r="D342" s="10" t="s">
        <v>33</v>
      </c>
      <c r="E342" s="9">
        <v>1</v>
      </c>
      <c r="F342" s="9" t="str">
        <f>VLOOKUP(C342,[1]customers!$A$1:$I$1001, 2, FALSE)</f>
        <v>Wesley Giorgioni</v>
      </c>
      <c r="G342" s="9" t="str">
        <f>VLOOKUP(orders!C342,[1]customers!$A$1:$I$1001, 3, FALSE)</f>
        <v>wgiorgioni9g@wikipedia.org</v>
      </c>
      <c r="H342" s="9" t="str">
        <f>VLOOKUP(C342, [1]customers!$A$1:$I$1001, 7, FALSE)</f>
        <v>United States</v>
      </c>
      <c r="I342" s="11" t="str">
        <f>VLOOKUP(orders!D342,[1]products!$A$1:$G$49, 2,FALSE)</f>
        <v>Exc</v>
      </c>
      <c r="J342" s="11" t="str">
        <f>VLOOKUP(orders!D342,[1]products!$A$1:$G$49, 3,FALSE)</f>
        <v>D</v>
      </c>
      <c r="K342" s="12">
        <f>VLOOKUP(orders!D342,[1]products!$A$1:$G$49, 4,FALSE)</f>
        <v>0.5</v>
      </c>
      <c r="L342" s="12">
        <f>VLOOKUP(orders!D342,[1]products!$A$1:$G$49, 5,FALSE)</f>
        <v>7.29</v>
      </c>
      <c r="M342" s="13">
        <f>PRODUCT(orders!$E342,orders!$L342)</f>
        <v>7.29</v>
      </c>
      <c r="N342" s="11" t="str">
        <f t="shared" si="10"/>
        <v>March</v>
      </c>
      <c r="O342" s="11">
        <f t="shared" si="11"/>
        <v>2019</v>
      </c>
      <c r="P342" s="11" t="str">
        <f>TEXT(orders!$B342, "DDD")</f>
        <v>Mon</v>
      </c>
      <c r="Q342" s="11" t="str">
        <f>VLOOKUP(orders!C342,[1]customers!$A$1:$I$1001, 6,FALSE)</f>
        <v>San Francisco</v>
      </c>
    </row>
    <row r="343" spans="1:17" x14ac:dyDescent="0.3">
      <c r="A343" s="14" t="s">
        <v>708</v>
      </c>
      <c r="B343" s="15">
        <v>43751</v>
      </c>
      <c r="C343" s="16" t="s">
        <v>709</v>
      </c>
      <c r="D343" s="17" t="s">
        <v>193</v>
      </c>
      <c r="E343" s="16">
        <v>2</v>
      </c>
      <c r="F343" s="9" t="str">
        <f>VLOOKUP(C343,[1]customers!$A$1:$I$1001, 2, FALSE)</f>
        <v>Lucienne Scargle</v>
      </c>
      <c r="G343" s="16" t="str">
        <f>VLOOKUP(orders!C343,[1]customers!$A$1:$I$1001, 3, FALSE)</f>
        <v>lscargle9h@myspace.com</v>
      </c>
      <c r="H343" s="16" t="str">
        <f>VLOOKUP(C343, [1]customers!$A$1:$I$1001, 7, FALSE)</f>
        <v>United States</v>
      </c>
      <c r="I343" s="18" t="str">
        <f>VLOOKUP(orders!D343,[1]products!$A$1:$G$49, 2,FALSE)</f>
        <v>Exc</v>
      </c>
      <c r="J343" s="18" t="str">
        <f>VLOOKUP(orders!D343,[1]products!$A$1:$G$49, 3,FALSE)</f>
        <v>L</v>
      </c>
      <c r="K343" s="19">
        <f>VLOOKUP(orders!D343,[1]products!$A$1:$G$49, 4,FALSE)</f>
        <v>0.5</v>
      </c>
      <c r="L343" s="19">
        <f>VLOOKUP(orders!D343,[1]products!$A$1:$G$49, 5,FALSE)</f>
        <v>8.91</v>
      </c>
      <c r="M343" s="13">
        <f>PRODUCT(orders!$E343,orders!$L343)</f>
        <v>17.82</v>
      </c>
      <c r="N343" s="18" t="str">
        <f t="shared" si="10"/>
        <v>October</v>
      </c>
      <c r="O343" s="18">
        <f t="shared" si="11"/>
        <v>2019</v>
      </c>
      <c r="P343" s="11" t="str">
        <f>TEXT(orders!$B343, "DDD")</f>
        <v>Sun</v>
      </c>
      <c r="Q343" s="11" t="str">
        <f>VLOOKUP(orders!C343,[1]customers!$A$1:$I$1001, 6,FALSE)</f>
        <v>Indianapolis</v>
      </c>
    </row>
    <row r="344" spans="1:17" x14ac:dyDescent="0.3">
      <c r="A344" s="7" t="s">
        <v>708</v>
      </c>
      <c r="B344" s="8">
        <v>43751</v>
      </c>
      <c r="C344" s="9" t="s">
        <v>709</v>
      </c>
      <c r="D344" s="10" t="s">
        <v>140</v>
      </c>
      <c r="E344" s="9">
        <v>5</v>
      </c>
      <c r="F344" s="9" t="str">
        <f>VLOOKUP(C344,[1]customers!$A$1:$I$1001, 2, FALSE)</f>
        <v>Lucienne Scargle</v>
      </c>
      <c r="G344" s="9" t="str">
        <f>VLOOKUP(orders!C344,[1]customers!$A$1:$I$1001, 3, FALSE)</f>
        <v>lscargle9h@myspace.com</v>
      </c>
      <c r="H344" s="9" t="str">
        <f>VLOOKUP(C344, [1]customers!$A$1:$I$1001, 7, FALSE)</f>
        <v>United States</v>
      </c>
      <c r="I344" s="11" t="str">
        <f>VLOOKUP(orders!D344,[1]products!$A$1:$G$49, 2,FALSE)</f>
        <v>Lib</v>
      </c>
      <c r="J344" s="11" t="str">
        <f>VLOOKUP(orders!D344,[1]products!$A$1:$G$49, 3,FALSE)</f>
        <v>D</v>
      </c>
      <c r="K344" s="12">
        <f>VLOOKUP(orders!D344,[1]products!$A$1:$G$49, 4,FALSE)</f>
        <v>0.5</v>
      </c>
      <c r="L344" s="12">
        <f>VLOOKUP(orders!D344,[1]products!$A$1:$G$49, 5,FALSE)</f>
        <v>7.77</v>
      </c>
      <c r="M344" s="13">
        <f>PRODUCT(orders!$E344,orders!$L344)</f>
        <v>38.849999999999994</v>
      </c>
      <c r="N344" s="11" t="str">
        <f t="shared" si="10"/>
        <v>October</v>
      </c>
      <c r="O344" s="11">
        <f t="shared" si="11"/>
        <v>2019</v>
      </c>
      <c r="P344" s="11" t="str">
        <f>TEXT(orders!$B344, "DDD")</f>
        <v>Sun</v>
      </c>
      <c r="Q344" s="11" t="str">
        <f>VLOOKUP(orders!C344,[1]customers!$A$1:$I$1001, 6,FALSE)</f>
        <v>Indianapolis</v>
      </c>
    </row>
    <row r="345" spans="1:17" x14ac:dyDescent="0.3">
      <c r="A345" s="14" t="s">
        <v>710</v>
      </c>
      <c r="B345" s="15">
        <v>43692</v>
      </c>
      <c r="C345" s="16" t="s">
        <v>711</v>
      </c>
      <c r="D345" s="17" t="s">
        <v>163</v>
      </c>
      <c r="E345" s="16">
        <v>6</v>
      </c>
      <c r="F345" s="9" t="str">
        <f>VLOOKUP(C345,[1]customers!$A$1:$I$1001, 2, FALSE)</f>
        <v>Noam Climance</v>
      </c>
      <c r="G345" s="16" t="str">
        <f>VLOOKUP(orders!C345,[1]customers!$A$1:$I$1001, 3, FALSE)</f>
        <v>nclimance9j@europa.eu</v>
      </c>
      <c r="H345" s="16" t="str">
        <f>VLOOKUP(C345, [1]customers!$A$1:$I$1001, 7, FALSE)</f>
        <v>United States</v>
      </c>
      <c r="I345" s="18" t="str">
        <f>VLOOKUP(orders!D345,[1]products!$A$1:$G$49, 2,FALSE)</f>
        <v>Rob</v>
      </c>
      <c r="J345" s="18" t="str">
        <f>VLOOKUP(orders!D345,[1]products!$A$1:$G$49, 3,FALSE)</f>
        <v>D</v>
      </c>
      <c r="K345" s="19">
        <f>VLOOKUP(orders!D345,[1]products!$A$1:$G$49, 4,FALSE)</f>
        <v>0.5</v>
      </c>
      <c r="L345" s="19">
        <f>VLOOKUP(orders!D345,[1]products!$A$1:$G$49, 5,FALSE)</f>
        <v>5.3699999999999992</v>
      </c>
      <c r="M345" s="13">
        <f>PRODUCT(orders!$E345,orders!$L345)</f>
        <v>32.22</v>
      </c>
      <c r="N345" s="18" t="str">
        <f t="shared" si="10"/>
        <v>August</v>
      </c>
      <c r="O345" s="18">
        <f t="shared" si="11"/>
        <v>2019</v>
      </c>
      <c r="P345" s="11" t="str">
        <f>TEXT(orders!$B345, "DDD")</f>
        <v>Thu</v>
      </c>
      <c r="Q345" s="11" t="str">
        <f>VLOOKUP(orders!C345,[1]customers!$A$1:$I$1001, 6,FALSE)</f>
        <v>Seattle</v>
      </c>
    </row>
    <row r="346" spans="1:17" x14ac:dyDescent="0.3">
      <c r="A346" s="7" t="s">
        <v>712</v>
      </c>
      <c r="B346" s="8">
        <v>44529</v>
      </c>
      <c r="C346" s="9" t="s">
        <v>713</v>
      </c>
      <c r="D346" s="10" t="s">
        <v>19</v>
      </c>
      <c r="E346" s="9">
        <v>2</v>
      </c>
      <c r="F346" s="9" t="str">
        <f>VLOOKUP(C346,[1]customers!$A$1:$I$1001, 2, FALSE)</f>
        <v>Catarina Donn</v>
      </c>
      <c r="G346" s="9">
        <f>VLOOKUP(orders!C346,[1]customers!$A$1:$I$1001, 3, FALSE)</f>
        <v>0</v>
      </c>
      <c r="H346" s="9" t="str">
        <f>VLOOKUP(C346, [1]customers!$A$1:$I$1001, 7, FALSE)</f>
        <v>Ireland</v>
      </c>
      <c r="I346" s="11" t="str">
        <f>VLOOKUP(orders!D346,[1]products!$A$1:$G$49, 2,FALSE)</f>
        <v>Rob</v>
      </c>
      <c r="J346" s="11" t="str">
        <f>VLOOKUP(orders!D346,[1]products!$A$1:$G$49, 3,FALSE)</f>
        <v>M</v>
      </c>
      <c r="K346" s="12">
        <f>VLOOKUP(orders!D346,[1]products!$A$1:$G$49, 4,FALSE)</f>
        <v>1</v>
      </c>
      <c r="L346" s="12">
        <f>VLOOKUP(orders!D346,[1]products!$A$1:$G$49, 5,FALSE)</f>
        <v>9.9499999999999993</v>
      </c>
      <c r="M346" s="13">
        <f>PRODUCT(orders!$E346,orders!$L346)</f>
        <v>19.899999999999999</v>
      </c>
      <c r="N346" s="11" t="str">
        <f t="shared" si="10"/>
        <v>November</v>
      </c>
      <c r="O346" s="11">
        <f t="shared" si="11"/>
        <v>2021</v>
      </c>
      <c r="P346" s="11" t="str">
        <f>TEXT(orders!$B346, "DDD")</f>
        <v>Mon</v>
      </c>
      <c r="Q346" s="11" t="str">
        <f>VLOOKUP(orders!C346,[1]customers!$A$1:$I$1001, 6,FALSE)</f>
        <v>Dunmanway</v>
      </c>
    </row>
    <row r="347" spans="1:17" x14ac:dyDescent="0.3">
      <c r="A347" s="14" t="s">
        <v>714</v>
      </c>
      <c r="B347" s="15">
        <v>43849</v>
      </c>
      <c r="C347" s="16" t="s">
        <v>715</v>
      </c>
      <c r="D347" s="17" t="s">
        <v>206</v>
      </c>
      <c r="E347" s="16">
        <v>5</v>
      </c>
      <c r="F347" s="9" t="str">
        <f>VLOOKUP(C347,[1]customers!$A$1:$I$1001, 2, FALSE)</f>
        <v>Ameline Snazle</v>
      </c>
      <c r="G347" s="16" t="str">
        <f>VLOOKUP(orders!C347,[1]customers!$A$1:$I$1001, 3, FALSE)</f>
        <v>asnazle9l@oracle.com</v>
      </c>
      <c r="H347" s="16" t="str">
        <f>VLOOKUP(C347, [1]customers!$A$1:$I$1001, 7, FALSE)</f>
        <v>United States</v>
      </c>
      <c r="I347" s="18" t="str">
        <f>VLOOKUP(orders!D347,[1]products!$A$1:$G$49, 2,FALSE)</f>
        <v>Rob</v>
      </c>
      <c r="J347" s="18" t="str">
        <f>VLOOKUP(orders!D347,[1]products!$A$1:$G$49, 3,FALSE)</f>
        <v>L</v>
      </c>
      <c r="K347" s="19">
        <f>VLOOKUP(orders!D347,[1]products!$A$1:$G$49, 4,FALSE)</f>
        <v>1</v>
      </c>
      <c r="L347" s="19">
        <f>VLOOKUP(orders!D347,[1]products!$A$1:$G$49, 5,FALSE)</f>
        <v>11.95</v>
      </c>
      <c r="M347" s="13">
        <f>PRODUCT(orders!$E347,orders!$L347)</f>
        <v>59.75</v>
      </c>
      <c r="N347" s="18" t="str">
        <f t="shared" si="10"/>
        <v>January</v>
      </c>
      <c r="O347" s="18">
        <f t="shared" si="11"/>
        <v>2020</v>
      </c>
      <c r="P347" s="11" t="str">
        <f>TEXT(orders!$B347, "DDD")</f>
        <v>Sun</v>
      </c>
      <c r="Q347" s="11" t="str">
        <f>VLOOKUP(orders!C347,[1]customers!$A$1:$I$1001, 6,FALSE)</f>
        <v>Montgomery</v>
      </c>
    </row>
    <row r="348" spans="1:17" x14ac:dyDescent="0.3">
      <c r="A348" s="7" t="s">
        <v>716</v>
      </c>
      <c r="B348" s="8">
        <v>44344</v>
      </c>
      <c r="C348" s="9" t="s">
        <v>717</v>
      </c>
      <c r="D348" s="10" t="s">
        <v>209</v>
      </c>
      <c r="E348" s="9">
        <v>3</v>
      </c>
      <c r="F348" s="9" t="str">
        <f>VLOOKUP(C348,[1]customers!$A$1:$I$1001, 2, FALSE)</f>
        <v>Rebeka Worg</v>
      </c>
      <c r="G348" s="9" t="str">
        <f>VLOOKUP(orders!C348,[1]customers!$A$1:$I$1001, 3, FALSE)</f>
        <v>rworg9m@arstechnica.com</v>
      </c>
      <c r="H348" s="9" t="str">
        <f>VLOOKUP(C348, [1]customers!$A$1:$I$1001, 7, FALSE)</f>
        <v>United States</v>
      </c>
      <c r="I348" s="11" t="str">
        <f>VLOOKUP(orders!D348,[1]products!$A$1:$G$49, 2,FALSE)</f>
        <v>Ara</v>
      </c>
      <c r="J348" s="11" t="str">
        <f>VLOOKUP(orders!D348,[1]products!$A$1:$G$49, 3,FALSE)</f>
        <v>L</v>
      </c>
      <c r="K348" s="12">
        <f>VLOOKUP(orders!D348,[1]products!$A$1:$G$49, 4,FALSE)</f>
        <v>0.5</v>
      </c>
      <c r="L348" s="12">
        <f>VLOOKUP(orders!D348,[1]products!$A$1:$G$49, 5,FALSE)</f>
        <v>7.77</v>
      </c>
      <c r="M348" s="13">
        <f>PRODUCT(orders!$E348,orders!$L348)</f>
        <v>23.31</v>
      </c>
      <c r="N348" s="11" t="str">
        <f t="shared" si="10"/>
        <v>May</v>
      </c>
      <c r="O348" s="11">
        <f t="shared" si="11"/>
        <v>2021</v>
      </c>
      <c r="P348" s="11" t="str">
        <f>TEXT(orders!$B348, "DDD")</f>
        <v>Fri</v>
      </c>
      <c r="Q348" s="11" t="str">
        <f>VLOOKUP(orders!C348,[1]customers!$A$1:$I$1001, 6,FALSE)</f>
        <v>Dallas</v>
      </c>
    </row>
    <row r="349" spans="1:17" x14ac:dyDescent="0.3">
      <c r="A349" s="14" t="s">
        <v>718</v>
      </c>
      <c r="B349" s="15">
        <v>44576</v>
      </c>
      <c r="C349" s="16" t="s">
        <v>719</v>
      </c>
      <c r="D349" s="17" t="s">
        <v>113</v>
      </c>
      <c r="E349" s="16">
        <v>3</v>
      </c>
      <c r="F349" s="9" t="str">
        <f>VLOOKUP(C349,[1]customers!$A$1:$I$1001, 2, FALSE)</f>
        <v>Lewes Danes</v>
      </c>
      <c r="G349" s="16" t="str">
        <f>VLOOKUP(orders!C349,[1]customers!$A$1:$I$1001, 3, FALSE)</f>
        <v>ldanes9n@umn.edu</v>
      </c>
      <c r="H349" s="16" t="str">
        <f>VLOOKUP(C349, [1]customers!$A$1:$I$1001, 7, FALSE)</f>
        <v>United States</v>
      </c>
      <c r="I349" s="18" t="str">
        <f>VLOOKUP(orders!D349,[1]products!$A$1:$G$49, 2,FALSE)</f>
        <v>Lib</v>
      </c>
      <c r="J349" s="18" t="str">
        <f>VLOOKUP(orders!D349,[1]products!$A$1:$G$49, 3,FALSE)</f>
        <v>M</v>
      </c>
      <c r="K349" s="19">
        <f>VLOOKUP(orders!D349,[1]products!$A$1:$G$49, 4,FALSE)</f>
        <v>1</v>
      </c>
      <c r="L349" s="19">
        <f>VLOOKUP(orders!D349,[1]products!$A$1:$G$49, 5,FALSE)</f>
        <v>14.55</v>
      </c>
      <c r="M349" s="13">
        <f>PRODUCT(orders!$E349,orders!$L349)</f>
        <v>43.650000000000006</v>
      </c>
      <c r="N349" s="18" t="str">
        <f t="shared" si="10"/>
        <v>January</v>
      </c>
      <c r="O349" s="18">
        <f t="shared" si="11"/>
        <v>2022</v>
      </c>
      <c r="P349" s="11" t="str">
        <f>TEXT(orders!$B349, "DDD")</f>
        <v>Sat</v>
      </c>
      <c r="Q349" s="11" t="str">
        <f>VLOOKUP(orders!C349,[1]customers!$A$1:$I$1001, 6,FALSE)</f>
        <v>Topeka</v>
      </c>
    </row>
    <row r="350" spans="1:17" x14ac:dyDescent="0.3">
      <c r="A350" s="7" t="s">
        <v>720</v>
      </c>
      <c r="B350" s="8">
        <v>43803</v>
      </c>
      <c r="C350" s="9" t="s">
        <v>721</v>
      </c>
      <c r="D350" s="10" t="s">
        <v>47</v>
      </c>
      <c r="E350" s="9">
        <v>6</v>
      </c>
      <c r="F350" s="9" t="str">
        <f>VLOOKUP(C350,[1]customers!$A$1:$I$1001, 2, FALSE)</f>
        <v>Shelli Keynd</v>
      </c>
      <c r="G350" s="9" t="str">
        <f>VLOOKUP(orders!C350,[1]customers!$A$1:$I$1001, 3, FALSE)</f>
        <v>skeynd9o@narod.ru</v>
      </c>
      <c r="H350" s="9" t="str">
        <f>VLOOKUP(C350, [1]customers!$A$1:$I$1001, 7, FALSE)</f>
        <v>United States</v>
      </c>
      <c r="I350" s="11" t="str">
        <f>VLOOKUP(orders!D350,[1]products!$A$1:$G$49, 2,FALSE)</f>
        <v>Exc</v>
      </c>
      <c r="J350" s="11" t="str">
        <f>VLOOKUP(orders!D350,[1]products!$A$1:$G$49, 3,FALSE)</f>
        <v>L</v>
      </c>
      <c r="K350" s="12">
        <f>VLOOKUP(orders!D350,[1]products!$A$1:$G$49, 4,FALSE)</f>
        <v>2.5</v>
      </c>
      <c r="L350" s="12">
        <f>VLOOKUP(orders!D350,[1]products!$A$1:$G$49, 5,FALSE)</f>
        <v>34.154999999999994</v>
      </c>
      <c r="M350" s="13">
        <f>PRODUCT(orders!$E350,orders!$L350)</f>
        <v>204.92999999999995</v>
      </c>
      <c r="N350" s="11" t="str">
        <f t="shared" si="10"/>
        <v>December</v>
      </c>
      <c r="O350" s="11">
        <f t="shared" si="11"/>
        <v>2019</v>
      </c>
      <c r="P350" s="11" t="str">
        <f>TEXT(orders!$B350, "DDD")</f>
        <v>Wed</v>
      </c>
      <c r="Q350" s="11" t="str">
        <f>VLOOKUP(orders!C350,[1]customers!$A$1:$I$1001, 6,FALSE)</f>
        <v>Tyler</v>
      </c>
    </row>
    <row r="351" spans="1:17" x14ac:dyDescent="0.3">
      <c r="A351" s="14" t="s">
        <v>722</v>
      </c>
      <c r="B351" s="15">
        <v>44743</v>
      </c>
      <c r="C351" s="16" t="s">
        <v>723</v>
      </c>
      <c r="D351" s="17" t="s">
        <v>199</v>
      </c>
      <c r="E351" s="16">
        <v>4</v>
      </c>
      <c r="F351" s="9" t="str">
        <f>VLOOKUP(C351,[1]customers!$A$1:$I$1001, 2, FALSE)</f>
        <v>Dell Daveridge</v>
      </c>
      <c r="G351" s="16" t="str">
        <f>VLOOKUP(orders!C351,[1]customers!$A$1:$I$1001, 3, FALSE)</f>
        <v>ddaveridge9p@arstechnica.com</v>
      </c>
      <c r="H351" s="16" t="str">
        <f>VLOOKUP(C351, [1]customers!$A$1:$I$1001, 7, FALSE)</f>
        <v>United States</v>
      </c>
      <c r="I351" s="18" t="str">
        <f>VLOOKUP(orders!D351,[1]products!$A$1:$G$49, 2,FALSE)</f>
        <v>Rob</v>
      </c>
      <c r="J351" s="18" t="str">
        <f>VLOOKUP(orders!D351,[1]products!$A$1:$G$49, 3,FALSE)</f>
        <v>L</v>
      </c>
      <c r="K351" s="19">
        <f>VLOOKUP(orders!D351,[1]products!$A$1:$G$49, 4,FALSE)</f>
        <v>0.2</v>
      </c>
      <c r="L351" s="19">
        <f>VLOOKUP(orders!D351,[1]products!$A$1:$G$49, 5,FALSE)</f>
        <v>3.5849999999999995</v>
      </c>
      <c r="M351" s="13">
        <f>PRODUCT(orders!$E351,orders!$L351)</f>
        <v>14.339999999999998</v>
      </c>
      <c r="N351" s="18" t="str">
        <f t="shared" si="10"/>
        <v>July</v>
      </c>
      <c r="O351" s="18">
        <f t="shared" si="11"/>
        <v>2022</v>
      </c>
      <c r="P351" s="11" t="str">
        <f>TEXT(orders!$B351, "DDD")</f>
        <v>Fri</v>
      </c>
      <c r="Q351" s="11" t="str">
        <f>VLOOKUP(orders!C351,[1]customers!$A$1:$I$1001, 6,FALSE)</f>
        <v>Los Angeles</v>
      </c>
    </row>
    <row r="352" spans="1:17" x14ac:dyDescent="0.3">
      <c r="A352" s="7" t="s">
        <v>724</v>
      </c>
      <c r="B352" s="8">
        <v>43592</v>
      </c>
      <c r="C352" s="9" t="s">
        <v>725</v>
      </c>
      <c r="D352" s="10" t="s">
        <v>89</v>
      </c>
      <c r="E352" s="9">
        <v>4</v>
      </c>
      <c r="F352" s="9" t="str">
        <f>VLOOKUP(C352,[1]customers!$A$1:$I$1001, 2, FALSE)</f>
        <v>Joshuah Awdry</v>
      </c>
      <c r="G352" s="9" t="str">
        <f>VLOOKUP(orders!C352,[1]customers!$A$1:$I$1001, 3, FALSE)</f>
        <v>jawdry9q@utexas.edu</v>
      </c>
      <c r="H352" s="9" t="str">
        <f>VLOOKUP(C352, [1]customers!$A$1:$I$1001, 7, FALSE)</f>
        <v>United States</v>
      </c>
      <c r="I352" s="11" t="str">
        <f>VLOOKUP(orders!D352,[1]products!$A$1:$G$49, 2,FALSE)</f>
        <v>Ara</v>
      </c>
      <c r="J352" s="11" t="str">
        <f>VLOOKUP(orders!D352,[1]products!$A$1:$G$49, 3,FALSE)</f>
        <v>D</v>
      </c>
      <c r="K352" s="12">
        <f>VLOOKUP(orders!D352,[1]products!$A$1:$G$49, 4,FALSE)</f>
        <v>0.5</v>
      </c>
      <c r="L352" s="12">
        <f>VLOOKUP(orders!D352,[1]products!$A$1:$G$49, 5,FALSE)</f>
        <v>5.97</v>
      </c>
      <c r="M352" s="13">
        <f>PRODUCT(orders!$E352,orders!$L352)</f>
        <v>23.88</v>
      </c>
      <c r="N352" s="11" t="str">
        <f t="shared" si="10"/>
        <v>May</v>
      </c>
      <c r="O352" s="11">
        <f t="shared" si="11"/>
        <v>2019</v>
      </c>
      <c r="P352" s="11" t="str">
        <f>TEXT(orders!$B352, "DDD")</f>
        <v>Tue</v>
      </c>
      <c r="Q352" s="11" t="str">
        <f>VLOOKUP(orders!C352,[1]customers!$A$1:$I$1001, 6,FALSE)</f>
        <v>Shreveport</v>
      </c>
    </row>
    <row r="353" spans="1:17" x14ac:dyDescent="0.3">
      <c r="A353" s="14" t="s">
        <v>726</v>
      </c>
      <c r="B353" s="15">
        <v>44066</v>
      </c>
      <c r="C353" s="16" t="s">
        <v>727</v>
      </c>
      <c r="D353" s="17" t="s">
        <v>78</v>
      </c>
      <c r="E353" s="16">
        <v>2</v>
      </c>
      <c r="F353" s="9" t="str">
        <f>VLOOKUP(C353,[1]customers!$A$1:$I$1001, 2, FALSE)</f>
        <v>Ethel Ryles</v>
      </c>
      <c r="G353" s="16" t="str">
        <f>VLOOKUP(orders!C353,[1]customers!$A$1:$I$1001, 3, FALSE)</f>
        <v>eryles9r@fastcompany.com</v>
      </c>
      <c r="H353" s="16" t="str">
        <f>VLOOKUP(C353, [1]customers!$A$1:$I$1001, 7, FALSE)</f>
        <v>United States</v>
      </c>
      <c r="I353" s="18" t="str">
        <f>VLOOKUP(orders!D353,[1]products!$A$1:$G$49, 2,FALSE)</f>
        <v>Ara</v>
      </c>
      <c r="J353" s="18" t="str">
        <f>VLOOKUP(orders!D353,[1]products!$A$1:$G$49, 3,FALSE)</f>
        <v>M</v>
      </c>
      <c r="K353" s="19">
        <f>VLOOKUP(orders!D353,[1]products!$A$1:$G$49, 4,FALSE)</f>
        <v>1</v>
      </c>
      <c r="L353" s="19">
        <f>VLOOKUP(orders!D353,[1]products!$A$1:$G$49, 5,FALSE)</f>
        <v>11.25</v>
      </c>
      <c r="M353" s="13">
        <f>PRODUCT(orders!$E353,orders!$L353)</f>
        <v>22.5</v>
      </c>
      <c r="N353" s="18" t="str">
        <f t="shared" si="10"/>
        <v>August</v>
      </c>
      <c r="O353" s="18">
        <f t="shared" si="11"/>
        <v>2020</v>
      </c>
      <c r="P353" s="11" t="str">
        <f>TEXT(orders!$B353, "DDD")</f>
        <v>Sun</v>
      </c>
      <c r="Q353" s="11" t="str">
        <f>VLOOKUP(orders!C353,[1]customers!$A$1:$I$1001, 6,FALSE)</f>
        <v>Boise</v>
      </c>
    </row>
    <row r="354" spans="1:17" x14ac:dyDescent="0.3">
      <c r="A354" s="7" t="s">
        <v>728</v>
      </c>
      <c r="B354" s="8">
        <v>43984</v>
      </c>
      <c r="C354" s="9" t="s">
        <v>681</v>
      </c>
      <c r="D354" s="10" t="s">
        <v>33</v>
      </c>
      <c r="E354" s="9">
        <v>5</v>
      </c>
      <c r="F354" s="9" t="str">
        <f>VLOOKUP(C354,[1]customers!$A$1:$I$1001, 2, FALSE)</f>
        <v>Flynn Antony</v>
      </c>
      <c r="G354" s="9">
        <f>VLOOKUP(orders!C354,[1]customers!$A$1:$I$1001, 3, FALSE)</f>
        <v>0</v>
      </c>
      <c r="H354" s="9" t="str">
        <f>VLOOKUP(C354, [1]customers!$A$1:$I$1001, 7, FALSE)</f>
        <v>United States</v>
      </c>
      <c r="I354" s="11" t="str">
        <f>VLOOKUP(orders!D354,[1]products!$A$1:$G$49, 2,FALSE)</f>
        <v>Exc</v>
      </c>
      <c r="J354" s="11" t="str">
        <f>VLOOKUP(orders!D354,[1]products!$A$1:$G$49, 3,FALSE)</f>
        <v>D</v>
      </c>
      <c r="K354" s="12">
        <f>VLOOKUP(orders!D354,[1]products!$A$1:$G$49, 4,FALSE)</f>
        <v>0.5</v>
      </c>
      <c r="L354" s="12">
        <f>VLOOKUP(orders!D354,[1]products!$A$1:$G$49, 5,FALSE)</f>
        <v>7.29</v>
      </c>
      <c r="M354" s="13">
        <f>PRODUCT(orders!$E354,orders!$L354)</f>
        <v>36.450000000000003</v>
      </c>
      <c r="N354" s="11" t="str">
        <f t="shared" si="10"/>
        <v>June</v>
      </c>
      <c r="O354" s="11">
        <f t="shared" si="11"/>
        <v>2020</v>
      </c>
      <c r="P354" s="11" t="str">
        <f>TEXT(orders!$B354, "DDD")</f>
        <v>Tue</v>
      </c>
      <c r="Q354" s="11" t="str">
        <f>VLOOKUP(orders!C354,[1]customers!$A$1:$I$1001, 6,FALSE)</f>
        <v>Birmingham</v>
      </c>
    </row>
    <row r="355" spans="1:17" x14ac:dyDescent="0.3">
      <c r="A355" s="14" t="s">
        <v>729</v>
      </c>
      <c r="B355" s="15">
        <v>43860</v>
      </c>
      <c r="C355" s="16" t="s">
        <v>730</v>
      </c>
      <c r="D355" s="17" t="s">
        <v>84</v>
      </c>
      <c r="E355" s="16">
        <v>4</v>
      </c>
      <c r="F355" s="9" t="str">
        <f>VLOOKUP(C355,[1]customers!$A$1:$I$1001, 2, FALSE)</f>
        <v>Maitilde Boxill</v>
      </c>
      <c r="G355" s="16">
        <f>VLOOKUP(orders!C355,[1]customers!$A$1:$I$1001, 3, FALSE)</f>
        <v>0</v>
      </c>
      <c r="H355" s="16" t="str">
        <f>VLOOKUP(C355, [1]customers!$A$1:$I$1001, 7, FALSE)</f>
        <v>United States</v>
      </c>
      <c r="I355" s="18" t="str">
        <f>VLOOKUP(orders!D355,[1]products!$A$1:$G$49, 2,FALSE)</f>
        <v>Ara</v>
      </c>
      <c r="J355" s="18" t="str">
        <f>VLOOKUP(orders!D355,[1]products!$A$1:$G$49, 3,FALSE)</f>
        <v>M</v>
      </c>
      <c r="K355" s="19">
        <f>VLOOKUP(orders!D355,[1]products!$A$1:$G$49, 4,FALSE)</f>
        <v>0.5</v>
      </c>
      <c r="L355" s="19">
        <f>VLOOKUP(orders!D355,[1]products!$A$1:$G$49, 5,FALSE)</f>
        <v>6.75</v>
      </c>
      <c r="M355" s="13">
        <f>PRODUCT(orders!$E355,orders!$L355)</f>
        <v>27</v>
      </c>
      <c r="N355" s="18" t="str">
        <f t="shared" si="10"/>
        <v>January</v>
      </c>
      <c r="O355" s="18">
        <f t="shared" si="11"/>
        <v>2020</v>
      </c>
      <c r="P355" s="11" t="str">
        <f>TEXT(orders!$B355, "DDD")</f>
        <v>Thu</v>
      </c>
      <c r="Q355" s="11" t="str">
        <f>VLOOKUP(orders!C355,[1]customers!$A$1:$I$1001, 6,FALSE)</f>
        <v>Montgomery</v>
      </c>
    </row>
    <row r="356" spans="1:17" x14ac:dyDescent="0.3">
      <c r="A356" s="7" t="s">
        <v>731</v>
      </c>
      <c r="B356" s="8">
        <v>43876</v>
      </c>
      <c r="C356" s="9" t="s">
        <v>732</v>
      </c>
      <c r="D356" s="10" t="s">
        <v>188</v>
      </c>
      <c r="E356" s="9">
        <v>6</v>
      </c>
      <c r="F356" s="9" t="str">
        <f>VLOOKUP(C356,[1]customers!$A$1:$I$1001, 2, FALSE)</f>
        <v>Jodee Caldicott</v>
      </c>
      <c r="G356" s="9" t="str">
        <f>VLOOKUP(orders!C356,[1]customers!$A$1:$I$1001, 3, FALSE)</f>
        <v>jcaldicott9u@usda.gov</v>
      </c>
      <c r="H356" s="9" t="str">
        <f>VLOOKUP(C356, [1]customers!$A$1:$I$1001, 7, FALSE)</f>
        <v>United States</v>
      </c>
      <c r="I356" s="11" t="str">
        <f>VLOOKUP(orders!D356,[1]products!$A$1:$G$49, 2,FALSE)</f>
        <v>Ara</v>
      </c>
      <c r="J356" s="11" t="str">
        <f>VLOOKUP(orders!D356,[1]products!$A$1:$G$49, 3,FALSE)</f>
        <v>M</v>
      </c>
      <c r="K356" s="12">
        <f>VLOOKUP(orders!D356,[1]products!$A$1:$G$49, 4,FALSE)</f>
        <v>2.5</v>
      </c>
      <c r="L356" s="12">
        <f>VLOOKUP(orders!D356,[1]products!$A$1:$G$49, 5,FALSE)</f>
        <v>25.874999999999996</v>
      </c>
      <c r="M356" s="13">
        <f>PRODUCT(orders!$E356,orders!$L356)</f>
        <v>155.24999999999997</v>
      </c>
      <c r="N356" s="11" t="str">
        <f t="shared" si="10"/>
        <v>February</v>
      </c>
      <c r="O356" s="11">
        <f t="shared" si="11"/>
        <v>2020</v>
      </c>
      <c r="P356" s="11" t="str">
        <f>TEXT(orders!$B356, "DDD")</f>
        <v>Sat</v>
      </c>
      <c r="Q356" s="11" t="str">
        <f>VLOOKUP(orders!C356,[1]customers!$A$1:$I$1001, 6,FALSE)</f>
        <v>Fort Pierce</v>
      </c>
    </row>
    <row r="357" spans="1:17" x14ac:dyDescent="0.3">
      <c r="A357" s="14" t="s">
        <v>733</v>
      </c>
      <c r="B357" s="15">
        <v>44358</v>
      </c>
      <c r="C357" s="16" t="s">
        <v>734</v>
      </c>
      <c r="D357" s="17" t="s">
        <v>135</v>
      </c>
      <c r="E357" s="16">
        <v>5</v>
      </c>
      <c r="F357" s="9" t="str">
        <f>VLOOKUP(C357,[1]customers!$A$1:$I$1001, 2, FALSE)</f>
        <v>Marianna Vedmore</v>
      </c>
      <c r="G357" s="16" t="str">
        <f>VLOOKUP(orders!C357,[1]customers!$A$1:$I$1001, 3, FALSE)</f>
        <v>mvedmore9v@a8.net</v>
      </c>
      <c r="H357" s="16" t="str">
        <f>VLOOKUP(C357, [1]customers!$A$1:$I$1001, 7, FALSE)</f>
        <v>United States</v>
      </c>
      <c r="I357" s="18" t="str">
        <f>VLOOKUP(orders!D357,[1]products!$A$1:$G$49, 2,FALSE)</f>
        <v>Ara</v>
      </c>
      <c r="J357" s="18" t="str">
        <f>VLOOKUP(orders!D357,[1]products!$A$1:$G$49, 3,FALSE)</f>
        <v>D</v>
      </c>
      <c r="K357" s="19">
        <f>VLOOKUP(orders!D357,[1]products!$A$1:$G$49, 4,FALSE)</f>
        <v>2.5</v>
      </c>
      <c r="L357" s="19">
        <f>VLOOKUP(orders!D357,[1]products!$A$1:$G$49, 5,FALSE)</f>
        <v>22.884999999999998</v>
      </c>
      <c r="M357" s="13">
        <f>PRODUCT(orders!$E357,orders!$L357)</f>
        <v>114.42499999999998</v>
      </c>
      <c r="N357" s="18" t="str">
        <f t="shared" si="10"/>
        <v>June</v>
      </c>
      <c r="O357" s="18">
        <f t="shared" si="11"/>
        <v>2021</v>
      </c>
      <c r="P357" s="11" t="str">
        <f>TEXT(orders!$B357, "DDD")</f>
        <v>Fri</v>
      </c>
      <c r="Q357" s="11" t="str">
        <f>VLOOKUP(orders!C357,[1]customers!$A$1:$I$1001, 6,FALSE)</f>
        <v>Greensboro</v>
      </c>
    </row>
    <row r="358" spans="1:17" x14ac:dyDescent="0.3">
      <c r="A358" s="7" t="s">
        <v>735</v>
      </c>
      <c r="B358" s="8">
        <v>44631</v>
      </c>
      <c r="C358" s="9" t="s">
        <v>736</v>
      </c>
      <c r="D358" s="10" t="s">
        <v>30</v>
      </c>
      <c r="E358" s="9">
        <v>4</v>
      </c>
      <c r="F358" s="9" t="str">
        <f>VLOOKUP(C358,[1]customers!$A$1:$I$1001, 2, FALSE)</f>
        <v>Willey Romao</v>
      </c>
      <c r="G358" s="9" t="str">
        <f>VLOOKUP(orders!C358,[1]customers!$A$1:$I$1001, 3, FALSE)</f>
        <v>wromao9w@chronoengine.com</v>
      </c>
      <c r="H358" s="9" t="str">
        <f>VLOOKUP(C358, [1]customers!$A$1:$I$1001, 7, FALSE)</f>
        <v>United States</v>
      </c>
      <c r="I358" s="11" t="str">
        <f>VLOOKUP(orders!D358,[1]products!$A$1:$G$49, 2,FALSE)</f>
        <v>Lib</v>
      </c>
      <c r="J358" s="11" t="str">
        <f>VLOOKUP(orders!D358,[1]products!$A$1:$G$49, 3,FALSE)</f>
        <v>D</v>
      </c>
      <c r="K358" s="12">
        <f>VLOOKUP(orders!D358,[1]products!$A$1:$G$49, 4,FALSE)</f>
        <v>1</v>
      </c>
      <c r="L358" s="12">
        <f>VLOOKUP(orders!D358,[1]products!$A$1:$G$49, 5,FALSE)</f>
        <v>12.95</v>
      </c>
      <c r="M358" s="13">
        <f>PRODUCT(orders!$E358,orders!$L358)</f>
        <v>51.8</v>
      </c>
      <c r="N358" s="11" t="str">
        <f t="shared" si="10"/>
        <v>March</v>
      </c>
      <c r="O358" s="11">
        <f t="shared" si="11"/>
        <v>2022</v>
      </c>
      <c r="P358" s="11" t="str">
        <f>TEXT(orders!$B358, "DDD")</f>
        <v>Fri</v>
      </c>
      <c r="Q358" s="11" t="str">
        <f>VLOOKUP(orders!C358,[1]customers!$A$1:$I$1001, 6,FALSE)</f>
        <v>Sacramento</v>
      </c>
    </row>
    <row r="359" spans="1:17" x14ac:dyDescent="0.3">
      <c r="A359" s="14" t="s">
        <v>737</v>
      </c>
      <c r="B359" s="15">
        <v>44448</v>
      </c>
      <c r="C359" s="16" t="s">
        <v>738</v>
      </c>
      <c r="D359" s="17" t="s">
        <v>188</v>
      </c>
      <c r="E359" s="16">
        <v>6</v>
      </c>
      <c r="F359" s="9" t="str">
        <f>VLOOKUP(C359,[1]customers!$A$1:$I$1001, 2, FALSE)</f>
        <v>Enriqueta Ixor</v>
      </c>
      <c r="G359" s="16">
        <f>VLOOKUP(orders!C359,[1]customers!$A$1:$I$1001, 3, FALSE)</f>
        <v>0</v>
      </c>
      <c r="H359" s="16" t="str">
        <f>VLOOKUP(C359, [1]customers!$A$1:$I$1001, 7, FALSE)</f>
        <v>United States</v>
      </c>
      <c r="I359" s="18" t="str">
        <f>VLOOKUP(orders!D359,[1]products!$A$1:$G$49, 2,FALSE)</f>
        <v>Ara</v>
      </c>
      <c r="J359" s="18" t="str">
        <f>VLOOKUP(orders!D359,[1]products!$A$1:$G$49, 3,FALSE)</f>
        <v>M</v>
      </c>
      <c r="K359" s="19">
        <f>VLOOKUP(orders!D359,[1]products!$A$1:$G$49, 4,FALSE)</f>
        <v>2.5</v>
      </c>
      <c r="L359" s="19">
        <f>VLOOKUP(orders!D359,[1]products!$A$1:$G$49, 5,FALSE)</f>
        <v>25.874999999999996</v>
      </c>
      <c r="M359" s="13">
        <f>PRODUCT(orders!$E359,orders!$L359)</f>
        <v>155.24999999999997</v>
      </c>
      <c r="N359" s="18" t="str">
        <f t="shared" si="10"/>
        <v>September</v>
      </c>
      <c r="O359" s="18">
        <f t="shared" si="11"/>
        <v>2021</v>
      </c>
      <c r="P359" s="11" t="str">
        <f>TEXT(orders!$B359, "DDD")</f>
        <v>Thu</v>
      </c>
      <c r="Q359" s="11" t="str">
        <f>VLOOKUP(orders!C359,[1]customers!$A$1:$I$1001, 6,FALSE)</f>
        <v>Round Rock</v>
      </c>
    </row>
    <row r="360" spans="1:17" x14ac:dyDescent="0.3">
      <c r="A360" s="7" t="s">
        <v>739</v>
      </c>
      <c r="B360" s="8">
        <v>43599</v>
      </c>
      <c r="C360" s="9" t="s">
        <v>740</v>
      </c>
      <c r="D360" s="10" t="s">
        <v>221</v>
      </c>
      <c r="E360" s="9">
        <v>1</v>
      </c>
      <c r="F360" s="9" t="str">
        <f>VLOOKUP(C360,[1]customers!$A$1:$I$1001, 2, FALSE)</f>
        <v>Tomasina Cotmore</v>
      </c>
      <c r="G360" s="9" t="str">
        <f>VLOOKUP(orders!C360,[1]customers!$A$1:$I$1001, 3, FALSE)</f>
        <v>tcotmore9y@amazonaws.com</v>
      </c>
      <c r="H360" s="9" t="str">
        <f>VLOOKUP(C360, [1]customers!$A$1:$I$1001, 7, FALSE)</f>
        <v>United States</v>
      </c>
      <c r="I360" s="11" t="str">
        <f>VLOOKUP(orders!D360,[1]products!$A$1:$G$49, 2,FALSE)</f>
        <v>Ara</v>
      </c>
      <c r="J360" s="11" t="str">
        <f>VLOOKUP(orders!D360,[1]products!$A$1:$G$49, 3,FALSE)</f>
        <v>L</v>
      </c>
      <c r="K360" s="12">
        <f>VLOOKUP(orders!D360,[1]products!$A$1:$G$49, 4,FALSE)</f>
        <v>2.5</v>
      </c>
      <c r="L360" s="12">
        <f>VLOOKUP(orders!D360,[1]products!$A$1:$G$49, 5,FALSE)</f>
        <v>29.784999999999997</v>
      </c>
      <c r="M360" s="13">
        <f>PRODUCT(orders!$E360,orders!$L360)</f>
        <v>29.784999999999997</v>
      </c>
      <c r="N360" s="11" t="str">
        <f t="shared" si="10"/>
        <v>May</v>
      </c>
      <c r="O360" s="11">
        <f t="shared" si="11"/>
        <v>2019</v>
      </c>
      <c r="P360" s="11" t="str">
        <f>TEXT(orders!$B360, "DDD")</f>
        <v>Tue</v>
      </c>
      <c r="Q360" s="11" t="str">
        <f>VLOOKUP(orders!C360,[1]customers!$A$1:$I$1001, 6,FALSE)</f>
        <v>Reston</v>
      </c>
    </row>
    <row r="361" spans="1:17" x14ac:dyDescent="0.3">
      <c r="A361" s="14" t="s">
        <v>741</v>
      </c>
      <c r="B361" s="15">
        <v>43563</v>
      </c>
      <c r="C361" s="16" t="s">
        <v>742</v>
      </c>
      <c r="D361" s="17" t="s">
        <v>199</v>
      </c>
      <c r="E361" s="16">
        <v>6</v>
      </c>
      <c r="F361" s="9" t="str">
        <f>VLOOKUP(C361,[1]customers!$A$1:$I$1001, 2, FALSE)</f>
        <v>Yuma Skipsey</v>
      </c>
      <c r="G361" s="16" t="str">
        <f>VLOOKUP(orders!C361,[1]customers!$A$1:$I$1001, 3, FALSE)</f>
        <v>yskipsey9z@spotify.com</v>
      </c>
      <c r="H361" s="16" t="str">
        <f>VLOOKUP(C361, [1]customers!$A$1:$I$1001, 7, FALSE)</f>
        <v>United Kingdom</v>
      </c>
      <c r="I361" s="18" t="str">
        <f>VLOOKUP(orders!D361,[1]products!$A$1:$G$49, 2,FALSE)</f>
        <v>Rob</v>
      </c>
      <c r="J361" s="18" t="str">
        <f>VLOOKUP(orders!D361,[1]products!$A$1:$G$49, 3,FALSE)</f>
        <v>L</v>
      </c>
      <c r="K361" s="19">
        <f>VLOOKUP(orders!D361,[1]products!$A$1:$G$49, 4,FALSE)</f>
        <v>0.2</v>
      </c>
      <c r="L361" s="19">
        <f>VLOOKUP(orders!D361,[1]products!$A$1:$G$49, 5,FALSE)</f>
        <v>3.5849999999999995</v>
      </c>
      <c r="M361" s="13">
        <f>PRODUCT(orders!$E361,orders!$L361)</f>
        <v>21.509999999999998</v>
      </c>
      <c r="N361" s="18" t="str">
        <f t="shared" si="10"/>
        <v>April</v>
      </c>
      <c r="O361" s="18">
        <f t="shared" si="11"/>
        <v>2019</v>
      </c>
      <c r="P361" s="11" t="str">
        <f>TEXT(orders!$B361, "DDD")</f>
        <v>Mon</v>
      </c>
      <c r="Q361" s="11" t="str">
        <f>VLOOKUP(orders!C361,[1]customers!$A$1:$I$1001, 6,FALSE)</f>
        <v>Charlton</v>
      </c>
    </row>
    <row r="362" spans="1:17" x14ac:dyDescent="0.3">
      <c r="A362" s="7" t="s">
        <v>743</v>
      </c>
      <c r="B362" s="8">
        <v>44058</v>
      </c>
      <c r="C362" s="9" t="s">
        <v>744</v>
      </c>
      <c r="D362" s="10" t="s">
        <v>52</v>
      </c>
      <c r="E362" s="9">
        <v>2</v>
      </c>
      <c r="F362" s="9" t="str">
        <f>VLOOKUP(C362,[1]customers!$A$1:$I$1001, 2, FALSE)</f>
        <v>Nicko Corps</v>
      </c>
      <c r="G362" s="9" t="str">
        <f>VLOOKUP(orders!C362,[1]customers!$A$1:$I$1001, 3, FALSE)</f>
        <v>ncorpsa0@gmpg.org</v>
      </c>
      <c r="H362" s="9" t="str">
        <f>VLOOKUP(C362, [1]customers!$A$1:$I$1001, 7, FALSE)</f>
        <v>United States</v>
      </c>
      <c r="I362" s="11" t="str">
        <f>VLOOKUP(orders!D362,[1]products!$A$1:$G$49, 2,FALSE)</f>
        <v>Rob</v>
      </c>
      <c r="J362" s="11" t="str">
        <f>VLOOKUP(orders!D362,[1]products!$A$1:$G$49, 3,FALSE)</f>
        <v>D</v>
      </c>
      <c r="K362" s="12">
        <f>VLOOKUP(orders!D362,[1]products!$A$1:$G$49, 4,FALSE)</f>
        <v>2.5</v>
      </c>
      <c r="L362" s="12">
        <f>VLOOKUP(orders!D362,[1]products!$A$1:$G$49, 5,FALSE)</f>
        <v>20.584999999999997</v>
      </c>
      <c r="M362" s="13">
        <f>PRODUCT(orders!$E362,orders!$L362)</f>
        <v>41.169999999999995</v>
      </c>
      <c r="N362" s="11" t="str">
        <f t="shared" si="10"/>
        <v>August</v>
      </c>
      <c r="O362" s="11">
        <f t="shared" si="11"/>
        <v>2020</v>
      </c>
      <c r="P362" s="11" t="str">
        <f>TEXT(orders!$B362, "DDD")</f>
        <v>Sat</v>
      </c>
      <c r="Q362" s="11" t="str">
        <f>VLOOKUP(orders!C362,[1]customers!$A$1:$I$1001, 6,FALSE)</f>
        <v>Columbia</v>
      </c>
    </row>
    <row r="363" spans="1:17" x14ac:dyDescent="0.3">
      <c r="A363" s="14" t="s">
        <v>743</v>
      </c>
      <c r="B363" s="15">
        <v>44058</v>
      </c>
      <c r="C363" s="16" t="s">
        <v>744</v>
      </c>
      <c r="D363" s="17" t="s">
        <v>39</v>
      </c>
      <c r="E363" s="16">
        <v>1</v>
      </c>
      <c r="F363" s="9" t="str">
        <f>VLOOKUP(C363,[1]customers!$A$1:$I$1001, 2, FALSE)</f>
        <v>Nicko Corps</v>
      </c>
      <c r="G363" s="16" t="str">
        <f>VLOOKUP(orders!C363,[1]customers!$A$1:$I$1001, 3, FALSE)</f>
        <v>ncorpsa0@gmpg.org</v>
      </c>
      <c r="H363" s="16" t="str">
        <f>VLOOKUP(C363, [1]customers!$A$1:$I$1001, 7, FALSE)</f>
        <v>United States</v>
      </c>
      <c r="I363" s="18" t="str">
        <f>VLOOKUP(orders!D363,[1]products!$A$1:$G$49, 2,FALSE)</f>
        <v>Rob</v>
      </c>
      <c r="J363" s="18" t="str">
        <f>VLOOKUP(orders!D363,[1]products!$A$1:$G$49, 3,FALSE)</f>
        <v>M</v>
      </c>
      <c r="K363" s="19">
        <f>VLOOKUP(orders!D363,[1]products!$A$1:$G$49, 4,FALSE)</f>
        <v>0.5</v>
      </c>
      <c r="L363" s="19">
        <f>VLOOKUP(orders!D363,[1]products!$A$1:$G$49, 5,FALSE)</f>
        <v>5.97</v>
      </c>
      <c r="M363" s="13">
        <f>PRODUCT(orders!$E363,orders!$L363)</f>
        <v>5.97</v>
      </c>
      <c r="N363" s="18" t="str">
        <f t="shared" si="10"/>
        <v>August</v>
      </c>
      <c r="O363" s="18">
        <f t="shared" si="11"/>
        <v>2020</v>
      </c>
      <c r="P363" s="11" t="str">
        <f>TEXT(orders!$B363, "DDD")</f>
        <v>Sat</v>
      </c>
      <c r="Q363" s="11" t="str">
        <f>VLOOKUP(orders!C363,[1]customers!$A$1:$I$1001, 6,FALSE)</f>
        <v>Columbia</v>
      </c>
    </row>
    <row r="364" spans="1:17" x14ac:dyDescent="0.3">
      <c r="A364" s="7" t="s">
        <v>745</v>
      </c>
      <c r="B364" s="8">
        <v>44686</v>
      </c>
      <c r="C364" s="9" t="s">
        <v>746</v>
      </c>
      <c r="D364" s="10" t="s">
        <v>154</v>
      </c>
      <c r="E364" s="9">
        <v>5</v>
      </c>
      <c r="F364" s="9" t="str">
        <f>VLOOKUP(C364,[1]customers!$A$1:$I$1001, 2, FALSE)</f>
        <v>Feliks Babber</v>
      </c>
      <c r="G364" s="9" t="str">
        <f>VLOOKUP(orders!C364,[1]customers!$A$1:$I$1001, 3, FALSE)</f>
        <v>fbabbera2@stanford.edu</v>
      </c>
      <c r="H364" s="9" t="str">
        <f>VLOOKUP(C364, [1]customers!$A$1:$I$1001, 7, FALSE)</f>
        <v>United States</v>
      </c>
      <c r="I364" s="11" t="str">
        <f>VLOOKUP(orders!D364,[1]products!$A$1:$G$49, 2,FALSE)</f>
        <v>Exc</v>
      </c>
      <c r="J364" s="11" t="str">
        <f>VLOOKUP(orders!D364,[1]products!$A$1:$G$49, 3,FALSE)</f>
        <v>L</v>
      </c>
      <c r="K364" s="12">
        <f>VLOOKUP(orders!D364,[1]products!$A$1:$G$49, 4,FALSE)</f>
        <v>1</v>
      </c>
      <c r="L364" s="12">
        <f>VLOOKUP(orders!D364,[1]products!$A$1:$G$49, 5,FALSE)</f>
        <v>14.85</v>
      </c>
      <c r="M364" s="13">
        <f>PRODUCT(orders!$E364,orders!$L364)</f>
        <v>74.25</v>
      </c>
      <c r="N364" s="11" t="str">
        <f t="shared" si="10"/>
        <v>May</v>
      </c>
      <c r="O364" s="11">
        <f t="shared" si="11"/>
        <v>2022</v>
      </c>
      <c r="P364" s="11" t="str">
        <f>TEXT(orders!$B364, "DDD")</f>
        <v>Thu</v>
      </c>
      <c r="Q364" s="11" t="str">
        <f>VLOOKUP(orders!C364,[1]customers!$A$1:$I$1001, 6,FALSE)</f>
        <v>Phoenix</v>
      </c>
    </row>
    <row r="365" spans="1:17" x14ac:dyDescent="0.3">
      <c r="A365" s="14" t="s">
        <v>747</v>
      </c>
      <c r="B365" s="15">
        <v>44282</v>
      </c>
      <c r="C365" s="16" t="s">
        <v>748</v>
      </c>
      <c r="D365" s="17" t="s">
        <v>113</v>
      </c>
      <c r="E365" s="16">
        <v>6</v>
      </c>
      <c r="F365" s="9" t="str">
        <f>VLOOKUP(C365,[1]customers!$A$1:$I$1001, 2, FALSE)</f>
        <v>Kaja Loxton</v>
      </c>
      <c r="G365" s="16" t="str">
        <f>VLOOKUP(orders!C365,[1]customers!$A$1:$I$1001, 3, FALSE)</f>
        <v>kloxtona3@opensource.org</v>
      </c>
      <c r="H365" s="16" t="str">
        <f>VLOOKUP(C365, [1]customers!$A$1:$I$1001, 7, FALSE)</f>
        <v>United States</v>
      </c>
      <c r="I365" s="18" t="str">
        <f>VLOOKUP(orders!D365,[1]products!$A$1:$G$49, 2,FALSE)</f>
        <v>Lib</v>
      </c>
      <c r="J365" s="18" t="str">
        <f>VLOOKUP(orders!D365,[1]products!$A$1:$G$49, 3,FALSE)</f>
        <v>M</v>
      </c>
      <c r="K365" s="19">
        <f>VLOOKUP(orders!D365,[1]products!$A$1:$G$49, 4,FALSE)</f>
        <v>1</v>
      </c>
      <c r="L365" s="19">
        <f>VLOOKUP(orders!D365,[1]products!$A$1:$G$49, 5,FALSE)</f>
        <v>14.55</v>
      </c>
      <c r="M365" s="13">
        <f>PRODUCT(orders!$E365,orders!$L365)</f>
        <v>87.300000000000011</v>
      </c>
      <c r="N365" s="18" t="str">
        <f t="shared" si="10"/>
        <v>March</v>
      </c>
      <c r="O365" s="18">
        <f t="shared" si="11"/>
        <v>2021</v>
      </c>
      <c r="P365" s="11" t="str">
        <f>TEXT(orders!$B365, "DDD")</f>
        <v>Sat</v>
      </c>
      <c r="Q365" s="11" t="str">
        <f>VLOOKUP(orders!C365,[1]customers!$A$1:$I$1001, 6,FALSE)</f>
        <v>Miami</v>
      </c>
    </row>
    <row r="366" spans="1:17" x14ac:dyDescent="0.3">
      <c r="A366" s="7" t="s">
        <v>749</v>
      </c>
      <c r="B366" s="8">
        <v>43582</v>
      </c>
      <c r="C366" s="9" t="s">
        <v>750</v>
      </c>
      <c r="D366" s="10" t="s">
        <v>262</v>
      </c>
      <c r="E366" s="9">
        <v>6</v>
      </c>
      <c r="F366" s="9" t="str">
        <f>VLOOKUP(C366,[1]customers!$A$1:$I$1001, 2, FALSE)</f>
        <v>Parker Tofful</v>
      </c>
      <c r="G366" s="9" t="str">
        <f>VLOOKUP(orders!C366,[1]customers!$A$1:$I$1001, 3, FALSE)</f>
        <v>ptoffula4@posterous.com</v>
      </c>
      <c r="H366" s="9" t="str">
        <f>VLOOKUP(C366, [1]customers!$A$1:$I$1001, 7, FALSE)</f>
        <v>United States</v>
      </c>
      <c r="I366" s="11" t="str">
        <f>VLOOKUP(orders!D366,[1]products!$A$1:$G$49, 2,FALSE)</f>
        <v>Exc</v>
      </c>
      <c r="J366" s="11" t="str">
        <f>VLOOKUP(orders!D366,[1]products!$A$1:$G$49, 3,FALSE)</f>
        <v>D</v>
      </c>
      <c r="K366" s="12">
        <f>VLOOKUP(orders!D366,[1]products!$A$1:$G$49, 4,FALSE)</f>
        <v>1</v>
      </c>
      <c r="L366" s="12">
        <f>VLOOKUP(orders!D366,[1]products!$A$1:$G$49, 5,FALSE)</f>
        <v>12.15</v>
      </c>
      <c r="M366" s="13">
        <f>PRODUCT(orders!$E366,orders!$L366)</f>
        <v>72.900000000000006</v>
      </c>
      <c r="N366" s="11" t="str">
        <f t="shared" si="10"/>
        <v>April</v>
      </c>
      <c r="O366" s="11">
        <f t="shared" si="11"/>
        <v>2019</v>
      </c>
      <c r="P366" s="11" t="str">
        <f>TEXT(orders!$B366, "DDD")</f>
        <v>Sat</v>
      </c>
      <c r="Q366" s="11" t="str">
        <f>VLOOKUP(orders!C366,[1]customers!$A$1:$I$1001, 6,FALSE)</f>
        <v>Fresno</v>
      </c>
    </row>
    <row r="367" spans="1:17" x14ac:dyDescent="0.3">
      <c r="A367" s="14" t="s">
        <v>751</v>
      </c>
      <c r="B367" s="15">
        <v>44464</v>
      </c>
      <c r="C367" s="16" t="s">
        <v>752</v>
      </c>
      <c r="D367" s="17" t="s">
        <v>140</v>
      </c>
      <c r="E367" s="16">
        <v>1</v>
      </c>
      <c r="F367" s="9" t="str">
        <f>VLOOKUP(C367,[1]customers!$A$1:$I$1001, 2, FALSE)</f>
        <v>Casi Gwinnett</v>
      </c>
      <c r="G367" s="16" t="str">
        <f>VLOOKUP(orders!C367,[1]customers!$A$1:$I$1001, 3, FALSE)</f>
        <v>cgwinnetta5@behance.net</v>
      </c>
      <c r="H367" s="16" t="str">
        <f>VLOOKUP(C367, [1]customers!$A$1:$I$1001, 7, FALSE)</f>
        <v>United States</v>
      </c>
      <c r="I367" s="18" t="str">
        <f>VLOOKUP(orders!D367,[1]products!$A$1:$G$49, 2,FALSE)</f>
        <v>Lib</v>
      </c>
      <c r="J367" s="18" t="str">
        <f>VLOOKUP(orders!D367,[1]products!$A$1:$G$49, 3,FALSE)</f>
        <v>D</v>
      </c>
      <c r="K367" s="19">
        <f>VLOOKUP(orders!D367,[1]products!$A$1:$G$49, 4,FALSE)</f>
        <v>0.5</v>
      </c>
      <c r="L367" s="19">
        <f>VLOOKUP(orders!D367,[1]products!$A$1:$G$49, 5,FALSE)</f>
        <v>7.77</v>
      </c>
      <c r="M367" s="13">
        <f>PRODUCT(orders!$E367,orders!$L367)</f>
        <v>7.77</v>
      </c>
      <c r="N367" s="18" t="str">
        <f t="shared" si="10"/>
        <v>September</v>
      </c>
      <c r="O367" s="18">
        <f t="shared" si="11"/>
        <v>2021</v>
      </c>
      <c r="P367" s="11" t="str">
        <f>TEXT(orders!$B367, "DDD")</f>
        <v>Sat</v>
      </c>
      <c r="Q367" s="11" t="str">
        <f>VLOOKUP(orders!C367,[1]customers!$A$1:$I$1001, 6,FALSE)</f>
        <v>Anaheim</v>
      </c>
    </row>
    <row r="368" spans="1:17" x14ac:dyDescent="0.3">
      <c r="A368" s="7" t="s">
        <v>753</v>
      </c>
      <c r="B368" s="8">
        <v>43874</v>
      </c>
      <c r="C368" s="9" t="s">
        <v>754</v>
      </c>
      <c r="D368" s="10" t="s">
        <v>33</v>
      </c>
      <c r="E368" s="9">
        <v>6</v>
      </c>
      <c r="F368" s="9" t="str">
        <f>VLOOKUP(C368,[1]customers!$A$1:$I$1001, 2, FALSE)</f>
        <v>Saree Ellesworth</v>
      </c>
      <c r="G368" s="9">
        <f>VLOOKUP(orders!C368,[1]customers!$A$1:$I$1001, 3, FALSE)</f>
        <v>0</v>
      </c>
      <c r="H368" s="9" t="str">
        <f>VLOOKUP(C368, [1]customers!$A$1:$I$1001, 7, FALSE)</f>
        <v>United States</v>
      </c>
      <c r="I368" s="11" t="str">
        <f>VLOOKUP(orders!D368,[1]products!$A$1:$G$49, 2,FALSE)</f>
        <v>Exc</v>
      </c>
      <c r="J368" s="11" t="str">
        <f>VLOOKUP(orders!D368,[1]products!$A$1:$G$49, 3,FALSE)</f>
        <v>D</v>
      </c>
      <c r="K368" s="12">
        <f>VLOOKUP(orders!D368,[1]products!$A$1:$G$49, 4,FALSE)</f>
        <v>0.5</v>
      </c>
      <c r="L368" s="12">
        <f>VLOOKUP(orders!D368,[1]products!$A$1:$G$49, 5,FALSE)</f>
        <v>7.29</v>
      </c>
      <c r="M368" s="13">
        <f>PRODUCT(orders!$E368,orders!$L368)</f>
        <v>43.74</v>
      </c>
      <c r="N368" s="11" t="str">
        <f t="shared" si="10"/>
        <v>February</v>
      </c>
      <c r="O368" s="11">
        <f t="shared" si="11"/>
        <v>2020</v>
      </c>
      <c r="P368" s="11" t="str">
        <f>TEXT(orders!$B368, "DDD")</f>
        <v>Thu</v>
      </c>
      <c r="Q368" s="11" t="str">
        <f>VLOOKUP(orders!C368,[1]customers!$A$1:$I$1001, 6,FALSE)</f>
        <v>Newport News</v>
      </c>
    </row>
    <row r="369" spans="1:17" x14ac:dyDescent="0.3">
      <c r="A369" s="14" t="s">
        <v>755</v>
      </c>
      <c r="B369" s="15">
        <v>44393</v>
      </c>
      <c r="C369" s="16" t="s">
        <v>756</v>
      </c>
      <c r="D369" s="17" t="s">
        <v>94</v>
      </c>
      <c r="E369" s="16">
        <v>2</v>
      </c>
      <c r="F369" s="9" t="str">
        <f>VLOOKUP(C369,[1]customers!$A$1:$I$1001, 2, FALSE)</f>
        <v>Silvio Iorizzi</v>
      </c>
      <c r="G369" s="16">
        <f>VLOOKUP(orders!C369,[1]customers!$A$1:$I$1001, 3, FALSE)</f>
        <v>0</v>
      </c>
      <c r="H369" s="16" t="str">
        <f>VLOOKUP(C369, [1]customers!$A$1:$I$1001, 7, FALSE)</f>
        <v>United States</v>
      </c>
      <c r="I369" s="18" t="str">
        <f>VLOOKUP(orders!D369,[1]products!$A$1:$G$49, 2,FALSE)</f>
        <v>Lib</v>
      </c>
      <c r="J369" s="18" t="str">
        <f>VLOOKUP(orders!D369,[1]products!$A$1:$G$49, 3,FALSE)</f>
        <v>M</v>
      </c>
      <c r="K369" s="19">
        <f>VLOOKUP(orders!D369,[1]products!$A$1:$G$49, 4,FALSE)</f>
        <v>0.2</v>
      </c>
      <c r="L369" s="19">
        <f>VLOOKUP(orders!D369,[1]products!$A$1:$G$49, 5,FALSE)</f>
        <v>4.3650000000000002</v>
      </c>
      <c r="M369" s="13">
        <f>PRODUCT(orders!$E369,orders!$L369)</f>
        <v>8.73</v>
      </c>
      <c r="N369" s="18" t="str">
        <f t="shared" si="10"/>
        <v>July</v>
      </c>
      <c r="O369" s="18">
        <f t="shared" si="11"/>
        <v>2021</v>
      </c>
      <c r="P369" s="11" t="str">
        <f>TEXT(orders!$B369, "DDD")</f>
        <v>Fri</v>
      </c>
      <c r="Q369" s="11" t="str">
        <f>VLOOKUP(orders!C369,[1]customers!$A$1:$I$1001, 6,FALSE)</f>
        <v>Spartanburg</v>
      </c>
    </row>
    <row r="370" spans="1:17" x14ac:dyDescent="0.3">
      <c r="A370" s="7" t="s">
        <v>757</v>
      </c>
      <c r="B370" s="8">
        <v>44692</v>
      </c>
      <c r="C370" s="9" t="s">
        <v>758</v>
      </c>
      <c r="D370" s="10" t="s">
        <v>129</v>
      </c>
      <c r="E370" s="9">
        <v>2</v>
      </c>
      <c r="F370" s="9" t="str">
        <f>VLOOKUP(C370,[1]customers!$A$1:$I$1001, 2, FALSE)</f>
        <v>Leesa Flaonier</v>
      </c>
      <c r="G370" s="9" t="str">
        <f>VLOOKUP(orders!C370,[1]customers!$A$1:$I$1001, 3, FALSE)</f>
        <v>lflaoniera8@wordpress.org</v>
      </c>
      <c r="H370" s="9" t="str">
        <f>VLOOKUP(C370, [1]customers!$A$1:$I$1001, 7, FALSE)</f>
        <v>United States</v>
      </c>
      <c r="I370" s="11" t="str">
        <f>VLOOKUP(orders!D370,[1]products!$A$1:$G$49, 2,FALSE)</f>
        <v>Exc</v>
      </c>
      <c r="J370" s="11" t="str">
        <f>VLOOKUP(orders!D370,[1]products!$A$1:$G$49, 3,FALSE)</f>
        <v>M</v>
      </c>
      <c r="K370" s="12">
        <f>VLOOKUP(orders!D370,[1]products!$A$1:$G$49, 4,FALSE)</f>
        <v>2.5</v>
      </c>
      <c r="L370" s="12">
        <f>VLOOKUP(orders!D370,[1]products!$A$1:$G$49, 5,FALSE)</f>
        <v>31.624999999999996</v>
      </c>
      <c r="M370" s="13">
        <f>PRODUCT(orders!$E370,orders!$L370)</f>
        <v>63.249999999999993</v>
      </c>
      <c r="N370" s="11" t="str">
        <f t="shared" si="10"/>
        <v>May</v>
      </c>
      <c r="O370" s="11">
        <f t="shared" si="11"/>
        <v>2022</v>
      </c>
      <c r="P370" s="11" t="str">
        <f>TEXT(orders!$B370, "DDD")</f>
        <v>Wed</v>
      </c>
      <c r="Q370" s="11" t="str">
        <f>VLOOKUP(orders!C370,[1]customers!$A$1:$I$1001, 6,FALSE)</f>
        <v>Staten Island</v>
      </c>
    </row>
    <row r="371" spans="1:17" x14ac:dyDescent="0.3">
      <c r="A371" s="14" t="s">
        <v>759</v>
      </c>
      <c r="B371" s="15">
        <v>43500</v>
      </c>
      <c r="C371" s="16" t="s">
        <v>760</v>
      </c>
      <c r="D371" s="17" t="s">
        <v>193</v>
      </c>
      <c r="E371" s="16">
        <v>1</v>
      </c>
      <c r="F371" s="9" t="str">
        <f>VLOOKUP(C371,[1]customers!$A$1:$I$1001, 2, FALSE)</f>
        <v>Abba Pummell</v>
      </c>
      <c r="G371" s="16">
        <f>VLOOKUP(orders!C371,[1]customers!$A$1:$I$1001, 3, FALSE)</f>
        <v>0</v>
      </c>
      <c r="H371" s="16" t="str">
        <f>VLOOKUP(C371, [1]customers!$A$1:$I$1001, 7, FALSE)</f>
        <v>United States</v>
      </c>
      <c r="I371" s="18" t="str">
        <f>VLOOKUP(orders!D371,[1]products!$A$1:$G$49, 2,FALSE)</f>
        <v>Exc</v>
      </c>
      <c r="J371" s="18" t="str">
        <f>VLOOKUP(orders!D371,[1]products!$A$1:$G$49, 3,FALSE)</f>
        <v>L</v>
      </c>
      <c r="K371" s="19">
        <f>VLOOKUP(orders!D371,[1]products!$A$1:$G$49, 4,FALSE)</f>
        <v>0.5</v>
      </c>
      <c r="L371" s="19">
        <f>VLOOKUP(orders!D371,[1]products!$A$1:$G$49, 5,FALSE)</f>
        <v>8.91</v>
      </c>
      <c r="M371" s="13">
        <f>PRODUCT(orders!$E371,orders!$L371)</f>
        <v>8.91</v>
      </c>
      <c r="N371" s="18" t="str">
        <f t="shared" si="10"/>
        <v>February</v>
      </c>
      <c r="O371" s="18">
        <f t="shared" si="11"/>
        <v>2019</v>
      </c>
      <c r="P371" s="11" t="str">
        <f>TEXT(orders!$B371, "DDD")</f>
        <v>Mon</v>
      </c>
      <c r="Q371" s="11" t="str">
        <f>VLOOKUP(orders!C371,[1]customers!$A$1:$I$1001, 6,FALSE)</f>
        <v>Las Vegas</v>
      </c>
    </row>
    <row r="372" spans="1:17" x14ac:dyDescent="0.3">
      <c r="A372" s="7" t="s">
        <v>761</v>
      </c>
      <c r="B372" s="8">
        <v>43501</v>
      </c>
      <c r="C372" s="9" t="s">
        <v>762</v>
      </c>
      <c r="D372" s="10" t="s">
        <v>262</v>
      </c>
      <c r="E372" s="9">
        <v>2</v>
      </c>
      <c r="F372" s="9" t="str">
        <f>VLOOKUP(C372,[1]customers!$A$1:$I$1001, 2, FALSE)</f>
        <v>Corinna Catcheside</v>
      </c>
      <c r="G372" s="9" t="str">
        <f>VLOOKUP(orders!C372,[1]customers!$A$1:$I$1001, 3, FALSE)</f>
        <v>ccatchesideaa@macromedia.com</v>
      </c>
      <c r="H372" s="9" t="str">
        <f>VLOOKUP(C372, [1]customers!$A$1:$I$1001, 7, FALSE)</f>
        <v>United States</v>
      </c>
      <c r="I372" s="11" t="str">
        <f>VLOOKUP(orders!D372,[1]products!$A$1:$G$49, 2,FALSE)</f>
        <v>Exc</v>
      </c>
      <c r="J372" s="11" t="str">
        <f>VLOOKUP(orders!D372,[1]products!$A$1:$G$49, 3,FALSE)</f>
        <v>D</v>
      </c>
      <c r="K372" s="12">
        <f>VLOOKUP(orders!D372,[1]products!$A$1:$G$49, 4,FALSE)</f>
        <v>1</v>
      </c>
      <c r="L372" s="12">
        <f>VLOOKUP(orders!D372,[1]products!$A$1:$G$49, 5,FALSE)</f>
        <v>12.15</v>
      </c>
      <c r="M372" s="13">
        <f>PRODUCT(orders!$E372,orders!$L372)</f>
        <v>24.3</v>
      </c>
      <c r="N372" s="11" t="str">
        <f t="shared" si="10"/>
        <v>February</v>
      </c>
      <c r="O372" s="11">
        <f t="shared" si="11"/>
        <v>2019</v>
      </c>
      <c r="P372" s="11" t="str">
        <f>TEXT(orders!$B372, "DDD")</f>
        <v>Tue</v>
      </c>
      <c r="Q372" s="11" t="str">
        <f>VLOOKUP(orders!C372,[1]customers!$A$1:$I$1001, 6,FALSE)</f>
        <v>Salt Lake City</v>
      </c>
    </row>
    <row r="373" spans="1:17" x14ac:dyDescent="0.3">
      <c r="A373" s="14" t="s">
        <v>763</v>
      </c>
      <c r="B373" s="15">
        <v>44705</v>
      </c>
      <c r="C373" s="16" t="s">
        <v>764</v>
      </c>
      <c r="D373" s="17" t="s">
        <v>209</v>
      </c>
      <c r="E373" s="16">
        <v>6</v>
      </c>
      <c r="F373" s="9" t="str">
        <f>VLOOKUP(C373,[1]customers!$A$1:$I$1001, 2, FALSE)</f>
        <v>Cortney Gibbonson</v>
      </c>
      <c r="G373" s="16" t="str">
        <f>VLOOKUP(orders!C373,[1]customers!$A$1:$I$1001, 3, FALSE)</f>
        <v>cgibbonsonab@accuweather.com</v>
      </c>
      <c r="H373" s="16" t="str">
        <f>VLOOKUP(C373, [1]customers!$A$1:$I$1001, 7, FALSE)</f>
        <v>United States</v>
      </c>
      <c r="I373" s="18" t="str">
        <f>VLOOKUP(orders!D373,[1]products!$A$1:$G$49, 2,FALSE)</f>
        <v>Ara</v>
      </c>
      <c r="J373" s="18" t="str">
        <f>VLOOKUP(orders!D373,[1]products!$A$1:$G$49, 3,FALSE)</f>
        <v>L</v>
      </c>
      <c r="K373" s="19">
        <f>VLOOKUP(orders!D373,[1]products!$A$1:$G$49, 4,FALSE)</f>
        <v>0.5</v>
      </c>
      <c r="L373" s="19">
        <f>VLOOKUP(orders!D373,[1]products!$A$1:$G$49, 5,FALSE)</f>
        <v>7.77</v>
      </c>
      <c r="M373" s="13">
        <f>PRODUCT(orders!$E373,orders!$L373)</f>
        <v>46.62</v>
      </c>
      <c r="N373" s="18" t="str">
        <f t="shared" si="10"/>
        <v>May</v>
      </c>
      <c r="O373" s="18">
        <f t="shared" si="11"/>
        <v>2022</v>
      </c>
      <c r="P373" s="11" t="str">
        <f>TEXT(orders!$B373, "DDD")</f>
        <v>Tue</v>
      </c>
      <c r="Q373" s="11" t="str">
        <f>VLOOKUP(orders!C373,[1]customers!$A$1:$I$1001, 6,FALSE)</f>
        <v>Seattle</v>
      </c>
    </row>
    <row r="374" spans="1:17" x14ac:dyDescent="0.3">
      <c r="A374" s="7" t="s">
        <v>765</v>
      </c>
      <c r="B374" s="8">
        <v>44108</v>
      </c>
      <c r="C374" s="9" t="s">
        <v>766</v>
      </c>
      <c r="D374" s="10" t="s">
        <v>174</v>
      </c>
      <c r="E374" s="9">
        <v>6</v>
      </c>
      <c r="F374" s="9" t="str">
        <f>VLOOKUP(C374,[1]customers!$A$1:$I$1001, 2, FALSE)</f>
        <v>Terri Farra</v>
      </c>
      <c r="G374" s="9" t="str">
        <f>VLOOKUP(orders!C374,[1]customers!$A$1:$I$1001, 3, FALSE)</f>
        <v>tfarraac@behance.net</v>
      </c>
      <c r="H374" s="9" t="str">
        <f>VLOOKUP(C374, [1]customers!$A$1:$I$1001, 7, FALSE)</f>
        <v>United States</v>
      </c>
      <c r="I374" s="11" t="str">
        <f>VLOOKUP(orders!D374,[1]products!$A$1:$G$49, 2,FALSE)</f>
        <v>Rob</v>
      </c>
      <c r="J374" s="11" t="str">
        <f>VLOOKUP(orders!D374,[1]products!$A$1:$G$49, 3,FALSE)</f>
        <v>L</v>
      </c>
      <c r="K374" s="12">
        <f>VLOOKUP(orders!D374,[1]products!$A$1:$G$49, 4,FALSE)</f>
        <v>0.5</v>
      </c>
      <c r="L374" s="12">
        <f>VLOOKUP(orders!D374,[1]products!$A$1:$G$49, 5,FALSE)</f>
        <v>7.169999999999999</v>
      </c>
      <c r="M374" s="13">
        <f>PRODUCT(orders!$E374,orders!$L374)</f>
        <v>43.019999999999996</v>
      </c>
      <c r="N374" s="11" t="str">
        <f t="shared" si="10"/>
        <v>October</v>
      </c>
      <c r="O374" s="11">
        <f t="shared" si="11"/>
        <v>2020</v>
      </c>
      <c r="P374" s="11" t="str">
        <f>TEXT(orders!$B374, "DDD")</f>
        <v>Sun</v>
      </c>
      <c r="Q374" s="11" t="str">
        <f>VLOOKUP(orders!C374,[1]customers!$A$1:$I$1001, 6,FALSE)</f>
        <v>Odessa</v>
      </c>
    </row>
    <row r="375" spans="1:17" x14ac:dyDescent="0.3">
      <c r="A375" s="14" t="s">
        <v>767</v>
      </c>
      <c r="B375" s="15">
        <v>44742</v>
      </c>
      <c r="C375" s="16" t="s">
        <v>768</v>
      </c>
      <c r="D375" s="17" t="s">
        <v>89</v>
      </c>
      <c r="E375" s="16">
        <v>3</v>
      </c>
      <c r="F375" s="9" t="str">
        <f>VLOOKUP(C375,[1]customers!$A$1:$I$1001, 2, FALSE)</f>
        <v>Corney Curme</v>
      </c>
      <c r="G375" s="16">
        <f>VLOOKUP(orders!C375,[1]customers!$A$1:$I$1001, 3, FALSE)</f>
        <v>0</v>
      </c>
      <c r="H375" s="16" t="str">
        <f>VLOOKUP(C375, [1]customers!$A$1:$I$1001, 7, FALSE)</f>
        <v>Ireland</v>
      </c>
      <c r="I375" s="18" t="str">
        <f>VLOOKUP(orders!D375,[1]products!$A$1:$G$49, 2,FALSE)</f>
        <v>Ara</v>
      </c>
      <c r="J375" s="18" t="str">
        <f>VLOOKUP(orders!D375,[1]products!$A$1:$G$49, 3,FALSE)</f>
        <v>D</v>
      </c>
      <c r="K375" s="19">
        <f>VLOOKUP(orders!D375,[1]products!$A$1:$G$49, 4,FALSE)</f>
        <v>0.5</v>
      </c>
      <c r="L375" s="19">
        <f>VLOOKUP(orders!D375,[1]products!$A$1:$G$49, 5,FALSE)</f>
        <v>5.97</v>
      </c>
      <c r="M375" s="13">
        <f>PRODUCT(orders!$E375,orders!$L375)</f>
        <v>17.91</v>
      </c>
      <c r="N375" s="18" t="str">
        <f t="shared" si="10"/>
        <v>June</v>
      </c>
      <c r="O375" s="18">
        <f t="shared" si="11"/>
        <v>2022</v>
      </c>
      <c r="P375" s="11" t="str">
        <f>TEXT(orders!$B375, "DDD")</f>
        <v>Thu</v>
      </c>
      <c r="Q375" s="11" t="str">
        <f>VLOOKUP(orders!C375,[1]customers!$A$1:$I$1001, 6,FALSE)</f>
        <v>Castleknock</v>
      </c>
    </row>
    <row r="376" spans="1:17" x14ac:dyDescent="0.3">
      <c r="A376" s="7" t="s">
        <v>769</v>
      </c>
      <c r="B376" s="8">
        <v>44125</v>
      </c>
      <c r="C376" s="9" t="s">
        <v>770</v>
      </c>
      <c r="D376" s="10" t="s">
        <v>100</v>
      </c>
      <c r="E376" s="9">
        <v>4</v>
      </c>
      <c r="F376" s="9" t="str">
        <f>VLOOKUP(C376,[1]customers!$A$1:$I$1001, 2, FALSE)</f>
        <v>Gothart Bamfield</v>
      </c>
      <c r="G376" s="9" t="str">
        <f>VLOOKUP(orders!C376,[1]customers!$A$1:$I$1001, 3, FALSE)</f>
        <v>gbamfieldae@yellowpages.com</v>
      </c>
      <c r="H376" s="9" t="str">
        <f>VLOOKUP(C376, [1]customers!$A$1:$I$1001, 7, FALSE)</f>
        <v>United States</v>
      </c>
      <c r="I376" s="11" t="str">
        <f>VLOOKUP(orders!D376,[1]products!$A$1:$G$49, 2,FALSE)</f>
        <v>Lib</v>
      </c>
      <c r="J376" s="11" t="str">
        <f>VLOOKUP(orders!D376,[1]products!$A$1:$G$49, 3,FALSE)</f>
        <v>L</v>
      </c>
      <c r="K376" s="12">
        <f>VLOOKUP(orders!D376,[1]products!$A$1:$G$49, 4,FALSE)</f>
        <v>0.5</v>
      </c>
      <c r="L376" s="12">
        <f>VLOOKUP(orders!D376,[1]products!$A$1:$G$49, 5,FALSE)</f>
        <v>9.51</v>
      </c>
      <c r="M376" s="13">
        <f>PRODUCT(orders!$E376,orders!$L376)</f>
        <v>38.04</v>
      </c>
      <c r="N376" s="11" t="str">
        <f t="shared" si="10"/>
        <v>October</v>
      </c>
      <c r="O376" s="11">
        <f t="shared" si="11"/>
        <v>2020</v>
      </c>
      <c r="P376" s="11" t="str">
        <f>TEXT(orders!$B376, "DDD")</f>
        <v>Wed</v>
      </c>
      <c r="Q376" s="11" t="str">
        <f>VLOOKUP(orders!C376,[1]customers!$A$1:$I$1001, 6,FALSE)</f>
        <v>Irving</v>
      </c>
    </row>
    <row r="377" spans="1:17" x14ac:dyDescent="0.3">
      <c r="A377" s="14" t="s">
        <v>771</v>
      </c>
      <c r="B377" s="15">
        <v>44120</v>
      </c>
      <c r="C377" s="16" t="s">
        <v>772</v>
      </c>
      <c r="D377" s="17" t="s">
        <v>61</v>
      </c>
      <c r="E377" s="16">
        <v>2</v>
      </c>
      <c r="F377" s="9" t="str">
        <f>VLOOKUP(C377,[1]customers!$A$1:$I$1001, 2, FALSE)</f>
        <v>Waylin Hollingdale</v>
      </c>
      <c r="G377" s="16" t="str">
        <f>VLOOKUP(orders!C377,[1]customers!$A$1:$I$1001, 3, FALSE)</f>
        <v>whollingdaleaf@about.me</v>
      </c>
      <c r="H377" s="16" t="str">
        <f>VLOOKUP(C377, [1]customers!$A$1:$I$1001, 7, FALSE)</f>
        <v>United States</v>
      </c>
      <c r="I377" s="18" t="str">
        <f>VLOOKUP(orders!D377,[1]products!$A$1:$G$49, 2,FALSE)</f>
        <v>Ara</v>
      </c>
      <c r="J377" s="18" t="str">
        <f>VLOOKUP(orders!D377,[1]products!$A$1:$G$49, 3,FALSE)</f>
        <v>M</v>
      </c>
      <c r="K377" s="19">
        <f>VLOOKUP(orders!D377,[1]products!$A$1:$G$49, 4,FALSE)</f>
        <v>0.2</v>
      </c>
      <c r="L377" s="19">
        <f>VLOOKUP(orders!D377,[1]products!$A$1:$G$49, 5,FALSE)</f>
        <v>3.375</v>
      </c>
      <c r="M377" s="13">
        <f>PRODUCT(orders!$E377,orders!$L377)</f>
        <v>6.75</v>
      </c>
      <c r="N377" s="18" t="str">
        <f t="shared" si="10"/>
        <v>October</v>
      </c>
      <c r="O377" s="18">
        <f t="shared" si="11"/>
        <v>2020</v>
      </c>
      <c r="P377" s="11" t="str">
        <f>TEXT(orders!$B377, "DDD")</f>
        <v>Fri</v>
      </c>
      <c r="Q377" s="11" t="str">
        <f>VLOOKUP(orders!C377,[1]customers!$A$1:$I$1001, 6,FALSE)</f>
        <v>Dayton</v>
      </c>
    </row>
    <row r="378" spans="1:17" x14ac:dyDescent="0.3">
      <c r="A378" s="7" t="s">
        <v>773</v>
      </c>
      <c r="B378" s="8">
        <v>44097</v>
      </c>
      <c r="C378" s="9" t="s">
        <v>774</v>
      </c>
      <c r="D378" s="10" t="s">
        <v>39</v>
      </c>
      <c r="E378" s="9">
        <v>1</v>
      </c>
      <c r="F378" s="9" t="str">
        <f>VLOOKUP(C378,[1]customers!$A$1:$I$1001, 2, FALSE)</f>
        <v>Judd De Leek</v>
      </c>
      <c r="G378" s="9" t="str">
        <f>VLOOKUP(orders!C378,[1]customers!$A$1:$I$1001, 3, FALSE)</f>
        <v>jdeag@xrea.com</v>
      </c>
      <c r="H378" s="9" t="str">
        <f>VLOOKUP(C378, [1]customers!$A$1:$I$1001, 7, FALSE)</f>
        <v>United States</v>
      </c>
      <c r="I378" s="11" t="str">
        <f>VLOOKUP(orders!D378,[1]products!$A$1:$G$49, 2,FALSE)</f>
        <v>Rob</v>
      </c>
      <c r="J378" s="11" t="str">
        <f>VLOOKUP(orders!D378,[1]products!$A$1:$G$49, 3,FALSE)</f>
        <v>M</v>
      </c>
      <c r="K378" s="12">
        <f>VLOOKUP(orders!D378,[1]products!$A$1:$G$49, 4,FALSE)</f>
        <v>0.5</v>
      </c>
      <c r="L378" s="12">
        <f>VLOOKUP(orders!D378,[1]products!$A$1:$G$49, 5,FALSE)</f>
        <v>5.97</v>
      </c>
      <c r="M378" s="13">
        <f>PRODUCT(orders!$E378,orders!$L378)</f>
        <v>5.97</v>
      </c>
      <c r="N378" s="11" t="str">
        <f t="shared" si="10"/>
        <v>September</v>
      </c>
      <c r="O378" s="11">
        <f t="shared" si="11"/>
        <v>2020</v>
      </c>
      <c r="P378" s="11" t="str">
        <f>TEXT(orders!$B378, "DDD")</f>
        <v>Wed</v>
      </c>
      <c r="Q378" s="11" t="str">
        <f>VLOOKUP(orders!C378,[1]customers!$A$1:$I$1001, 6,FALSE)</f>
        <v>Grand Rapids</v>
      </c>
    </row>
    <row r="379" spans="1:17" x14ac:dyDescent="0.3">
      <c r="A379" s="14" t="s">
        <v>775</v>
      </c>
      <c r="B379" s="15">
        <v>43532</v>
      </c>
      <c r="C379" s="16" t="s">
        <v>776</v>
      </c>
      <c r="D379" s="17" t="s">
        <v>118</v>
      </c>
      <c r="E379" s="16">
        <v>3</v>
      </c>
      <c r="F379" s="9" t="str">
        <f>VLOOKUP(C379,[1]customers!$A$1:$I$1001, 2, FALSE)</f>
        <v>Vanya Skullet</v>
      </c>
      <c r="G379" s="16" t="str">
        <f>VLOOKUP(orders!C379,[1]customers!$A$1:$I$1001, 3, FALSE)</f>
        <v>vskulletah@tinyurl.com</v>
      </c>
      <c r="H379" s="16" t="str">
        <f>VLOOKUP(C379, [1]customers!$A$1:$I$1001, 7, FALSE)</f>
        <v>Ireland</v>
      </c>
      <c r="I379" s="18" t="str">
        <f>VLOOKUP(orders!D379,[1]products!$A$1:$G$49, 2,FALSE)</f>
        <v>Rob</v>
      </c>
      <c r="J379" s="18" t="str">
        <f>VLOOKUP(orders!D379,[1]products!$A$1:$G$49, 3,FALSE)</f>
        <v>D</v>
      </c>
      <c r="K379" s="19">
        <f>VLOOKUP(orders!D379,[1]products!$A$1:$G$49, 4,FALSE)</f>
        <v>0.2</v>
      </c>
      <c r="L379" s="19">
        <f>VLOOKUP(orders!D379,[1]products!$A$1:$G$49, 5,FALSE)</f>
        <v>2.6849999999999996</v>
      </c>
      <c r="M379" s="13">
        <f>PRODUCT(orders!$E379,orders!$L379)</f>
        <v>8.0549999999999997</v>
      </c>
      <c r="N379" s="18" t="str">
        <f t="shared" si="10"/>
        <v>March</v>
      </c>
      <c r="O379" s="18">
        <f t="shared" si="11"/>
        <v>2019</v>
      </c>
      <c r="P379" s="11" t="str">
        <f>TEXT(orders!$B379, "DDD")</f>
        <v>Fri</v>
      </c>
      <c r="Q379" s="11" t="str">
        <f>VLOOKUP(orders!C379,[1]customers!$A$1:$I$1001, 6,FALSE)</f>
        <v>Balally</v>
      </c>
    </row>
    <row r="380" spans="1:17" x14ac:dyDescent="0.3">
      <c r="A380" s="7" t="s">
        <v>777</v>
      </c>
      <c r="B380" s="8">
        <v>44377</v>
      </c>
      <c r="C380" s="9" t="s">
        <v>778</v>
      </c>
      <c r="D380" s="10" t="s">
        <v>209</v>
      </c>
      <c r="E380" s="9">
        <v>3</v>
      </c>
      <c r="F380" s="9" t="str">
        <f>VLOOKUP(C380,[1]customers!$A$1:$I$1001, 2, FALSE)</f>
        <v>Jany Rudeforth</v>
      </c>
      <c r="G380" s="9" t="str">
        <f>VLOOKUP(orders!C380,[1]customers!$A$1:$I$1001, 3, FALSE)</f>
        <v>jrudeforthai@wunderground.com</v>
      </c>
      <c r="H380" s="9" t="str">
        <f>VLOOKUP(C380, [1]customers!$A$1:$I$1001, 7, FALSE)</f>
        <v>Ireland</v>
      </c>
      <c r="I380" s="11" t="str">
        <f>VLOOKUP(orders!D380,[1]products!$A$1:$G$49, 2,FALSE)</f>
        <v>Ara</v>
      </c>
      <c r="J380" s="11" t="str">
        <f>VLOOKUP(orders!D380,[1]products!$A$1:$G$49, 3,FALSE)</f>
        <v>L</v>
      </c>
      <c r="K380" s="12">
        <f>VLOOKUP(orders!D380,[1]products!$A$1:$G$49, 4,FALSE)</f>
        <v>0.5</v>
      </c>
      <c r="L380" s="12">
        <f>VLOOKUP(orders!D380,[1]products!$A$1:$G$49, 5,FALSE)</f>
        <v>7.77</v>
      </c>
      <c r="M380" s="13">
        <f>PRODUCT(orders!$E380,orders!$L380)</f>
        <v>23.31</v>
      </c>
      <c r="N380" s="11" t="str">
        <f t="shared" si="10"/>
        <v>June</v>
      </c>
      <c r="O380" s="11">
        <f t="shared" si="11"/>
        <v>2021</v>
      </c>
      <c r="P380" s="11" t="str">
        <f>TEXT(orders!$B380, "DDD")</f>
        <v>Wed</v>
      </c>
      <c r="Q380" s="11" t="str">
        <f>VLOOKUP(orders!C380,[1]customers!$A$1:$I$1001, 6,FALSE)</f>
        <v>Tullyallen</v>
      </c>
    </row>
    <row r="381" spans="1:17" x14ac:dyDescent="0.3">
      <c r="A381" s="14" t="s">
        <v>779</v>
      </c>
      <c r="B381" s="15">
        <v>43690</v>
      </c>
      <c r="C381" s="16" t="s">
        <v>780</v>
      </c>
      <c r="D381" s="17" t="s">
        <v>174</v>
      </c>
      <c r="E381" s="16">
        <v>6</v>
      </c>
      <c r="F381" s="9" t="str">
        <f>VLOOKUP(C381,[1]customers!$A$1:$I$1001, 2, FALSE)</f>
        <v>Ashbey Tomaszewski</v>
      </c>
      <c r="G381" s="16" t="str">
        <f>VLOOKUP(orders!C381,[1]customers!$A$1:$I$1001, 3, FALSE)</f>
        <v>atomaszewskiaj@answers.com</v>
      </c>
      <c r="H381" s="16" t="str">
        <f>VLOOKUP(C381, [1]customers!$A$1:$I$1001, 7, FALSE)</f>
        <v>United Kingdom</v>
      </c>
      <c r="I381" s="18" t="str">
        <f>VLOOKUP(orders!D381,[1]products!$A$1:$G$49, 2,FALSE)</f>
        <v>Rob</v>
      </c>
      <c r="J381" s="18" t="str">
        <f>VLOOKUP(orders!D381,[1]products!$A$1:$G$49, 3,FALSE)</f>
        <v>L</v>
      </c>
      <c r="K381" s="19">
        <f>VLOOKUP(orders!D381,[1]products!$A$1:$G$49, 4,FALSE)</f>
        <v>0.5</v>
      </c>
      <c r="L381" s="19">
        <f>VLOOKUP(orders!D381,[1]products!$A$1:$G$49, 5,FALSE)</f>
        <v>7.169999999999999</v>
      </c>
      <c r="M381" s="13">
        <f>PRODUCT(orders!$E381,orders!$L381)</f>
        <v>43.019999999999996</v>
      </c>
      <c r="N381" s="18" t="str">
        <f t="shared" si="10"/>
        <v>August</v>
      </c>
      <c r="O381" s="18">
        <f t="shared" si="11"/>
        <v>2019</v>
      </c>
      <c r="P381" s="11" t="str">
        <f>TEXT(orders!$B381, "DDD")</f>
        <v>Tue</v>
      </c>
      <c r="Q381" s="11" t="str">
        <f>VLOOKUP(orders!C381,[1]customers!$A$1:$I$1001, 6,FALSE)</f>
        <v>Sutton</v>
      </c>
    </row>
    <row r="382" spans="1:17" x14ac:dyDescent="0.3">
      <c r="A382" s="7" t="s">
        <v>781</v>
      </c>
      <c r="B382" s="8">
        <v>44249</v>
      </c>
      <c r="C382" s="9" t="s">
        <v>681</v>
      </c>
      <c r="D382" s="10" t="s">
        <v>140</v>
      </c>
      <c r="E382" s="9">
        <v>3</v>
      </c>
      <c r="F382" s="9" t="str">
        <f>VLOOKUP(C382,[1]customers!$A$1:$I$1001, 2, FALSE)</f>
        <v>Flynn Antony</v>
      </c>
      <c r="G382" s="9">
        <f>VLOOKUP(orders!C382,[1]customers!$A$1:$I$1001, 3, FALSE)</f>
        <v>0</v>
      </c>
      <c r="H382" s="9" t="str">
        <f>VLOOKUP(C382, [1]customers!$A$1:$I$1001, 7, FALSE)</f>
        <v>United States</v>
      </c>
      <c r="I382" s="11" t="str">
        <f>VLOOKUP(orders!D382,[1]products!$A$1:$G$49, 2,FALSE)</f>
        <v>Lib</v>
      </c>
      <c r="J382" s="11" t="str">
        <f>VLOOKUP(orders!D382,[1]products!$A$1:$G$49, 3,FALSE)</f>
        <v>D</v>
      </c>
      <c r="K382" s="12">
        <f>VLOOKUP(orders!D382,[1]products!$A$1:$G$49, 4,FALSE)</f>
        <v>0.5</v>
      </c>
      <c r="L382" s="12">
        <f>VLOOKUP(orders!D382,[1]products!$A$1:$G$49, 5,FALSE)</f>
        <v>7.77</v>
      </c>
      <c r="M382" s="13">
        <f>PRODUCT(orders!$E382,orders!$L382)</f>
        <v>23.31</v>
      </c>
      <c r="N382" s="11" t="str">
        <f t="shared" si="10"/>
        <v>February</v>
      </c>
      <c r="O382" s="11">
        <f t="shared" si="11"/>
        <v>2021</v>
      </c>
      <c r="P382" s="11" t="str">
        <f>TEXT(orders!$B382, "DDD")</f>
        <v>Mon</v>
      </c>
      <c r="Q382" s="11" t="str">
        <f>VLOOKUP(orders!C382,[1]customers!$A$1:$I$1001, 6,FALSE)</f>
        <v>Birmingham</v>
      </c>
    </row>
    <row r="383" spans="1:17" x14ac:dyDescent="0.3">
      <c r="A383" s="14" t="s">
        <v>782</v>
      </c>
      <c r="B383" s="15">
        <v>44646</v>
      </c>
      <c r="C383" s="16" t="s">
        <v>783</v>
      </c>
      <c r="D383" s="17" t="s">
        <v>71</v>
      </c>
      <c r="E383" s="16">
        <v>5</v>
      </c>
      <c r="F383" s="9" t="str">
        <f>VLOOKUP(C383,[1]customers!$A$1:$I$1001, 2, FALSE)</f>
        <v>Pren Bess</v>
      </c>
      <c r="G383" s="16" t="str">
        <f>VLOOKUP(orders!C383,[1]customers!$A$1:$I$1001, 3, FALSE)</f>
        <v>pbessal@qq.com</v>
      </c>
      <c r="H383" s="16" t="str">
        <f>VLOOKUP(C383, [1]customers!$A$1:$I$1001, 7, FALSE)</f>
        <v>United States</v>
      </c>
      <c r="I383" s="18" t="str">
        <f>VLOOKUP(orders!D383,[1]products!$A$1:$G$49, 2,FALSE)</f>
        <v>Ara</v>
      </c>
      <c r="J383" s="18" t="str">
        <f>VLOOKUP(orders!D383,[1]products!$A$1:$G$49, 3,FALSE)</f>
        <v>D</v>
      </c>
      <c r="K383" s="19">
        <f>VLOOKUP(orders!D383,[1]products!$A$1:$G$49, 4,FALSE)</f>
        <v>0.2</v>
      </c>
      <c r="L383" s="19">
        <f>VLOOKUP(orders!D383,[1]products!$A$1:$G$49, 5,FALSE)</f>
        <v>2.9849999999999999</v>
      </c>
      <c r="M383" s="13">
        <f>PRODUCT(orders!$E383,orders!$L383)</f>
        <v>14.924999999999999</v>
      </c>
      <c r="N383" s="18" t="str">
        <f t="shared" si="10"/>
        <v>March</v>
      </c>
      <c r="O383" s="18">
        <f t="shared" si="11"/>
        <v>2022</v>
      </c>
      <c r="P383" s="11" t="str">
        <f>TEXT(orders!$B383, "DDD")</f>
        <v>Sat</v>
      </c>
      <c r="Q383" s="11" t="str">
        <f>VLOOKUP(orders!C383,[1]customers!$A$1:$I$1001, 6,FALSE)</f>
        <v>Los Angeles</v>
      </c>
    </row>
    <row r="384" spans="1:17" x14ac:dyDescent="0.3">
      <c r="A384" s="7" t="s">
        <v>784</v>
      </c>
      <c r="B384" s="8">
        <v>43840</v>
      </c>
      <c r="C384" s="9" t="s">
        <v>785</v>
      </c>
      <c r="D384" s="10" t="s">
        <v>33</v>
      </c>
      <c r="E384" s="9">
        <v>3</v>
      </c>
      <c r="F384" s="9" t="str">
        <f>VLOOKUP(C384,[1]customers!$A$1:$I$1001, 2, FALSE)</f>
        <v>Elka Windress</v>
      </c>
      <c r="G384" s="9" t="str">
        <f>VLOOKUP(orders!C384,[1]customers!$A$1:$I$1001, 3, FALSE)</f>
        <v>ewindressam@marketwatch.com</v>
      </c>
      <c r="H384" s="9" t="str">
        <f>VLOOKUP(C384, [1]customers!$A$1:$I$1001, 7, FALSE)</f>
        <v>United States</v>
      </c>
      <c r="I384" s="11" t="str">
        <f>VLOOKUP(orders!D384,[1]products!$A$1:$G$49, 2,FALSE)</f>
        <v>Exc</v>
      </c>
      <c r="J384" s="11" t="str">
        <f>VLOOKUP(orders!D384,[1]products!$A$1:$G$49, 3,FALSE)</f>
        <v>D</v>
      </c>
      <c r="K384" s="12">
        <f>VLOOKUP(orders!D384,[1]products!$A$1:$G$49, 4,FALSE)</f>
        <v>0.5</v>
      </c>
      <c r="L384" s="12">
        <f>VLOOKUP(orders!D384,[1]products!$A$1:$G$49, 5,FALSE)</f>
        <v>7.29</v>
      </c>
      <c r="M384" s="13">
        <f>PRODUCT(orders!$E384,orders!$L384)</f>
        <v>21.87</v>
      </c>
      <c r="N384" s="11" t="str">
        <f t="shared" si="10"/>
        <v>January</v>
      </c>
      <c r="O384" s="11">
        <f t="shared" si="11"/>
        <v>2020</v>
      </c>
      <c r="P384" s="11" t="str">
        <f>TEXT(orders!$B384, "DDD")</f>
        <v>Fri</v>
      </c>
      <c r="Q384" s="11" t="str">
        <f>VLOOKUP(orders!C384,[1]customers!$A$1:$I$1001, 6,FALSE)</f>
        <v>Baltimore</v>
      </c>
    </row>
    <row r="385" spans="1:17" x14ac:dyDescent="0.3">
      <c r="A385" s="14" t="s">
        <v>786</v>
      </c>
      <c r="B385" s="15">
        <v>43586</v>
      </c>
      <c r="C385" s="16" t="s">
        <v>787</v>
      </c>
      <c r="D385" s="17" t="s">
        <v>193</v>
      </c>
      <c r="E385" s="16">
        <v>6</v>
      </c>
      <c r="F385" s="9" t="str">
        <f>VLOOKUP(C385,[1]customers!$A$1:$I$1001, 2, FALSE)</f>
        <v>Marty Kidstoun</v>
      </c>
      <c r="G385" s="16">
        <f>VLOOKUP(orders!C385,[1]customers!$A$1:$I$1001, 3, FALSE)</f>
        <v>0</v>
      </c>
      <c r="H385" s="16" t="str">
        <f>VLOOKUP(C385, [1]customers!$A$1:$I$1001, 7, FALSE)</f>
        <v>United States</v>
      </c>
      <c r="I385" s="18" t="str">
        <f>VLOOKUP(orders!D385,[1]products!$A$1:$G$49, 2,FALSE)</f>
        <v>Exc</v>
      </c>
      <c r="J385" s="18" t="str">
        <f>VLOOKUP(orders!D385,[1]products!$A$1:$G$49, 3,FALSE)</f>
        <v>L</v>
      </c>
      <c r="K385" s="19">
        <f>VLOOKUP(orders!D385,[1]products!$A$1:$G$49, 4,FALSE)</f>
        <v>0.5</v>
      </c>
      <c r="L385" s="19">
        <f>VLOOKUP(orders!D385,[1]products!$A$1:$G$49, 5,FALSE)</f>
        <v>8.91</v>
      </c>
      <c r="M385" s="13">
        <f>PRODUCT(orders!$E385,orders!$L385)</f>
        <v>53.46</v>
      </c>
      <c r="N385" s="18" t="str">
        <f t="shared" si="10"/>
        <v>May</v>
      </c>
      <c r="O385" s="18">
        <f t="shared" si="11"/>
        <v>2019</v>
      </c>
      <c r="P385" s="11" t="str">
        <f>TEXT(orders!$B385, "DDD")</f>
        <v>Wed</v>
      </c>
      <c r="Q385" s="11" t="str">
        <f>VLOOKUP(orders!C385,[1]customers!$A$1:$I$1001, 6,FALSE)</f>
        <v>Harrisburg</v>
      </c>
    </row>
    <row r="386" spans="1:17" x14ac:dyDescent="0.3">
      <c r="A386" s="7" t="s">
        <v>788</v>
      </c>
      <c r="B386" s="8">
        <v>43870</v>
      </c>
      <c r="C386" s="9" t="s">
        <v>789</v>
      </c>
      <c r="D386" s="10" t="s">
        <v>221</v>
      </c>
      <c r="E386" s="9">
        <v>4</v>
      </c>
      <c r="F386" s="9" t="str">
        <f>VLOOKUP(C386,[1]customers!$A$1:$I$1001, 2, FALSE)</f>
        <v>Nickey Dimbleby</v>
      </c>
      <c r="G386" s="9">
        <f>VLOOKUP(orders!C386,[1]customers!$A$1:$I$1001, 3, FALSE)</f>
        <v>0</v>
      </c>
      <c r="H386" s="9" t="str">
        <f>VLOOKUP(C386, [1]customers!$A$1:$I$1001, 7, FALSE)</f>
        <v>United States</v>
      </c>
      <c r="I386" s="11" t="str">
        <f>VLOOKUP(orders!D386,[1]products!$A$1:$G$49, 2,FALSE)</f>
        <v>Ara</v>
      </c>
      <c r="J386" s="11" t="str">
        <f>VLOOKUP(orders!D386,[1]products!$A$1:$G$49, 3,FALSE)</f>
        <v>L</v>
      </c>
      <c r="K386" s="12">
        <f>VLOOKUP(orders!D386,[1]products!$A$1:$G$49, 4,FALSE)</f>
        <v>2.5</v>
      </c>
      <c r="L386" s="12">
        <f>VLOOKUP(orders!D386,[1]products!$A$1:$G$49, 5,FALSE)</f>
        <v>29.784999999999997</v>
      </c>
      <c r="M386" s="13">
        <f>PRODUCT(orders!$E386,orders!$L386)</f>
        <v>119.13999999999999</v>
      </c>
      <c r="N386" s="11" t="str">
        <f t="shared" ref="N386:N449" si="12">TEXT(B386, "mmmm")</f>
        <v>February</v>
      </c>
      <c r="O386" s="11">
        <f t="shared" ref="O386:O449" si="13">YEAR(B386)</f>
        <v>2020</v>
      </c>
      <c r="P386" s="11" t="str">
        <f>TEXT(orders!$B386, "DDD")</f>
        <v>Sun</v>
      </c>
      <c r="Q386" s="11" t="str">
        <f>VLOOKUP(orders!C386,[1]customers!$A$1:$I$1001, 6,FALSE)</f>
        <v>Dallas</v>
      </c>
    </row>
    <row r="387" spans="1:17" x14ac:dyDescent="0.3">
      <c r="A387" s="14" t="s">
        <v>790</v>
      </c>
      <c r="B387" s="15">
        <v>44559</v>
      </c>
      <c r="C387" s="16" t="s">
        <v>791</v>
      </c>
      <c r="D387" s="17" t="s">
        <v>95</v>
      </c>
      <c r="E387" s="16">
        <v>5</v>
      </c>
      <c r="F387" s="9" t="str">
        <f>VLOOKUP(C387,[1]customers!$A$1:$I$1001, 2, FALSE)</f>
        <v>Virgil Baumadier</v>
      </c>
      <c r="G387" s="16" t="str">
        <f>VLOOKUP(orders!C387,[1]customers!$A$1:$I$1001, 3, FALSE)</f>
        <v>vbaumadierap@google.cn</v>
      </c>
      <c r="H387" s="16" t="str">
        <f>VLOOKUP(C387, [1]customers!$A$1:$I$1001, 7, FALSE)</f>
        <v>United States</v>
      </c>
      <c r="I387" s="18" t="str">
        <f>VLOOKUP(orders!D387,[1]products!$A$1:$G$49, 2,FALSE)</f>
        <v>Lib</v>
      </c>
      <c r="J387" s="18" t="str">
        <f>VLOOKUP(orders!D387,[1]products!$A$1:$G$49, 3,FALSE)</f>
        <v>M</v>
      </c>
      <c r="K387" s="19">
        <f>VLOOKUP(orders!D387,[1]products!$A$1:$G$49, 4,FALSE)</f>
        <v>0.5</v>
      </c>
      <c r="L387" s="19">
        <f>VLOOKUP(orders!D387,[1]products!$A$1:$G$49, 5,FALSE)</f>
        <v>8.73</v>
      </c>
      <c r="M387" s="13">
        <f>PRODUCT(orders!$E387,orders!$L387)</f>
        <v>43.650000000000006</v>
      </c>
      <c r="N387" s="18" t="str">
        <f t="shared" si="12"/>
        <v>December</v>
      </c>
      <c r="O387" s="18">
        <f t="shared" si="13"/>
        <v>2021</v>
      </c>
      <c r="P387" s="11" t="str">
        <f>TEXT(orders!$B387, "DDD")</f>
        <v>Wed</v>
      </c>
      <c r="Q387" s="11" t="str">
        <f>VLOOKUP(orders!C387,[1]customers!$A$1:$I$1001, 6,FALSE)</f>
        <v>Kansas City</v>
      </c>
    </row>
    <row r="388" spans="1:17" x14ac:dyDescent="0.3">
      <c r="A388" s="7" t="s">
        <v>792</v>
      </c>
      <c r="B388" s="8">
        <v>44083</v>
      </c>
      <c r="C388" s="9" t="s">
        <v>793</v>
      </c>
      <c r="D388" s="10" t="s">
        <v>71</v>
      </c>
      <c r="E388" s="9">
        <v>6</v>
      </c>
      <c r="F388" s="9" t="str">
        <f>VLOOKUP(C388,[1]customers!$A$1:$I$1001, 2, FALSE)</f>
        <v>Lenore Messenbird</v>
      </c>
      <c r="G388" s="9">
        <f>VLOOKUP(orders!C388,[1]customers!$A$1:$I$1001, 3, FALSE)</f>
        <v>0</v>
      </c>
      <c r="H388" s="9" t="str">
        <f>VLOOKUP(C388, [1]customers!$A$1:$I$1001, 7, FALSE)</f>
        <v>United States</v>
      </c>
      <c r="I388" s="11" t="str">
        <f>VLOOKUP(orders!D388,[1]products!$A$1:$G$49, 2,FALSE)</f>
        <v>Ara</v>
      </c>
      <c r="J388" s="11" t="str">
        <f>VLOOKUP(orders!D388,[1]products!$A$1:$G$49, 3,FALSE)</f>
        <v>D</v>
      </c>
      <c r="K388" s="12">
        <f>VLOOKUP(orders!D388,[1]products!$A$1:$G$49, 4,FALSE)</f>
        <v>0.2</v>
      </c>
      <c r="L388" s="12">
        <f>VLOOKUP(orders!D388,[1]products!$A$1:$G$49, 5,FALSE)</f>
        <v>2.9849999999999999</v>
      </c>
      <c r="M388" s="13">
        <f>PRODUCT(orders!$E388,orders!$L388)</f>
        <v>17.91</v>
      </c>
      <c r="N388" s="11" t="str">
        <f t="shared" si="12"/>
        <v>September</v>
      </c>
      <c r="O388" s="11">
        <f t="shared" si="13"/>
        <v>2020</v>
      </c>
      <c r="P388" s="11" t="str">
        <f>TEXT(orders!$B388, "DDD")</f>
        <v>Wed</v>
      </c>
      <c r="Q388" s="11" t="str">
        <f>VLOOKUP(orders!C388,[1]customers!$A$1:$I$1001, 6,FALSE)</f>
        <v>Springfield</v>
      </c>
    </row>
    <row r="389" spans="1:17" x14ac:dyDescent="0.3">
      <c r="A389" s="14" t="s">
        <v>794</v>
      </c>
      <c r="B389" s="15">
        <v>44455</v>
      </c>
      <c r="C389" s="16" t="s">
        <v>795</v>
      </c>
      <c r="D389" s="17" t="s">
        <v>154</v>
      </c>
      <c r="E389" s="16">
        <v>5</v>
      </c>
      <c r="F389" s="9" t="str">
        <f>VLOOKUP(C389,[1]customers!$A$1:$I$1001, 2, FALSE)</f>
        <v>Shirleen Welds</v>
      </c>
      <c r="G389" s="16" t="str">
        <f>VLOOKUP(orders!C389,[1]customers!$A$1:$I$1001, 3, FALSE)</f>
        <v>sweldsar@wired.com</v>
      </c>
      <c r="H389" s="16" t="str">
        <f>VLOOKUP(C389, [1]customers!$A$1:$I$1001, 7, FALSE)</f>
        <v>United States</v>
      </c>
      <c r="I389" s="18" t="str">
        <f>VLOOKUP(orders!D389,[1]products!$A$1:$G$49, 2,FALSE)</f>
        <v>Exc</v>
      </c>
      <c r="J389" s="18" t="str">
        <f>VLOOKUP(orders!D389,[1]products!$A$1:$G$49, 3,FALSE)</f>
        <v>L</v>
      </c>
      <c r="K389" s="19">
        <f>VLOOKUP(orders!D389,[1]products!$A$1:$G$49, 4,FALSE)</f>
        <v>1</v>
      </c>
      <c r="L389" s="19">
        <f>VLOOKUP(orders!D389,[1]products!$A$1:$G$49, 5,FALSE)</f>
        <v>14.85</v>
      </c>
      <c r="M389" s="13">
        <f>PRODUCT(orders!$E389,orders!$L389)</f>
        <v>74.25</v>
      </c>
      <c r="N389" s="18" t="str">
        <f t="shared" si="12"/>
        <v>September</v>
      </c>
      <c r="O389" s="18">
        <f t="shared" si="13"/>
        <v>2021</v>
      </c>
      <c r="P389" s="11" t="str">
        <f>TEXT(orders!$B389, "DDD")</f>
        <v>Thu</v>
      </c>
      <c r="Q389" s="11" t="str">
        <f>VLOOKUP(orders!C389,[1]customers!$A$1:$I$1001, 6,FALSE)</f>
        <v>New Haven</v>
      </c>
    </row>
    <row r="390" spans="1:17" x14ac:dyDescent="0.3">
      <c r="A390" s="7" t="s">
        <v>796</v>
      </c>
      <c r="B390" s="8">
        <v>44130</v>
      </c>
      <c r="C390" s="9" t="s">
        <v>797</v>
      </c>
      <c r="D390" s="10" t="s">
        <v>55</v>
      </c>
      <c r="E390" s="9">
        <v>3</v>
      </c>
      <c r="F390" s="9" t="str">
        <f>VLOOKUP(C390,[1]customers!$A$1:$I$1001, 2, FALSE)</f>
        <v>Maisie Sarvar</v>
      </c>
      <c r="G390" s="9" t="str">
        <f>VLOOKUP(orders!C390,[1]customers!$A$1:$I$1001, 3, FALSE)</f>
        <v>msarvaras@artisteer.com</v>
      </c>
      <c r="H390" s="9" t="str">
        <f>VLOOKUP(C390, [1]customers!$A$1:$I$1001, 7, FALSE)</f>
        <v>United States</v>
      </c>
      <c r="I390" s="11" t="str">
        <f>VLOOKUP(orders!D390,[1]products!$A$1:$G$49, 2,FALSE)</f>
        <v>Lib</v>
      </c>
      <c r="J390" s="11" t="str">
        <f>VLOOKUP(orders!D390,[1]products!$A$1:$G$49, 3,FALSE)</f>
        <v>D</v>
      </c>
      <c r="K390" s="12">
        <f>VLOOKUP(orders!D390,[1]products!$A$1:$G$49, 4,FALSE)</f>
        <v>0.2</v>
      </c>
      <c r="L390" s="12">
        <f>VLOOKUP(orders!D390,[1]products!$A$1:$G$49, 5,FALSE)</f>
        <v>3.8849999999999998</v>
      </c>
      <c r="M390" s="13">
        <f>PRODUCT(orders!$E390,orders!$L390)</f>
        <v>11.654999999999999</v>
      </c>
      <c r="N390" s="11" t="str">
        <f t="shared" si="12"/>
        <v>October</v>
      </c>
      <c r="O390" s="11">
        <f t="shared" si="13"/>
        <v>2020</v>
      </c>
      <c r="P390" s="11" t="str">
        <f>TEXT(orders!$B390, "DDD")</f>
        <v>Mon</v>
      </c>
      <c r="Q390" s="11" t="str">
        <f>VLOOKUP(orders!C390,[1]customers!$A$1:$I$1001, 6,FALSE)</f>
        <v>Lawrenceville</v>
      </c>
    </row>
    <row r="391" spans="1:17" x14ac:dyDescent="0.3">
      <c r="A391" s="14" t="s">
        <v>798</v>
      </c>
      <c r="B391" s="15">
        <v>43536</v>
      </c>
      <c r="C391" s="16" t="s">
        <v>799</v>
      </c>
      <c r="D391" s="17" t="s">
        <v>140</v>
      </c>
      <c r="E391" s="16">
        <v>3</v>
      </c>
      <c r="F391" s="9" t="str">
        <f>VLOOKUP(C391,[1]customers!$A$1:$I$1001, 2, FALSE)</f>
        <v>Andrej Havick</v>
      </c>
      <c r="G391" s="16" t="str">
        <f>VLOOKUP(orders!C391,[1]customers!$A$1:$I$1001, 3, FALSE)</f>
        <v>ahavickat@nsw.gov.au</v>
      </c>
      <c r="H391" s="16" t="str">
        <f>VLOOKUP(C391, [1]customers!$A$1:$I$1001, 7, FALSE)</f>
        <v>United States</v>
      </c>
      <c r="I391" s="18" t="str">
        <f>VLOOKUP(orders!D391,[1]products!$A$1:$G$49, 2,FALSE)</f>
        <v>Lib</v>
      </c>
      <c r="J391" s="18" t="str">
        <f>VLOOKUP(orders!D391,[1]products!$A$1:$G$49, 3,FALSE)</f>
        <v>D</v>
      </c>
      <c r="K391" s="19">
        <f>VLOOKUP(orders!D391,[1]products!$A$1:$G$49, 4,FALSE)</f>
        <v>0.5</v>
      </c>
      <c r="L391" s="19">
        <f>VLOOKUP(orders!D391,[1]products!$A$1:$G$49, 5,FALSE)</f>
        <v>7.77</v>
      </c>
      <c r="M391" s="13">
        <f>PRODUCT(orders!$E391,orders!$L391)</f>
        <v>23.31</v>
      </c>
      <c r="N391" s="18" t="str">
        <f t="shared" si="12"/>
        <v>March</v>
      </c>
      <c r="O391" s="18">
        <f t="shared" si="13"/>
        <v>2019</v>
      </c>
      <c r="P391" s="11" t="str">
        <f>TEXT(orders!$B391, "DDD")</f>
        <v>Tue</v>
      </c>
      <c r="Q391" s="11" t="str">
        <f>VLOOKUP(orders!C391,[1]customers!$A$1:$I$1001, 6,FALSE)</f>
        <v>Asheville</v>
      </c>
    </row>
    <row r="392" spans="1:17" x14ac:dyDescent="0.3">
      <c r="A392" s="7" t="s">
        <v>800</v>
      </c>
      <c r="B392" s="8">
        <v>44245</v>
      </c>
      <c r="C392" s="9" t="s">
        <v>801</v>
      </c>
      <c r="D392" s="10" t="s">
        <v>33</v>
      </c>
      <c r="E392" s="9">
        <v>2</v>
      </c>
      <c r="F392" s="9" t="str">
        <f>VLOOKUP(C392,[1]customers!$A$1:$I$1001, 2, FALSE)</f>
        <v>Sloan Diviny</v>
      </c>
      <c r="G392" s="9" t="str">
        <f>VLOOKUP(orders!C392,[1]customers!$A$1:$I$1001, 3, FALSE)</f>
        <v>sdivinyau@ask.com</v>
      </c>
      <c r="H392" s="9" t="str">
        <f>VLOOKUP(C392, [1]customers!$A$1:$I$1001, 7, FALSE)</f>
        <v>United States</v>
      </c>
      <c r="I392" s="11" t="str">
        <f>VLOOKUP(orders!D392,[1]products!$A$1:$G$49, 2,FALSE)</f>
        <v>Exc</v>
      </c>
      <c r="J392" s="11" t="str">
        <f>VLOOKUP(orders!D392,[1]products!$A$1:$G$49, 3,FALSE)</f>
        <v>D</v>
      </c>
      <c r="K392" s="12">
        <f>VLOOKUP(orders!D392,[1]products!$A$1:$G$49, 4,FALSE)</f>
        <v>0.5</v>
      </c>
      <c r="L392" s="12">
        <f>VLOOKUP(orders!D392,[1]products!$A$1:$G$49, 5,FALSE)</f>
        <v>7.29</v>
      </c>
      <c r="M392" s="13">
        <f>PRODUCT(orders!$E392,orders!$L392)</f>
        <v>14.58</v>
      </c>
      <c r="N392" s="11" t="str">
        <f t="shared" si="12"/>
        <v>February</v>
      </c>
      <c r="O392" s="11">
        <f t="shared" si="13"/>
        <v>2021</v>
      </c>
      <c r="P392" s="11" t="str">
        <f>TEXT(orders!$B392, "DDD")</f>
        <v>Thu</v>
      </c>
      <c r="Q392" s="11" t="str">
        <f>VLOOKUP(orders!C392,[1]customers!$A$1:$I$1001, 6,FALSE)</f>
        <v>Saint Paul</v>
      </c>
    </row>
    <row r="393" spans="1:17" x14ac:dyDescent="0.3">
      <c r="A393" s="14" t="s">
        <v>802</v>
      </c>
      <c r="B393" s="15">
        <v>44133</v>
      </c>
      <c r="C393" s="16" t="s">
        <v>803</v>
      </c>
      <c r="D393" s="17" t="s">
        <v>84</v>
      </c>
      <c r="E393" s="16">
        <v>2</v>
      </c>
      <c r="F393" s="9" t="str">
        <f>VLOOKUP(C393,[1]customers!$A$1:$I$1001, 2, FALSE)</f>
        <v>Itch Norquoy</v>
      </c>
      <c r="G393" s="16" t="str">
        <f>VLOOKUP(orders!C393,[1]customers!$A$1:$I$1001, 3, FALSE)</f>
        <v>inorquoyav@businessweek.com</v>
      </c>
      <c r="H393" s="16" t="str">
        <f>VLOOKUP(C393, [1]customers!$A$1:$I$1001, 7, FALSE)</f>
        <v>United States</v>
      </c>
      <c r="I393" s="18" t="str">
        <f>VLOOKUP(orders!D393,[1]products!$A$1:$G$49, 2,FALSE)</f>
        <v>Ara</v>
      </c>
      <c r="J393" s="18" t="str">
        <f>VLOOKUP(orders!D393,[1]products!$A$1:$G$49, 3,FALSE)</f>
        <v>M</v>
      </c>
      <c r="K393" s="19">
        <f>VLOOKUP(orders!D393,[1]products!$A$1:$G$49, 4,FALSE)</f>
        <v>0.5</v>
      </c>
      <c r="L393" s="19">
        <f>VLOOKUP(orders!D393,[1]products!$A$1:$G$49, 5,FALSE)</f>
        <v>6.75</v>
      </c>
      <c r="M393" s="13">
        <f>PRODUCT(orders!$E393,orders!$L393)</f>
        <v>13.5</v>
      </c>
      <c r="N393" s="18" t="str">
        <f t="shared" si="12"/>
        <v>October</v>
      </c>
      <c r="O393" s="18">
        <f t="shared" si="13"/>
        <v>2020</v>
      </c>
      <c r="P393" s="11" t="str">
        <f>TEXT(orders!$B393, "DDD")</f>
        <v>Thu</v>
      </c>
      <c r="Q393" s="11" t="str">
        <f>VLOOKUP(orders!C393,[1]customers!$A$1:$I$1001, 6,FALSE)</f>
        <v>Minneapolis</v>
      </c>
    </row>
    <row r="394" spans="1:17" x14ac:dyDescent="0.3">
      <c r="A394" s="7" t="s">
        <v>804</v>
      </c>
      <c r="B394" s="8">
        <v>44445</v>
      </c>
      <c r="C394" s="9" t="s">
        <v>805</v>
      </c>
      <c r="D394" s="10" t="s">
        <v>154</v>
      </c>
      <c r="E394" s="9">
        <v>6</v>
      </c>
      <c r="F394" s="9" t="str">
        <f>VLOOKUP(C394,[1]customers!$A$1:$I$1001, 2, FALSE)</f>
        <v>Anson Iddison</v>
      </c>
      <c r="G394" s="9" t="str">
        <f>VLOOKUP(orders!C394,[1]customers!$A$1:$I$1001, 3, FALSE)</f>
        <v>aiddisonaw@usa.gov</v>
      </c>
      <c r="H394" s="9" t="str">
        <f>VLOOKUP(C394, [1]customers!$A$1:$I$1001, 7, FALSE)</f>
        <v>United States</v>
      </c>
      <c r="I394" s="11" t="str">
        <f>VLOOKUP(orders!D394,[1]products!$A$1:$G$49, 2,FALSE)</f>
        <v>Exc</v>
      </c>
      <c r="J394" s="11" t="str">
        <f>VLOOKUP(orders!D394,[1]products!$A$1:$G$49, 3,FALSE)</f>
        <v>L</v>
      </c>
      <c r="K394" s="12">
        <f>VLOOKUP(orders!D394,[1]products!$A$1:$G$49, 4,FALSE)</f>
        <v>1</v>
      </c>
      <c r="L394" s="12">
        <f>VLOOKUP(orders!D394,[1]products!$A$1:$G$49, 5,FALSE)</f>
        <v>14.85</v>
      </c>
      <c r="M394" s="13">
        <f>PRODUCT(orders!$E394,orders!$L394)</f>
        <v>89.1</v>
      </c>
      <c r="N394" s="11" t="str">
        <f t="shared" si="12"/>
        <v>September</v>
      </c>
      <c r="O394" s="11">
        <f t="shared" si="13"/>
        <v>2021</v>
      </c>
      <c r="P394" s="11" t="str">
        <f>TEXT(orders!$B394, "DDD")</f>
        <v>Mon</v>
      </c>
      <c r="Q394" s="11" t="str">
        <f>VLOOKUP(orders!C394,[1]customers!$A$1:$I$1001, 6,FALSE)</f>
        <v>Santa Ana</v>
      </c>
    </row>
    <row r="395" spans="1:17" x14ac:dyDescent="0.3">
      <c r="A395" s="14" t="s">
        <v>804</v>
      </c>
      <c r="B395" s="15">
        <v>44445</v>
      </c>
      <c r="C395" s="16" t="s">
        <v>805</v>
      </c>
      <c r="D395" s="17" t="s">
        <v>132</v>
      </c>
      <c r="E395" s="16">
        <v>1</v>
      </c>
      <c r="F395" s="9" t="str">
        <f>VLOOKUP(C395,[1]customers!$A$1:$I$1001, 2, FALSE)</f>
        <v>Anson Iddison</v>
      </c>
      <c r="G395" s="16" t="str">
        <f>VLOOKUP(orders!C395,[1]customers!$A$1:$I$1001, 3, FALSE)</f>
        <v>aiddisonaw@usa.gov</v>
      </c>
      <c r="H395" s="16" t="str">
        <f>VLOOKUP(C395, [1]customers!$A$1:$I$1001, 7, FALSE)</f>
        <v>United States</v>
      </c>
      <c r="I395" s="18" t="str">
        <f>VLOOKUP(orders!D395,[1]products!$A$1:$G$49, 2,FALSE)</f>
        <v>Ara</v>
      </c>
      <c r="J395" s="18" t="str">
        <f>VLOOKUP(orders!D395,[1]products!$A$1:$G$49, 3,FALSE)</f>
        <v>L</v>
      </c>
      <c r="K395" s="19">
        <f>VLOOKUP(orders!D395,[1]products!$A$1:$G$49, 4,FALSE)</f>
        <v>0.2</v>
      </c>
      <c r="L395" s="19">
        <f>VLOOKUP(orders!D395,[1]products!$A$1:$G$49, 5,FALSE)</f>
        <v>3.8849999999999998</v>
      </c>
      <c r="M395" s="13">
        <f>PRODUCT(orders!$E395,orders!$L395)</f>
        <v>3.8849999999999998</v>
      </c>
      <c r="N395" s="18" t="str">
        <f t="shared" si="12"/>
        <v>September</v>
      </c>
      <c r="O395" s="18">
        <f t="shared" si="13"/>
        <v>2021</v>
      </c>
      <c r="P395" s="11" t="str">
        <f>TEXT(orders!$B395, "DDD")</f>
        <v>Mon</v>
      </c>
      <c r="Q395" s="11" t="str">
        <f>VLOOKUP(orders!C395,[1]customers!$A$1:$I$1001, 6,FALSE)</f>
        <v>Santa Ana</v>
      </c>
    </row>
    <row r="396" spans="1:17" x14ac:dyDescent="0.3">
      <c r="A396" s="7" t="s">
        <v>806</v>
      </c>
      <c r="B396" s="8">
        <v>44083</v>
      </c>
      <c r="C396" s="9" t="s">
        <v>807</v>
      </c>
      <c r="D396" s="10" t="s">
        <v>27</v>
      </c>
      <c r="E396" s="9">
        <v>4</v>
      </c>
      <c r="F396" s="9" t="str">
        <f>VLOOKUP(C396,[1]customers!$A$1:$I$1001, 2, FALSE)</f>
        <v>Randal Longfield</v>
      </c>
      <c r="G396" s="9" t="str">
        <f>VLOOKUP(orders!C396,[1]customers!$A$1:$I$1001, 3, FALSE)</f>
        <v>rlongfielday@bluehost.com</v>
      </c>
      <c r="H396" s="9" t="str">
        <f>VLOOKUP(C396, [1]customers!$A$1:$I$1001, 7, FALSE)</f>
        <v>United States</v>
      </c>
      <c r="I396" s="11" t="str">
        <f>VLOOKUP(orders!D396,[1]products!$A$1:$G$49, 2,FALSE)</f>
        <v>Rob</v>
      </c>
      <c r="J396" s="11" t="str">
        <f>VLOOKUP(orders!D396,[1]products!$A$1:$G$49, 3,FALSE)</f>
        <v>L</v>
      </c>
      <c r="K396" s="12">
        <f>VLOOKUP(orders!D396,[1]products!$A$1:$G$49, 4,FALSE)</f>
        <v>2.5</v>
      </c>
      <c r="L396" s="12">
        <f>VLOOKUP(orders!D396,[1]products!$A$1:$G$49, 5,FALSE)</f>
        <v>27.484999999999996</v>
      </c>
      <c r="M396" s="13">
        <f>PRODUCT(orders!$E396,orders!$L396)</f>
        <v>109.93999999999998</v>
      </c>
      <c r="N396" s="11" t="str">
        <f t="shared" si="12"/>
        <v>September</v>
      </c>
      <c r="O396" s="11">
        <f t="shared" si="13"/>
        <v>2020</v>
      </c>
      <c r="P396" s="11" t="str">
        <f>TEXT(orders!$B396, "DDD")</f>
        <v>Wed</v>
      </c>
      <c r="Q396" s="11" t="str">
        <f>VLOOKUP(orders!C396,[1]customers!$A$1:$I$1001, 6,FALSE)</f>
        <v>Minneapolis</v>
      </c>
    </row>
    <row r="397" spans="1:17" x14ac:dyDescent="0.3">
      <c r="A397" s="14" t="s">
        <v>808</v>
      </c>
      <c r="B397" s="15">
        <v>44465</v>
      </c>
      <c r="C397" s="16" t="s">
        <v>809</v>
      </c>
      <c r="D397" s="17" t="s">
        <v>140</v>
      </c>
      <c r="E397" s="16">
        <v>6</v>
      </c>
      <c r="F397" s="9" t="str">
        <f>VLOOKUP(C397,[1]customers!$A$1:$I$1001, 2, FALSE)</f>
        <v>Gregorius Kislingbury</v>
      </c>
      <c r="G397" s="16" t="str">
        <f>VLOOKUP(orders!C397,[1]customers!$A$1:$I$1001, 3, FALSE)</f>
        <v>gkislingburyaz@samsung.com</v>
      </c>
      <c r="H397" s="16" t="str">
        <f>VLOOKUP(C397, [1]customers!$A$1:$I$1001, 7, FALSE)</f>
        <v>United States</v>
      </c>
      <c r="I397" s="18" t="str">
        <f>VLOOKUP(orders!D397,[1]products!$A$1:$G$49, 2,FALSE)</f>
        <v>Lib</v>
      </c>
      <c r="J397" s="18" t="str">
        <f>VLOOKUP(orders!D397,[1]products!$A$1:$G$49, 3,FALSE)</f>
        <v>D</v>
      </c>
      <c r="K397" s="19">
        <f>VLOOKUP(orders!D397,[1]products!$A$1:$G$49, 4,FALSE)</f>
        <v>0.5</v>
      </c>
      <c r="L397" s="19">
        <f>VLOOKUP(orders!D397,[1]products!$A$1:$G$49, 5,FALSE)</f>
        <v>7.77</v>
      </c>
      <c r="M397" s="13">
        <f>PRODUCT(orders!$E397,orders!$L397)</f>
        <v>46.62</v>
      </c>
      <c r="N397" s="18" t="str">
        <f t="shared" si="12"/>
        <v>September</v>
      </c>
      <c r="O397" s="18">
        <f t="shared" si="13"/>
        <v>2021</v>
      </c>
      <c r="P397" s="11" t="str">
        <f>TEXT(orders!$B397, "DDD")</f>
        <v>Sun</v>
      </c>
      <c r="Q397" s="11" t="str">
        <f>VLOOKUP(orders!C397,[1]customers!$A$1:$I$1001, 6,FALSE)</f>
        <v>Washington</v>
      </c>
    </row>
    <row r="398" spans="1:17" x14ac:dyDescent="0.3">
      <c r="A398" s="7" t="s">
        <v>810</v>
      </c>
      <c r="B398" s="8">
        <v>44140</v>
      </c>
      <c r="C398" s="9" t="s">
        <v>811</v>
      </c>
      <c r="D398" s="10" t="s">
        <v>209</v>
      </c>
      <c r="E398" s="9">
        <v>5</v>
      </c>
      <c r="F398" s="9" t="str">
        <f>VLOOKUP(C398,[1]customers!$A$1:$I$1001, 2, FALSE)</f>
        <v>Xenos Gibbons</v>
      </c>
      <c r="G398" s="9" t="str">
        <f>VLOOKUP(orders!C398,[1]customers!$A$1:$I$1001, 3, FALSE)</f>
        <v>xgibbonsb0@artisteer.com</v>
      </c>
      <c r="H398" s="9" t="str">
        <f>VLOOKUP(C398, [1]customers!$A$1:$I$1001, 7, FALSE)</f>
        <v>United States</v>
      </c>
      <c r="I398" s="11" t="str">
        <f>VLOOKUP(orders!D398,[1]products!$A$1:$G$49, 2,FALSE)</f>
        <v>Ara</v>
      </c>
      <c r="J398" s="11" t="str">
        <f>VLOOKUP(orders!D398,[1]products!$A$1:$G$49, 3,FALSE)</f>
        <v>L</v>
      </c>
      <c r="K398" s="12">
        <f>VLOOKUP(orders!D398,[1]products!$A$1:$G$49, 4,FALSE)</f>
        <v>0.5</v>
      </c>
      <c r="L398" s="12">
        <f>VLOOKUP(orders!D398,[1]products!$A$1:$G$49, 5,FALSE)</f>
        <v>7.77</v>
      </c>
      <c r="M398" s="13">
        <f>PRODUCT(orders!$E398,orders!$L398)</f>
        <v>38.849999999999994</v>
      </c>
      <c r="N398" s="11" t="str">
        <f t="shared" si="12"/>
        <v>November</v>
      </c>
      <c r="O398" s="11">
        <f t="shared" si="13"/>
        <v>2020</v>
      </c>
      <c r="P398" s="11" t="str">
        <f>TEXT(orders!$B398, "DDD")</f>
        <v>Thu</v>
      </c>
      <c r="Q398" s="11" t="str">
        <f>VLOOKUP(orders!C398,[1]customers!$A$1:$I$1001, 6,FALSE)</f>
        <v>San Bernardino</v>
      </c>
    </row>
    <row r="399" spans="1:17" x14ac:dyDescent="0.3">
      <c r="A399" s="14" t="s">
        <v>812</v>
      </c>
      <c r="B399" s="15">
        <v>43720</v>
      </c>
      <c r="C399" s="16" t="s">
        <v>813</v>
      </c>
      <c r="D399" s="17" t="s">
        <v>140</v>
      </c>
      <c r="E399" s="16">
        <v>4</v>
      </c>
      <c r="F399" s="9" t="str">
        <f>VLOOKUP(C399,[1]customers!$A$1:$I$1001, 2, FALSE)</f>
        <v>Fleur Parres</v>
      </c>
      <c r="G399" s="16" t="str">
        <f>VLOOKUP(orders!C399,[1]customers!$A$1:$I$1001, 3, FALSE)</f>
        <v>fparresb1@imageshack.us</v>
      </c>
      <c r="H399" s="16" t="str">
        <f>VLOOKUP(C399, [1]customers!$A$1:$I$1001, 7, FALSE)</f>
        <v>United States</v>
      </c>
      <c r="I399" s="18" t="str">
        <f>VLOOKUP(orders!D399,[1]products!$A$1:$G$49, 2,FALSE)</f>
        <v>Lib</v>
      </c>
      <c r="J399" s="18" t="str">
        <f>VLOOKUP(orders!D399,[1]products!$A$1:$G$49, 3,FALSE)</f>
        <v>D</v>
      </c>
      <c r="K399" s="19">
        <f>VLOOKUP(orders!D399,[1]products!$A$1:$G$49, 4,FALSE)</f>
        <v>0.5</v>
      </c>
      <c r="L399" s="19">
        <f>VLOOKUP(orders!D399,[1]products!$A$1:$G$49, 5,FALSE)</f>
        <v>7.77</v>
      </c>
      <c r="M399" s="13">
        <f>PRODUCT(orders!$E399,orders!$L399)</f>
        <v>31.08</v>
      </c>
      <c r="N399" s="18" t="str">
        <f t="shared" si="12"/>
        <v>September</v>
      </c>
      <c r="O399" s="18">
        <f t="shared" si="13"/>
        <v>2019</v>
      </c>
      <c r="P399" s="11" t="str">
        <f>TEXT(orders!$B399, "DDD")</f>
        <v>Thu</v>
      </c>
      <c r="Q399" s="11" t="str">
        <f>VLOOKUP(orders!C399,[1]customers!$A$1:$I$1001, 6,FALSE)</f>
        <v>Rochester</v>
      </c>
    </row>
    <row r="400" spans="1:17" x14ac:dyDescent="0.3">
      <c r="A400" s="7" t="s">
        <v>814</v>
      </c>
      <c r="B400" s="8">
        <v>43677</v>
      </c>
      <c r="C400" s="9" t="s">
        <v>815</v>
      </c>
      <c r="D400" s="10" t="s">
        <v>71</v>
      </c>
      <c r="E400" s="9">
        <v>6</v>
      </c>
      <c r="F400" s="9" t="str">
        <f>VLOOKUP(C400,[1]customers!$A$1:$I$1001, 2, FALSE)</f>
        <v>Gran Sibray</v>
      </c>
      <c r="G400" s="9" t="str">
        <f>VLOOKUP(orders!C400,[1]customers!$A$1:$I$1001, 3, FALSE)</f>
        <v>gsibrayb2@wsj.com</v>
      </c>
      <c r="H400" s="9" t="str">
        <f>VLOOKUP(C400, [1]customers!$A$1:$I$1001, 7, FALSE)</f>
        <v>United States</v>
      </c>
      <c r="I400" s="11" t="str">
        <f>VLOOKUP(orders!D400,[1]products!$A$1:$G$49, 2,FALSE)</f>
        <v>Ara</v>
      </c>
      <c r="J400" s="11" t="str">
        <f>VLOOKUP(orders!D400,[1]products!$A$1:$G$49, 3,FALSE)</f>
        <v>D</v>
      </c>
      <c r="K400" s="12">
        <f>VLOOKUP(orders!D400,[1]products!$A$1:$G$49, 4,FALSE)</f>
        <v>0.2</v>
      </c>
      <c r="L400" s="12">
        <f>VLOOKUP(orders!D400,[1]products!$A$1:$G$49, 5,FALSE)</f>
        <v>2.9849999999999999</v>
      </c>
      <c r="M400" s="13">
        <f>PRODUCT(orders!$E400,orders!$L400)</f>
        <v>17.91</v>
      </c>
      <c r="N400" s="11" t="str">
        <f t="shared" si="12"/>
        <v>July</v>
      </c>
      <c r="O400" s="11">
        <f t="shared" si="13"/>
        <v>2019</v>
      </c>
      <c r="P400" s="11" t="str">
        <f>TEXT(orders!$B400, "DDD")</f>
        <v>Wed</v>
      </c>
      <c r="Q400" s="11" t="str">
        <f>VLOOKUP(orders!C400,[1]customers!$A$1:$I$1001, 6,FALSE)</f>
        <v>Vancouver</v>
      </c>
    </row>
    <row r="401" spans="1:17" x14ac:dyDescent="0.3">
      <c r="A401" s="14" t="s">
        <v>816</v>
      </c>
      <c r="B401" s="15">
        <v>43539</v>
      </c>
      <c r="C401" s="16" t="s">
        <v>817</v>
      </c>
      <c r="D401" s="17" t="s">
        <v>547</v>
      </c>
      <c r="E401" s="16">
        <v>6</v>
      </c>
      <c r="F401" s="9" t="str">
        <f>VLOOKUP(C401,[1]customers!$A$1:$I$1001, 2, FALSE)</f>
        <v>Ingelbert Hotchkin</v>
      </c>
      <c r="G401" s="16" t="str">
        <f>VLOOKUP(orders!C401,[1]customers!$A$1:$I$1001, 3, FALSE)</f>
        <v>ihotchkinb3@mit.edu</v>
      </c>
      <c r="H401" s="16" t="str">
        <f>VLOOKUP(C401, [1]customers!$A$1:$I$1001, 7, FALSE)</f>
        <v>United Kingdom</v>
      </c>
      <c r="I401" s="18" t="str">
        <f>VLOOKUP(orders!D401,[1]products!$A$1:$G$49, 2,FALSE)</f>
        <v>Exc</v>
      </c>
      <c r="J401" s="18" t="str">
        <f>VLOOKUP(orders!D401,[1]products!$A$1:$G$49, 3,FALSE)</f>
        <v>D</v>
      </c>
      <c r="K401" s="19">
        <f>VLOOKUP(orders!D401,[1]products!$A$1:$G$49, 4,FALSE)</f>
        <v>2.5</v>
      </c>
      <c r="L401" s="19">
        <f>VLOOKUP(orders!D401,[1]products!$A$1:$G$49, 5,FALSE)</f>
        <v>27.945</v>
      </c>
      <c r="M401" s="13">
        <f>PRODUCT(orders!$E401,orders!$L401)</f>
        <v>167.67000000000002</v>
      </c>
      <c r="N401" s="18" t="str">
        <f t="shared" si="12"/>
        <v>March</v>
      </c>
      <c r="O401" s="18">
        <f t="shared" si="13"/>
        <v>2019</v>
      </c>
      <c r="P401" s="11" t="str">
        <f>TEXT(orders!$B401, "DDD")</f>
        <v>Fri</v>
      </c>
      <c r="Q401" s="11" t="str">
        <f>VLOOKUP(orders!C401,[1]customers!$A$1:$I$1001, 6,FALSE)</f>
        <v>Preston</v>
      </c>
    </row>
    <row r="402" spans="1:17" x14ac:dyDescent="0.3">
      <c r="A402" s="7" t="s">
        <v>818</v>
      </c>
      <c r="B402" s="8">
        <v>44332</v>
      </c>
      <c r="C402" s="9" t="s">
        <v>819</v>
      </c>
      <c r="D402" s="10" t="s">
        <v>149</v>
      </c>
      <c r="E402" s="9">
        <v>4</v>
      </c>
      <c r="F402" s="9" t="str">
        <f>VLOOKUP(C402,[1]customers!$A$1:$I$1001, 2, FALSE)</f>
        <v>Neely Broadberrie</v>
      </c>
      <c r="G402" s="9" t="str">
        <f>VLOOKUP(orders!C402,[1]customers!$A$1:$I$1001, 3, FALSE)</f>
        <v>nbroadberrieb4@gnu.org</v>
      </c>
      <c r="H402" s="9" t="str">
        <f>VLOOKUP(C402, [1]customers!$A$1:$I$1001, 7, FALSE)</f>
        <v>United States</v>
      </c>
      <c r="I402" s="11" t="str">
        <f>VLOOKUP(orders!D402,[1]products!$A$1:$G$49, 2,FALSE)</f>
        <v>Lib</v>
      </c>
      <c r="J402" s="11" t="str">
        <f>VLOOKUP(orders!D402,[1]products!$A$1:$G$49, 3,FALSE)</f>
        <v>L</v>
      </c>
      <c r="K402" s="12">
        <f>VLOOKUP(orders!D402,[1]products!$A$1:$G$49, 4,FALSE)</f>
        <v>1</v>
      </c>
      <c r="L402" s="12">
        <f>VLOOKUP(orders!D402,[1]products!$A$1:$G$49, 5,FALSE)</f>
        <v>15.85</v>
      </c>
      <c r="M402" s="13">
        <f>PRODUCT(orders!$E402,orders!$L402)</f>
        <v>63.4</v>
      </c>
      <c r="N402" s="11" t="str">
        <f t="shared" si="12"/>
        <v>May</v>
      </c>
      <c r="O402" s="11">
        <f t="shared" si="13"/>
        <v>2021</v>
      </c>
      <c r="P402" s="11" t="str">
        <f>TEXT(orders!$B402, "DDD")</f>
        <v>Sun</v>
      </c>
      <c r="Q402" s="11" t="str">
        <f>VLOOKUP(orders!C402,[1]customers!$A$1:$I$1001, 6,FALSE)</f>
        <v>Washington</v>
      </c>
    </row>
    <row r="403" spans="1:17" x14ac:dyDescent="0.3">
      <c r="A403" s="14" t="s">
        <v>820</v>
      </c>
      <c r="B403" s="15">
        <v>43591</v>
      </c>
      <c r="C403" s="16" t="s">
        <v>821</v>
      </c>
      <c r="D403" s="17" t="s">
        <v>94</v>
      </c>
      <c r="E403" s="16">
        <v>2</v>
      </c>
      <c r="F403" s="9" t="str">
        <f>VLOOKUP(C403,[1]customers!$A$1:$I$1001, 2, FALSE)</f>
        <v>Rutger Pithcock</v>
      </c>
      <c r="G403" s="16" t="str">
        <f>VLOOKUP(orders!C403,[1]customers!$A$1:$I$1001, 3, FALSE)</f>
        <v>rpithcockb5@yellowbook.com</v>
      </c>
      <c r="H403" s="16" t="str">
        <f>VLOOKUP(C403, [1]customers!$A$1:$I$1001, 7, FALSE)</f>
        <v>United States</v>
      </c>
      <c r="I403" s="18" t="str">
        <f>VLOOKUP(orders!D403,[1]products!$A$1:$G$49, 2,FALSE)</f>
        <v>Lib</v>
      </c>
      <c r="J403" s="18" t="str">
        <f>VLOOKUP(orders!D403,[1]products!$A$1:$G$49, 3,FALSE)</f>
        <v>M</v>
      </c>
      <c r="K403" s="19">
        <f>VLOOKUP(orders!D403,[1]products!$A$1:$G$49, 4,FALSE)</f>
        <v>0.2</v>
      </c>
      <c r="L403" s="19">
        <f>VLOOKUP(orders!D403,[1]products!$A$1:$G$49, 5,FALSE)</f>
        <v>4.3650000000000002</v>
      </c>
      <c r="M403" s="13">
        <f>PRODUCT(orders!$E403,orders!$L403)</f>
        <v>8.73</v>
      </c>
      <c r="N403" s="18" t="str">
        <f t="shared" si="12"/>
        <v>May</v>
      </c>
      <c r="O403" s="18">
        <f t="shared" si="13"/>
        <v>2019</v>
      </c>
      <c r="P403" s="11" t="str">
        <f>TEXT(orders!$B403, "DDD")</f>
        <v>Mon</v>
      </c>
      <c r="Q403" s="11" t="str">
        <f>VLOOKUP(orders!C403,[1]customers!$A$1:$I$1001, 6,FALSE)</f>
        <v>Knoxville</v>
      </c>
    </row>
    <row r="404" spans="1:17" x14ac:dyDescent="0.3">
      <c r="A404" s="7" t="s">
        <v>822</v>
      </c>
      <c r="B404" s="8">
        <v>43502</v>
      </c>
      <c r="C404" s="9" t="s">
        <v>823</v>
      </c>
      <c r="D404" s="10" t="s">
        <v>196</v>
      </c>
      <c r="E404" s="9">
        <v>3</v>
      </c>
      <c r="F404" s="9" t="str">
        <f>VLOOKUP(C404,[1]customers!$A$1:$I$1001, 2, FALSE)</f>
        <v>Gale Croysdale</v>
      </c>
      <c r="G404" s="9" t="str">
        <f>VLOOKUP(orders!C404,[1]customers!$A$1:$I$1001, 3, FALSE)</f>
        <v>gcroysdaleb6@nih.gov</v>
      </c>
      <c r="H404" s="9" t="str">
        <f>VLOOKUP(C404, [1]customers!$A$1:$I$1001, 7, FALSE)</f>
        <v>United States</v>
      </c>
      <c r="I404" s="11" t="str">
        <f>VLOOKUP(orders!D404,[1]products!$A$1:$G$49, 2,FALSE)</f>
        <v>Rob</v>
      </c>
      <c r="J404" s="11" t="str">
        <f>VLOOKUP(orders!D404,[1]products!$A$1:$G$49, 3,FALSE)</f>
        <v>D</v>
      </c>
      <c r="K404" s="12">
        <f>VLOOKUP(orders!D404,[1]products!$A$1:$G$49, 4,FALSE)</f>
        <v>1</v>
      </c>
      <c r="L404" s="12">
        <f>VLOOKUP(orders!D404,[1]products!$A$1:$G$49, 5,FALSE)</f>
        <v>8.9499999999999993</v>
      </c>
      <c r="M404" s="13">
        <f>PRODUCT(orders!$E404,orders!$L404)</f>
        <v>26.849999999999998</v>
      </c>
      <c r="N404" s="11" t="str">
        <f t="shared" si="12"/>
        <v>February</v>
      </c>
      <c r="O404" s="11">
        <f t="shared" si="13"/>
        <v>2019</v>
      </c>
      <c r="P404" s="11" t="str">
        <f>TEXT(orders!$B404, "DDD")</f>
        <v>Wed</v>
      </c>
      <c r="Q404" s="11" t="str">
        <f>VLOOKUP(orders!C404,[1]customers!$A$1:$I$1001, 6,FALSE)</f>
        <v>Charleston</v>
      </c>
    </row>
    <row r="405" spans="1:17" x14ac:dyDescent="0.3">
      <c r="A405" s="14" t="s">
        <v>824</v>
      </c>
      <c r="B405" s="15">
        <v>44295</v>
      </c>
      <c r="C405" s="16" t="s">
        <v>825</v>
      </c>
      <c r="D405" s="17" t="s">
        <v>36</v>
      </c>
      <c r="E405" s="16">
        <v>2</v>
      </c>
      <c r="F405" s="9" t="str">
        <f>VLOOKUP(C405,[1]customers!$A$1:$I$1001, 2, FALSE)</f>
        <v>Benedetto Gozzett</v>
      </c>
      <c r="G405" s="16" t="str">
        <f>VLOOKUP(orders!C405,[1]customers!$A$1:$I$1001, 3, FALSE)</f>
        <v>bgozzettb7@github.com</v>
      </c>
      <c r="H405" s="16" t="str">
        <f>VLOOKUP(C405, [1]customers!$A$1:$I$1001, 7, FALSE)</f>
        <v>United States</v>
      </c>
      <c r="I405" s="18" t="str">
        <f>VLOOKUP(orders!D405,[1]products!$A$1:$G$49, 2,FALSE)</f>
        <v>Lib</v>
      </c>
      <c r="J405" s="18" t="str">
        <f>VLOOKUP(orders!D405,[1]products!$A$1:$G$49, 3,FALSE)</f>
        <v>L</v>
      </c>
      <c r="K405" s="19">
        <f>VLOOKUP(orders!D405,[1]products!$A$1:$G$49, 4,FALSE)</f>
        <v>0.2</v>
      </c>
      <c r="L405" s="19">
        <f>VLOOKUP(orders!D405,[1]products!$A$1:$G$49, 5,FALSE)</f>
        <v>4.7549999999999999</v>
      </c>
      <c r="M405" s="13">
        <f>PRODUCT(orders!$E405,orders!$L405)</f>
        <v>9.51</v>
      </c>
      <c r="N405" s="18" t="str">
        <f t="shared" si="12"/>
        <v>April</v>
      </c>
      <c r="O405" s="18">
        <f t="shared" si="13"/>
        <v>2021</v>
      </c>
      <c r="P405" s="11" t="str">
        <f>TEXT(orders!$B405, "DDD")</f>
        <v>Fri</v>
      </c>
      <c r="Q405" s="11" t="str">
        <f>VLOOKUP(orders!C405,[1]customers!$A$1:$I$1001, 6,FALSE)</f>
        <v>Dallas</v>
      </c>
    </row>
    <row r="406" spans="1:17" x14ac:dyDescent="0.3">
      <c r="A406" s="7" t="s">
        <v>826</v>
      </c>
      <c r="B406" s="8">
        <v>43971</v>
      </c>
      <c r="C406" s="9" t="s">
        <v>827</v>
      </c>
      <c r="D406" s="10" t="s">
        <v>44</v>
      </c>
      <c r="E406" s="9">
        <v>4</v>
      </c>
      <c r="F406" s="9" t="str">
        <f>VLOOKUP(C406,[1]customers!$A$1:$I$1001, 2, FALSE)</f>
        <v>Tania Craggs</v>
      </c>
      <c r="G406" s="9" t="str">
        <f>VLOOKUP(orders!C406,[1]customers!$A$1:$I$1001, 3, FALSE)</f>
        <v>tcraggsb8@house.gov</v>
      </c>
      <c r="H406" s="9" t="str">
        <f>VLOOKUP(C406, [1]customers!$A$1:$I$1001, 7, FALSE)</f>
        <v>Ireland</v>
      </c>
      <c r="I406" s="11" t="str">
        <f>VLOOKUP(orders!D406,[1]products!$A$1:$G$49, 2,FALSE)</f>
        <v>Ara</v>
      </c>
      <c r="J406" s="11" t="str">
        <f>VLOOKUP(orders!D406,[1]products!$A$1:$G$49, 3,FALSE)</f>
        <v>D</v>
      </c>
      <c r="K406" s="12">
        <f>VLOOKUP(orders!D406,[1]products!$A$1:$G$49, 4,FALSE)</f>
        <v>1</v>
      </c>
      <c r="L406" s="12">
        <f>VLOOKUP(orders!D406,[1]products!$A$1:$G$49, 5,FALSE)</f>
        <v>9.9499999999999993</v>
      </c>
      <c r="M406" s="13">
        <f>PRODUCT(orders!$E406,orders!$L406)</f>
        <v>39.799999999999997</v>
      </c>
      <c r="N406" s="11" t="str">
        <f t="shared" si="12"/>
        <v>May</v>
      </c>
      <c r="O406" s="11">
        <f t="shared" si="13"/>
        <v>2020</v>
      </c>
      <c r="P406" s="11" t="str">
        <f>TEXT(orders!$B406, "DDD")</f>
        <v>Wed</v>
      </c>
      <c r="Q406" s="11" t="str">
        <f>VLOOKUP(orders!C406,[1]customers!$A$1:$I$1001, 6,FALSE)</f>
        <v>Whitegate</v>
      </c>
    </row>
    <row r="407" spans="1:17" x14ac:dyDescent="0.3">
      <c r="A407" s="14" t="s">
        <v>828</v>
      </c>
      <c r="B407" s="15">
        <v>44167</v>
      </c>
      <c r="C407" s="16" t="s">
        <v>829</v>
      </c>
      <c r="D407" s="17" t="s">
        <v>20</v>
      </c>
      <c r="E407" s="16">
        <v>3</v>
      </c>
      <c r="F407" s="9" t="str">
        <f>VLOOKUP(C407,[1]customers!$A$1:$I$1001, 2, FALSE)</f>
        <v>Leonie Cullrford</v>
      </c>
      <c r="G407" s="16" t="str">
        <f>VLOOKUP(orders!C407,[1]customers!$A$1:$I$1001, 3, FALSE)</f>
        <v>lcullrfordb9@xing.com</v>
      </c>
      <c r="H407" s="16" t="str">
        <f>VLOOKUP(C407, [1]customers!$A$1:$I$1001, 7, FALSE)</f>
        <v>United States</v>
      </c>
      <c r="I407" s="18" t="str">
        <f>VLOOKUP(orders!D407,[1]products!$A$1:$G$49, 2,FALSE)</f>
        <v>Exc</v>
      </c>
      <c r="J407" s="18" t="str">
        <f>VLOOKUP(orders!D407,[1]products!$A$1:$G$49, 3,FALSE)</f>
        <v>M</v>
      </c>
      <c r="K407" s="19">
        <f>VLOOKUP(orders!D407,[1]products!$A$1:$G$49, 4,FALSE)</f>
        <v>0.5</v>
      </c>
      <c r="L407" s="19">
        <f>VLOOKUP(orders!D407,[1]products!$A$1:$G$49, 5,FALSE)</f>
        <v>8.25</v>
      </c>
      <c r="M407" s="13">
        <f>PRODUCT(orders!$E407,orders!$L407)</f>
        <v>24.75</v>
      </c>
      <c r="N407" s="18" t="str">
        <f t="shared" si="12"/>
        <v>December</v>
      </c>
      <c r="O407" s="18">
        <f t="shared" si="13"/>
        <v>2020</v>
      </c>
      <c r="P407" s="11" t="str">
        <f>TEXT(orders!$B407, "DDD")</f>
        <v>Wed</v>
      </c>
      <c r="Q407" s="11" t="str">
        <f>VLOOKUP(orders!C407,[1]customers!$A$1:$I$1001, 6,FALSE)</f>
        <v>Chico</v>
      </c>
    </row>
    <row r="408" spans="1:17" x14ac:dyDescent="0.3">
      <c r="A408" s="7" t="s">
        <v>830</v>
      </c>
      <c r="B408" s="8">
        <v>44416</v>
      </c>
      <c r="C408" s="9" t="s">
        <v>831</v>
      </c>
      <c r="D408" s="10" t="s">
        <v>26</v>
      </c>
      <c r="E408" s="9">
        <v>5</v>
      </c>
      <c r="F408" s="9" t="str">
        <f>VLOOKUP(C408,[1]customers!$A$1:$I$1001, 2, FALSE)</f>
        <v>Auguste Rizon</v>
      </c>
      <c r="G408" s="9" t="str">
        <f>VLOOKUP(orders!C408,[1]customers!$A$1:$I$1001, 3, FALSE)</f>
        <v>arizonba@xing.com</v>
      </c>
      <c r="H408" s="9" t="str">
        <f>VLOOKUP(C408, [1]customers!$A$1:$I$1001, 7, FALSE)</f>
        <v>United States</v>
      </c>
      <c r="I408" s="11" t="str">
        <f>VLOOKUP(orders!D408,[1]products!$A$1:$G$49, 2,FALSE)</f>
        <v>Exc</v>
      </c>
      <c r="J408" s="11" t="str">
        <f>VLOOKUP(orders!D408,[1]products!$A$1:$G$49, 3,FALSE)</f>
        <v>M</v>
      </c>
      <c r="K408" s="12">
        <f>VLOOKUP(orders!D408,[1]products!$A$1:$G$49, 4,FALSE)</f>
        <v>1</v>
      </c>
      <c r="L408" s="12">
        <f>VLOOKUP(orders!D408,[1]products!$A$1:$G$49, 5,FALSE)</f>
        <v>13.75</v>
      </c>
      <c r="M408" s="13">
        <f>PRODUCT(orders!$E408,orders!$L408)</f>
        <v>68.75</v>
      </c>
      <c r="N408" s="11" t="str">
        <f t="shared" si="12"/>
        <v>August</v>
      </c>
      <c r="O408" s="11">
        <f t="shared" si="13"/>
        <v>2021</v>
      </c>
      <c r="P408" s="11" t="str">
        <f>TEXT(orders!$B408, "DDD")</f>
        <v>Sun</v>
      </c>
      <c r="Q408" s="11" t="str">
        <f>VLOOKUP(orders!C408,[1]customers!$A$1:$I$1001, 6,FALSE)</f>
        <v>Little Rock</v>
      </c>
    </row>
    <row r="409" spans="1:17" x14ac:dyDescent="0.3">
      <c r="A409" s="14" t="s">
        <v>832</v>
      </c>
      <c r="B409" s="15">
        <v>44595</v>
      </c>
      <c r="C409" s="16" t="s">
        <v>833</v>
      </c>
      <c r="D409" s="17" t="s">
        <v>20</v>
      </c>
      <c r="E409" s="16">
        <v>6</v>
      </c>
      <c r="F409" s="9" t="str">
        <f>VLOOKUP(C409,[1]customers!$A$1:$I$1001, 2, FALSE)</f>
        <v>Lorin Guerrazzi</v>
      </c>
      <c r="G409" s="16">
        <f>VLOOKUP(orders!C409,[1]customers!$A$1:$I$1001, 3, FALSE)</f>
        <v>0</v>
      </c>
      <c r="H409" s="16" t="str">
        <f>VLOOKUP(C409, [1]customers!$A$1:$I$1001, 7, FALSE)</f>
        <v>Ireland</v>
      </c>
      <c r="I409" s="18" t="str">
        <f>VLOOKUP(orders!D409,[1]products!$A$1:$G$49, 2,FALSE)</f>
        <v>Exc</v>
      </c>
      <c r="J409" s="18" t="str">
        <f>VLOOKUP(orders!D409,[1]products!$A$1:$G$49, 3,FALSE)</f>
        <v>M</v>
      </c>
      <c r="K409" s="19">
        <f>VLOOKUP(orders!D409,[1]products!$A$1:$G$49, 4,FALSE)</f>
        <v>0.5</v>
      </c>
      <c r="L409" s="19">
        <f>VLOOKUP(orders!D409,[1]products!$A$1:$G$49, 5,FALSE)</f>
        <v>8.25</v>
      </c>
      <c r="M409" s="13">
        <f>PRODUCT(orders!$E409,orders!$L409)</f>
        <v>49.5</v>
      </c>
      <c r="N409" s="18" t="str">
        <f t="shared" si="12"/>
        <v>February</v>
      </c>
      <c r="O409" s="18">
        <f t="shared" si="13"/>
        <v>2022</v>
      </c>
      <c r="P409" s="11" t="str">
        <f>TEXT(orders!$B409, "DDD")</f>
        <v>Thu</v>
      </c>
      <c r="Q409" s="11" t="str">
        <f>VLOOKUP(orders!C409,[1]customers!$A$1:$I$1001, 6,FALSE)</f>
        <v>Balrothery</v>
      </c>
    </row>
    <row r="410" spans="1:17" x14ac:dyDescent="0.3">
      <c r="A410" s="7" t="s">
        <v>834</v>
      </c>
      <c r="B410" s="8">
        <v>44659</v>
      </c>
      <c r="C410" s="9" t="s">
        <v>835</v>
      </c>
      <c r="D410" s="10" t="s">
        <v>188</v>
      </c>
      <c r="E410" s="9">
        <v>2</v>
      </c>
      <c r="F410" s="9" t="str">
        <f>VLOOKUP(C410,[1]customers!$A$1:$I$1001, 2, FALSE)</f>
        <v>Felice Miell</v>
      </c>
      <c r="G410" s="9" t="str">
        <f>VLOOKUP(orders!C410,[1]customers!$A$1:$I$1001, 3, FALSE)</f>
        <v>fmiellbc@spiegel.de</v>
      </c>
      <c r="H410" s="9" t="str">
        <f>VLOOKUP(C410, [1]customers!$A$1:$I$1001, 7, FALSE)</f>
        <v>United States</v>
      </c>
      <c r="I410" s="11" t="str">
        <f>VLOOKUP(orders!D410,[1]products!$A$1:$G$49, 2,FALSE)</f>
        <v>Ara</v>
      </c>
      <c r="J410" s="11" t="str">
        <f>VLOOKUP(orders!D410,[1]products!$A$1:$G$49, 3,FALSE)</f>
        <v>M</v>
      </c>
      <c r="K410" s="12">
        <f>VLOOKUP(orders!D410,[1]products!$A$1:$G$49, 4,FALSE)</f>
        <v>2.5</v>
      </c>
      <c r="L410" s="12">
        <f>VLOOKUP(orders!D410,[1]products!$A$1:$G$49, 5,FALSE)</f>
        <v>25.874999999999996</v>
      </c>
      <c r="M410" s="13">
        <f>PRODUCT(orders!$E410,orders!$L410)</f>
        <v>51.749999999999993</v>
      </c>
      <c r="N410" s="11" t="str">
        <f t="shared" si="12"/>
        <v>April</v>
      </c>
      <c r="O410" s="11">
        <f t="shared" si="13"/>
        <v>2022</v>
      </c>
      <c r="P410" s="11" t="str">
        <f>TEXT(orders!$B410, "DDD")</f>
        <v>Fri</v>
      </c>
      <c r="Q410" s="11" t="str">
        <f>VLOOKUP(orders!C410,[1]customers!$A$1:$I$1001, 6,FALSE)</f>
        <v>New Brunswick</v>
      </c>
    </row>
    <row r="411" spans="1:17" x14ac:dyDescent="0.3">
      <c r="A411" s="14" t="s">
        <v>836</v>
      </c>
      <c r="B411" s="15">
        <v>44203</v>
      </c>
      <c r="C411" s="16" t="s">
        <v>837</v>
      </c>
      <c r="D411" s="17" t="s">
        <v>149</v>
      </c>
      <c r="E411" s="16">
        <v>3</v>
      </c>
      <c r="F411" s="9" t="str">
        <f>VLOOKUP(C411,[1]customers!$A$1:$I$1001, 2, FALSE)</f>
        <v>Hamish Skeech</v>
      </c>
      <c r="G411" s="16">
        <f>VLOOKUP(orders!C411,[1]customers!$A$1:$I$1001, 3, FALSE)</f>
        <v>0</v>
      </c>
      <c r="H411" s="16" t="str">
        <f>VLOOKUP(C411, [1]customers!$A$1:$I$1001, 7, FALSE)</f>
        <v>Ireland</v>
      </c>
      <c r="I411" s="18" t="str">
        <f>VLOOKUP(orders!D411,[1]products!$A$1:$G$49, 2,FALSE)</f>
        <v>Lib</v>
      </c>
      <c r="J411" s="18" t="str">
        <f>VLOOKUP(orders!D411,[1]products!$A$1:$G$49, 3,FALSE)</f>
        <v>L</v>
      </c>
      <c r="K411" s="19">
        <f>VLOOKUP(orders!D411,[1]products!$A$1:$G$49, 4,FALSE)</f>
        <v>1</v>
      </c>
      <c r="L411" s="19">
        <f>VLOOKUP(orders!D411,[1]products!$A$1:$G$49, 5,FALSE)</f>
        <v>15.85</v>
      </c>
      <c r="M411" s="13">
        <f>PRODUCT(orders!$E411,orders!$L411)</f>
        <v>47.55</v>
      </c>
      <c r="N411" s="18" t="str">
        <f t="shared" si="12"/>
        <v>January</v>
      </c>
      <c r="O411" s="18">
        <f t="shared" si="13"/>
        <v>2021</v>
      </c>
      <c r="P411" s="11" t="str">
        <f>TEXT(orders!$B411, "DDD")</f>
        <v>Thu</v>
      </c>
      <c r="Q411" s="11" t="str">
        <f>VLOOKUP(orders!C411,[1]customers!$A$1:$I$1001, 6,FALSE)</f>
        <v>Valleymount</v>
      </c>
    </row>
    <row r="412" spans="1:17" x14ac:dyDescent="0.3">
      <c r="A412" s="7" t="s">
        <v>838</v>
      </c>
      <c r="B412" s="8">
        <v>44441</v>
      </c>
      <c r="C412" s="9" t="s">
        <v>839</v>
      </c>
      <c r="D412" s="10" t="s">
        <v>132</v>
      </c>
      <c r="E412" s="9">
        <v>4</v>
      </c>
      <c r="F412" s="9" t="str">
        <f>VLOOKUP(C412,[1]customers!$A$1:$I$1001, 2, FALSE)</f>
        <v>Giordano Lorenzin</v>
      </c>
      <c r="G412" s="9">
        <f>VLOOKUP(orders!C412,[1]customers!$A$1:$I$1001, 3, FALSE)</f>
        <v>0</v>
      </c>
      <c r="H412" s="9" t="str">
        <f>VLOOKUP(C412, [1]customers!$A$1:$I$1001, 7, FALSE)</f>
        <v>United States</v>
      </c>
      <c r="I412" s="11" t="str">
        <f>VLOOKUP(orders!D412,[1]products!$A$1:$G$49, 2,FALSE)</f>
        <v>Ara</v>
      </c>
      <c r="J412" s="11" t="str">
        <f>VLOOKUP(orders!D412,[1]products!$A$1:$G$49, 3,FALSE)</f>
        <v>L</v>
      </c>
      <c r="K412" s="12">
        <f>VLOOKUP(orders!D412,[1]products!$A$1:$G$49, 4,FALSE)</f>
        <v>0.2</v>
      </c>
      <c r="L412" s="12">
        <f>VLOOKUP(orders!D412,[1]products!$A$1:$G$49, 5,FALSE)</f>
        <v>3.8849999999999998</v>
      </c>
      <c r="M412" s="13">
        <f>PRODUCT(orders!$E412,orders!$L412)</f>
        <v>15.54</v>
      </c>
      <c r="N412" s="11" t="str">
        <f t="shared" si="12"/>
        <v>September</v>
      </c>
      <c r="O412" s="11">
        <f t="shared" si="13"/>
        <v>2021</v>
      </c>
      <c r="P412" s="11" t="str">
        <f>TEXT(orders!$B412, "DDD")</f>
        <v>Thu</v>
      </c>
      <c r="Q412" s="11" t="str">
        <f>VLOOKUP(orders!C412,[1]customers!$A$1:$I$1001, 6,FALSE)</f>
        <v>San Francisco</v>
      </c>
    </row>
    <row r="413" spans="1:17" x14ac:dyDescent="0.3">
      <c r="A413" s="14" t="s">
        <v>840</v>
      </c>
      <c r="B413" s="15">
        <v>44504</v>
      </c>
      <c r="C413" s="16" t="s">
        <v>841</v>
      </c>
      <c r="D413" s="17" t="s">
        <v>113</v>
      </c>
      <c r="E413" s="16">
        <v>6</v>
      </c>
      <c r="F413" s="9" t="str">
        <f>VLOOKUP(C413,[1]customers!$A$1:$I$1001, 2, FALSE)</f>
        <v>Harwilll Bishell</v>
      </c>
      <c r="G413" s="16">
        <f>VLOOKUP(orders!C413,[1]customers!$A$1:$I$1001, 3, FALSE)</f>
        <v>0</v>
      </c>
      <c r="H413" s="16" t="str">
        <f>VLOOKUP(C413, [1]customers!$A$1:$I$1001, 7, FALSE)</f>
        <v>United States</v>
      </c>
      <c r="I413" s="18" t="str">
        <f>VLOOKUP(orders!D413,[1]products!$A$1:$G$49, 2,FALSE)</f>
        <v>Lib</v>
      </c>
      <c r="J413" s="18" t="str">
        <f>VLOOKUP(orders!D413,[1]products!$A$1:$G$49, 3,FALSE)</f>
        <v>M</v>
      </c>
      <c r="K413" s="19">
        <f>VLOOKUP(orders!D413,[1]products!$A$1:$G$49, 4,FALSE)</f>
        <v>1</v>
      </c>
      <c r="L413" s="19">
        <f>VLOOKUP(orders!D413,[1]products!$A$1:$G$49, 5,FALSE)</f>
        <v>14.55</v>
      </c>
      <c r="M413" s="13">
        <f>PRODUCT(orders!$E413,orders!$L413)</f>
        <v>87.300000000000011</v>
      </c>
      <c r="N413" s="18" t="str">
        <f t="shared" si="12"/>
        <v>November</v>
      </c>
      <c r="O413" s="18">
        <f t="shared" si="13"/>
        <v>2021</v>
      </c>
      <c r="P413" s="11" t="str">
        <f>TEXT(orders!$B413, "DDD")</f>
        <v>Thu</v>
      </c>
      <c r="Q413" s="11" t="str">
        <f>VLOOKUP(orders!C413,[1]customers!$A$1:$I$1001, 6,FALSE)</f>
        <v>Lafayette</v>
      </c>
    </row>
    <row r="414" spans="1:17" x14ac:dyDescent="0.3">
      <c r="A414" s="7" t="s">
        <v>842</v>
      </c>
      <c r="B414" s="8">
        <v>44410</v>
      </c>
      <c r="C414" s="9" t="s">
        <v>843</v>
      </c>
      <c r="D414" s="10" t="s">
        <v>78</v>
      </c>
      <c r="E414" s="9">
        <v>5</v>
      </c>
      <c r="F414" s="9" t="str">
        <f>VLOOKUP(C414,[1]customers!$A$1:$I$1001, 2, FALSE)</f>
        <v>Freeland Missenden</v>
      </c>
      <c r="G414" s="9">
        <f>VLOOKUP(orders!C414,[1]customers!$A$1:$I$1001, 3, FALSE)</f>
        <v>0</v>
      </c>
      <c r="H414" s="9" t="str">
        <f>VLOOKUP(C414, [1]customers!$A$1:$I$1001, 7, FALSE)</f>
        <v>United States</v>
      </c>
      <c r="I414" s="11" t="str">
        <f>VLOOKUP(orders!D414,[1]products!$A$1:$G$49, 2,FALSE)</f>
        <v>Ara</v>
      </c>
      <c r="J414" s="11" t="str">
        <f>VLOOKUP(orders!D414,[1]products!$A$1:$G$49, 3,FALSE)</f>
        <v>M</v>
      </c>
      <c r="K414" s="12">
        <f>VLOOKUP(orders!D414,[1]products!$A$1:$G$49, 4,FALSE)</f>
        <v>1</v>
      </c>
      <c r="L414" s="12">
        <f>VLOOKUP(orders!D414,[1]products!$A$1:$G$49, 5,FALSE)</f>
        <v>11.25</v>
      </c>
      <c r="M414" s="13">
        <f>PRODUCT(orders!$E414,orders!$L414)</f>
        <v>56.25</v>
      </c>
      <c r="N414" s="11" t="str">
        <f t="shared" si="12"/>
        <v>August</v>
      </c>
      <c r="O414" s="11">
        <f t="shared" si="13"/>
        <v>2021</v>
      </c>
      <c r="P414" s="11" t="str">
        <f>TEXT(orders!$B414, "DDD")</f>
        <v>Mon</v>
      </c>
      <c r="Q414" s="11" t="str">
        <f>VLOOKUP(orders!C414,[1]customers!$A$1:$I$1001, 6,FALSE)</f>
        <v>San Diego</v>
      </c>
    </row>
    <row r="415" spans="1:17" x14ac:dyDescent="0.3">
      <c r="A415" s="14" t="s">
        <v>844</v>
      </c>
      <c r="B415" s="15">
        <v>43857</v>
      </c>
      <c r="C415" s="16" t="s">
        <v>845</v>
      </c>
      <c r="D415" s="17" t="s">
        <v>121</v>
      </c>
      <c r="E415" s="16">
        <v>1</v>
      </c>
      <c r="F415" s="9" t="str">
        <f>VLOOKUP(C415,[1]customers!$A$1:$I$1001, 2, FALSE)</f>
        <v>Waylan Springall</v>
      </c>
      <c r="G415" s="16" t="str">
        <f>VLOOKUP(orders!C415,[1]customers!$A$1:$I$1001, 3, FALSE)</f>
        <v>wspringallbh@jugem.jp</v>
      </c>
      <c r="H415" s="16" t="str">
        <f>VLOOKUP(C415, [1]customers!$A$1:$I$1001, 7, FALSE)</f>
        <v>United States</v>
      </c>
      <c r="I415" s="18" t="str">
        <f>VLOOKUP(orders!D415,[1]products!$A$1:$G$49, 2,FALSE)</f>
        <v>Lib</v>
      </c>
      <c r="J415" s="18" t="str">
        <f>VLOOKUP(orders!D415,[1]products!$A$1:$G$49, 3,FALSE)</f>
        <v>L</v>
      </c>
      <c r="K415" s="19">
        <f>VLOOKUP(orders!D415,[1]products!$A$1:$G$49, 4,FALSE)</f>
        <v>2.5</v>
      </c>
      <c r="L415" s="19">
        <f>VLOOKUP(orders!D415,[1]products!$A$1:$G$49, 5,FALSE)</f>
        <v>36.454999999999998</v>
      </c>
      <c r="M415" s="13">
        <f>PRODUCT(orders!$E415,orders!$L415)</f>
        <v>36.454999999999998</v>
      </c>
      <c r="N415" s="18" t="str">
        <f t="shared" si="12"/>
        <v>January</v>
      </c>
      <c r="O415" s="18">
        <f t="shared" si="13"/>
        <v>2020</v>
      </c>
      <c r="P415" s="11" t="str">
        <f>TEXT(orders!$B415, "DDD")</f>
        <v>Mon</v>
      </c>
      <c r="Q415" s="11" t="str">
        <f>VLOOKUP(orders!C415,[1]customers!$A$1:$I$1001, 6,FALSE)</f>
        <v>Alhambra</v>
      </c>
    </row>
    <row r="416" spans="1:17" x14ac:dyDescent="0.3">
      <c r="A416" s="7" t="s">
        <v>846</v>
      </c>
      <c r="B416" s="8">
        <v>43802</v>
      </c>
      <c r="C416" s="9" t="s">
        <v>847</v>
      </c>
      <c r="D416" s="10" t="s">
        <v>199</v>
      </c>
      <c r="E416" s="9">
        <v>3</v>
      </c>
      <c r="F416" s="9" t="str">
        <f>VLOOKUP(C416,[1]customers!$A$1:$I$1001, 2, FALSE)</f>
        <v>Kiri Avramow</v>
      </c>
      <c r="G416" s="9">
        <f>VLOOKUP(orders!C416,[1]customers!$A$1:$I$1001, 3, FALSE)</f>
        <v>0</v>
      </c>
      <c r="H416" s="9" t="str">
        <f>VLOOKUP(C416, [1]customers!$A$1:$I$1001, 7, FALSE)</f>
        <v>United States</v>
      </c>
      <c r="I416" s="11" t="str">
        <f>VLOOKUP(orders!D416,[1]products!$A$1:$G$49, 2,FALSE)</f>
        <v>Rob</v>
      </c>
      <c r="J416" s="11" t="str">
        <f>VLOOKUP(orders!D416,[1]products!$A$1:$G$49, 3,FALSE)</f>
        <v>L</v>
      </c>
      <c r="K416" s="12">
        <f>VLOOKUP(orders!D416,[1]products!$A$1:$G$49, 4,FALSE)</f>
        <v>0.2</v>
      </c>
      <c r="L416" s="12">
        <f>VLOOKUP(orders!D416,[1]products!$A$1:$G$49, 5,FALSE)</f>
        <v>3.5849999999999995</v>
      </c>
      <c r="M416" s="13">
        <f>PRODUCT(orders!$E416,orders!$L416)</f>
        <v>10.754999999999999</v>
      </c>
      <c r="N416" s="11" t="str">
        <f t="shared" si="12"/>
        <v>December</v>
      </c>
      <c r="O416" s="11">
        <f t="shared" si="13"/>
        <v>2019</v>
      </c>
      <c r="P416" s="11" t="str">
        <f>TEXT(orders!$B416, "DDD")</f>
        <v>Tue</v>
      </c>
      <c r="Q416" s="11" t="str">
        <f>VLOOKUP(orders!C416,[1]customers!$A$1:$I$1001, 6,FALSE)</f>
        <v>Tyler</v>
      </c>
    </row>
    <row r="417" spans="1:17" x14ac:dyDescent="0.3">
      <c r="A417" s="14" t="s">
        <v>848</v>
      </c>
      <c r="B417" s="15">
        <v>43683</v>
      </c>
      <c r="C417" s="16" t="s">
        <v>849</v>
      </c>
      <c r="D417" s="17" t="s">
        <v>179</v>
      </c>
      <c r="E417" s="16">
        <v>3</v>
      </c>
      <c r="F417" s="9" t="str">
        <f>VLOOKUP(C417,[1]customers!$A$1:$I$1001, 2, FALSE)</f>
        <v>Gregg Hawkyens</v>
      </c>
      <c r="G417" s="16" t="str">
        <f>VLOOKUP(orders!C417,[1]customers!$A$1:$I$1001, 3, FALSE)</f>
        <v>ghawkyensbj@census.gov</v>
      </c>
      <c r="H417" s="16" t="str">
        <f>VLOOKUP(C417, [1]customers!$A$1:$I$1001, 7, FALSE)</f>
        <v>United States</v>
      </c>
      <c r="I417" s="18" t="str">
        <f>VLOOKUP(orders!D417,[1]products!$A$1:$G$49, 2,FALSE)</f>
        <v>Rob</v>
      </c>
      <c r="J417" s="18" t="str">
        <f>VLOOKUP(orders!D417,[1]products!$A$1:$G$49, 3,FALSE)</f>
        <v>M</v>
      </c>
      <c r="K417" s="19">
        <f>VLOOKUP(orders!D417,[1]products!$A$1:$G$49, 4,FALSE)</f>
        <v>0.2</v>
      </c>
      <c r="L417" s="19">
        <f>VLOOKUP(orders!D417,[1]products!$A$1:$G$49, 5,FALSE)</f>
        <v>2.9849999999999999</v>
      </c>
      <c r="M417" s="13">
        <f>PRODUCT(orders!$E417,orders!$L417)</f>
        <v>8.9550000000000001</v>
      </c>
      <c r="N417" s="18" t="str">
        <f t="shared" si="12"/>
        <v>August</v>
      </c>
      <c r="O417" s="18">
        <f t="shared" si="13"/>
        <v>2019</v>
      </c>
      <c r="P417" s="11" t="str">
        <f>TEXT(orders!$B417, "DDD")</f>
        <v>Tue</v>
      </c>
      <c r="Q417" s="11" t="str">
        <f>VLOOKUP(orders!C417,[1]customers!$A$1:$I$1001, 6,FALSE)</f>
        <v>Lafayette</v>
      </c>
    </row>
    <row r="418" spans="1:17" x14ac:dyDescent="0.3">
      <c r="A418" s="7" t="s">
        <v>850</v>
      </c>
      <c r="B418" s="8">
        <v>43901</v>
      </c>
      <c r="C418" s="9" t="s">
        <v>851</v>
      </c>
      <c r="D418" s="10" t="s">
        <v>209</v>
      </c>
      <c r="E418" s="9">
        <v>3</v>
      </c>
      <c r="F418" s="9" t="str">
        <f>VLOOKUP(C418,[1]customers!$A$1:$I$1001, 2, FALSE)</f>
        <v>Reggis Pracy</v>
      </c>
      <c r="G418" s="9">
        <f>VLOOKUP(orders!C418,[1]customers!$A$1:$I$1001, 3, FALSE)</f>
        <v>0</v>
      </c>
      <c r="H418" s="9" t="str">
        <f>VLOOKUP(C418, [1]customers!$A$1:$I$1001, 7, FALSE)</f>
        <v>United States</v>
      </c>
      <c r="I418" s="11" t="str">
        <f>VLOOKUP(orders!D418,[1]products!$A$1:$G$49, 2,FALSE)</f>
        <v>Ara</v>
      </c>
      <c r="J418" s="11" t="str">
        <f>VLOOKUP(orders!D418,[1]products!$A$1:$G$49, 3,FALSE)</f>
        <v>L</v>
      </c>
      <c r="K418" s="12">
        <f>VLOOKUP(orders!D418,[1]products!$A$1:$G$49, 4,FALSE)</f>
        <v>0.5</v>
      </c>
      <c r="L418" s="12">
        <f>VLOOKUP(orders!D418,[1]products!$A$1:$G$49, 5,FALSE)</f>
        <v>7.77</v>
      </c>
      <c r="M418" s="13">
        <f>PRODUCT(orders!$E418,orders!$L418)</f>
        <v>23.31</v>
      </c>
      <c r="N418" s="11" t="str">
        <f t="shared" si="12"/>
        <v>March</v>
      </c>
      <c r="O418" s="11">
        <f t="shared" si="13"/>
        <v>2020</v>
      </c>
      <c r="P418" s="11" t="str">
        <f>TEXT(orders!$B418, "DDD")</f>
        <v>Wed</v>
      </c>
      <c r="Q418" s="11" t="str">
        <f>VLOOKUP(orders!C418,[1]customers!$A$1:$I$1001, 6,FALSE)</f>
        <v>Dayton</v>
      </c>
    </row>
    <row r="419" spans="1:17" x14ac:dyDescent="0.3">
      <c r="A419" s="14" t="s">
        <v>852</v>
      </c>
      <c r="B419" s="15">
        <v>44457</v>
      </c>
      <c r="C419" s="16" t="s">
        <v>853</v>
      </c>
      <c r="D419" s="17" t="s">
        <v>221</v>
      </c>
      <c r="E419" s="16">
        <v>1</v>
      </c>
      <c r="F419" s="9" t="str">
        <f>VLOOKUP(C419,[1]customers!$A$1:$I$1001, 2, FALSE)</f>
        <v>Paula Denis</v>
      </c>
      <c r="G419" s="16">
        <f>VLOOKUP(orders!C419,[1]customers!$A$1:$I$1001, 3, FALSE)</f>
        <v>0</v>
      </c>
      <c r="H419" s="16" t="str">
        <f>VLOOKUP(C419, [1]customers!$A$1:$I$1001, 7, FALSE)</f>
        <v>United States</v>
      </c>
      <c r="I419" s="18" t="str">
        <f>VLOOKUP(orders!D419,[1]products!$A$1:$G$49, 2,FALSE)</f>
        <v>Ara</v>
      </c>
      <c r="J419" s="18" t="str">
        <f>VLOOKUP(orders!D419,[1]products!$A$1:$G$49, 3,FALSE)</f>
        <v>L</v>
      </c>
      <c r="K419" s="19">
        <f>VLOOKUP(orders!D419,[1]products!$A$1:$G$49, 4,FALSE)</f>
        <v>2.5</v>
      </c>
      <c r="L419" s="19">
        <f>VLOOKUP(orders!D419,[1]products!$A$1:$G$49, 5,FALSE)</f>
        <v>29.784999999999997</v>
      </c>
      <c r="M419" s="13">
        <f>PRODUCT(orders!$E419,orders!$L419)</f>
        <v>29.784999999999997</v>
      </c>
      <c r="N419" s="18" t="str">
        <f t="shared" si="12"/>
        <v>September</v>
      </c>
      <c r="O419" s="18">
        <f t="shared" si="13"/>
        <v>2021</v>
      </c>
      <c r="P419" s="11" t="str">
        <f>TEXT(orders!$B419, "DDD")</f>
        <v>Sat</v>
      </c>
      <c r="Q419" s="11" t="str">
        <f>VLOOKUP(orders!C419,[1]customers!$A$1:$I$1001, 6,FALSE)</f>
        <v>Phoenix</v>
      </c>
    </row>
    <row r="420" spans="1:17" x14ac:dyDescent="0.3">
      <c r="A420" s="7" t="s">
        <v>854</v>
      </c>
      <c r="B420" s="8">
        <v>44142</v>
      </c>
      <c r="C420" s="9" t="s">
        <v>855</v>
      </c>
      <c r="D420" s="10" t="s">
        <v>221</v>
      </c>
      <c r="E420" s="9">
        <v>5</v>
      </c>
      <c r="F420" s="9" t="str">
        <f>VLOOKUP(C420,[1]customers!$A$1:$I$1001, 2, FALSE)</f>
        <v>Broderick McGilvra</v>
      </c>
      <c r="G420" s="9" t="str">
        <f>VLOOKUP(orders!C420,[1]customers!$A$1:$I$1001, 3, FALSE)</f>
        <v>bmcgilvrabm@so-net.ne.jp</v>
      </c>
      <c r="H420" s="9" t="str">
        <f>VLOOKUP(C420, [1]customers!$A$1:$I$1001, 7, FALSE)</f>
        <v>United States</v>
      </c>
      <c r="I420" s="11" t="str">
        <f>VLOOKUP(orders!D420,[1]products!$A$1:$G$49, 2,FALSE)</f>
        <v>Ara</v>
      </c>
      <c r="J420" s="11" t="str">
        <f>VLOOKUP(orders!D420,[1]products!$A$1:$G$49, 3,FALSE)</f>
        <v>L</v>
      </c>
      <c r="K420" s="12">
        <f>VLOOKUP(orders!D420,[1]products!$A$1:$G$49, 4,FALSE)</f>
        <v>2.5</v>
      </c>
      <c r="L420" s="12">
        <f>VLOOKUP(orders!D420,[1]products!$A$1:$G$49, 5,FALSE)</f>
        <v>29.784999999999997</v>
      </c>
      <c r="M420" s="13">
        <f>PRODUCT(orders!$E420,orders!$L420)</f>
        <v>148.92499999999998</v>
      </c>
      <c r="N420" s="11" t="str">
        <f t="shared" si="12"/>
        <v>November</v>
      </c>
      <c r="O420" s="11">
        <f t="shared" si="13"/>
        <v>2020</v>
      </c>
      <c r="P420" s="11" t="str">
        <f>TEXT(orders!$B420, "DDD")</f>
        <v>Sat</v>
      </c>
      <c r="Q420" s="11" t="str">
        <f>VLOOKUP(orders!C420,[1]customers!$A$1:$I$1001, 6,FALSE)</f>
        <v>Sacramento</v>
      </c>
    </row>
    <row r="421" spans="1:17" x14ac:dyDescent="0.3">
      <c r="A421" s="14" t="s">
        <v>856</v>
      </c>
      <c r="B421" s="15">
        <v>44739</v>
      </c>
      <c r="C421" s="16" t="s">
        <v>857</v>
      </c>
      <c r="D421" s="17" t="s">
        <v>95</v>
      </c>
      <c r="E421" s="16">
        <v>1</v>
      </c>
      <c r="F421" s="9" t="str">
        <f>VLOOKUP(C421,[1]customers!$A$1:$I$1001, 2, FALSE)</f>
        <v>Annabella Danzey</v>
      </c>
      <c r="G421" s="16" t="str">
        <f>VLOOKUP(orders!C421,[1]customers!$A$1:$I$1001, 3, FALSE)</f>
        <v>adanzeybn@github.com</v>
      </c>
      <c r="H421" s="16" t="str">
        <f>VLOOKUP(C421, [1]customers!$A$1:$I$1001, 7, FALSE)</f>
        <v>United States</v>
      </c>
      <c r="I421" s="18" t="str">
        <f>VLOOKUP(orders!D421,[1]products!$A$1:$G$49, 2,FALSE)</f>
        <v>Lib</v>
      </c>
      <c r="J421" s="18" t="str">
        <f>VLOOKUP(orders!D421,[1]products!$A$1:$G$49, 3,FALSE)</f>
        <v>M</v>
      </c>
      <c r="K421" s="19">
        <f>VLOOKUP(orders!D421,[1]products!$A$1:$G$49, 4,FALSE)</f>
        <v>0.5</v>
      </c>
      <c r="L421" s="19">
        <f>VLOOKUP(orders!D421,[1]products!$A$1:$G$49, 5,FALSE)</f>
        <v>8.73</v>
      </c>
      <c r="M421" s="13">
        <f>PRODUCT(orders!$E421,orders!$L421)</f>
        <v>8.73</v>
      </c>
      <c r="N421" s="18" t="str">
        <f t="shared" si="12"/>
        <v>June</v>
      </c>
      <c r="O421" s="18">
        <f t="shared" si="13"/>
        <v>2022</v>
      </c>
      <c r="P421" s="11" t="str">
        <f>TEXT(orders!$B421, "DDD")</f>
        <v>Mon</v>
      </c>
      <c r="Q421" s="11" t="str">
        <f>VLOOKUP(orders!C421,[1]customers!$A$1:$I$1001, 6,FALSE)</f>
        <v>Lincoln</v>
      </c>
    </row>
    <row r="422" spans="1:17" x14ac:dyDescent="0.3">
      <c r="A422" s="7" t="s">
        <v>858</v>
      </c>
      <c r="B422" s="8">
        <v>43866</v>
      </c>
      <c r="C422" s="9" t="s">
        <v>766</v>
      </c>
      <c r="D422" s="10" t="s">
        <v>140</v>
      </c>
      <c r="E422" s="9">
        <v>4</v>
      </c>
      <c r="F422" s="9" t="str">
        <f>VLOOKUP(C422,[1]customers!$A$1:$I$1001, 2, FALSE)</f>
        <v>Terri Farra</v>
      </c>
      <c r="G422" s="9" t="str">
        <f>VLOOKUP(orders!C422,[1]customers!$A$1:$I$1001, 3, FALSE)</f>
        <v>tfarraac@behance.net</v>
      </c>
      <c r="H422" s="9" t="str">
        <f>VLOOKUP(C422, [1]customers!$A$1:$I$1001, 7, FALSE)</f>
        <v>United States</v>
      </c>
      <c r="I422" s="11" t="str">
        <f>VLOOKUP(orders!D422,[1]products!$A$1:$G$49, 2,FALSE)</f>
        <v>Lib</v>
      </c>
      <c r="J422" s="11" t="str">
        <f>VLOOKUP(orders!D422,[1]products!$A$1:$G$49, 3,FALSE)</f>
        <v>D</v>
      </c>
      <c r="K422" s="12">
        <f>VLOOKUP(orders!D422,[1]products!$A$1:$G$49, 4,FALSE)</f>
        <v>0.5</v>
      </c>
      <c r="L422" s="12">
        <f>VLOOKUP(orders!D422,[1]products!$A$1:$G$49, 5,FALSE)</f>
        <v>7.77</v>
      </c>
      <c r="M422" s="13">
        <f>PRODUCT(orders!$E422,orders!$L422)</f>
        <v>31.08</v>
      </c>
      <c r="N422" s="11" t="str">
        <f t="shared" si="12"/>
        <v>February</v>
      </c>
      <c r="O422" s="11">
        <f t="shared" si="13"/>
        <v>2020</v>
      </c>
      <c r="P422" s="11" t="str">
        <f>TEXT(orders!$B422, "DDD")</f>
        <v>Wed</v>
      </c>
      <c r="Q422" s="11" t="str">
        <f>VLOOKUP(orders!C422,[1]customers!$A$1:$I$1001, 6,FALSE)</f>
        <v>Odessa</v>
      </c>
    </row>
    <row r="423" spans="1:17" x14ac:dyDescent="0.3">
      <c r="A423" s="14" t="s">
        <v>858</v>
      </c>
      <c r="B423" s="15">
        <v>43866</v>
      </c>
      <c r="C423" s="16" t="s">
        <v>766</v>
      </c>
      <c r="D423" s="17" t="s">
        <v>135</v>
      </c>
      <c r="E423" s="16">
        <v>6</v>
      </c>
      <c r="F423" s="9" t="str">
        <f>VLOOKUP(C423,[1]customers!$A$1:$I$1001, 2, FALSE)</f>
        <v>Terri Farra</v>
      </c>
      <c r="G423" s="16" t="str">
        <f>VLOOKUP(orders!C423,[1]customers!$A$1:$I$1001, 3, FALSE)</f>
        <v>tfarraac@behance.net</v>
      </c>
      <c r="H423" s="16" t="str">
        <f>VLOOKUP(C423, [1]customers!$A$1:$I$1001, 7, FALSE)</f>
        <v>United States</v>
      </c>
      <c r="I423" s="18" t="str">
        <f>VLOOKUP(orders!D423,[1]products!$A$1:$G$49, 2,FALSE)</f>
        <v>Ara</v>
      </c>
      <c r="J423" s="18" t="str">
        <f>VLOOKUP(orders!D423,[1]products!$A$1:$G$49, 3,FALSE)</f>
        <v>D</v>
      </c>
      <c r="K423" s="19">
        <f>VLOOKUP(orders!D423,[1]products!$A$1:$G$49, 4,FALSE)</f>
        <v>2.5</v>
      </c>
      <c r="L423" s="19">
        <f>VLOOKUP(orders!D423,[1]products!$A$1:$G$49, 5,FALSE)</f>
        <v>22.884999999999998</v>
      </c>
      <c r="M423" s="13">
        <f>PRODUCT(orders!$E423,orders!$L423)</f>
        <v>137.31</v>
      </c>
      <c r="N423" s="18" t="str">
        <f t="shared" si="12"/>
        <v>February</v>
      </c>
      <c r="O423" s="18">
        <f t="shared" si="13"/>
        <v>2020</v>
      </c>
      <c r="P423" s="11" t="str">
        <f>TEXT(orders!$B423, "DDD")</f>
        <v>Wed</v>
      </c>
      <c r="Q423" s="11" t="str">
        <f>VLOOKUP(orders!C423,[1]customers!$A$1:$I$1001, 6,FALSE)</f>
        <v>Odessa</v>
      </c>
    </row>
    <row r="424" spans="1:17" x14ac:dyDescent="0.3">
      <c r="A424" s="7" t="s">
        <v>859</v>
      </c>
      <c r="B424" s="8">
        <v>43868</v>
      </c>
      <c r="C424" s="9" t="s">
        <v>860</v>
      </c>
      <c r="D424" s="10" t="s">
        <v>89</v>
      </c>
      <c r="E424" s="9">
        <v>5</v>
      </c>
      <c r="F424" s="9" t="str">
        <f>VLOOKUP(C424,[1]customers!$A$1:$I$1001, 2, FALSE)</f>
        <v>Nevins Glowacz</v>
      </c>
      <c r="G424" s="9">
        <f>VLOOKUP(orders!C424,[1]customers!$A$1:$I$1001, 3, FALSE)</f>
        <v>0</v>
      </c>
      <c r="H424" s="9" t="str">
        <f>VLOOKUP(C424, [1]customers!$A$1:$I$1001, 7, FALSE)</f>
        <v>United States</v>
      </c>
      <c r="I424" s="11" t="str">
        <f>VLOOKUP(orders!D424,[1]products!$A$1:$G$49, 2,FALSE)</f>
        <v>Ara</v>
      </c>
      <c r="J424" s="11" t="str">
        <f>VLOOKUP(orders!D424,[1]products!$A$1:$G$49, 3,FALSE)</f>
        <v>D</v>
      </c>
      <c r="K424" s="12">
        <f>VLOOKUP(orders!D424,[1]products!$A$1:$G$49, 4,FALSE)</f>
        <v>0.5</v>
      </c>
      <c r="L424" s="12">
        <f>VLOOKUP(orders!D424,[1]products!$A$1:$G$49, 5,FALSE)</f>
        <v>5.97</v>
      </c>
      <c r="M424" s="13">
        <f>PRODUCT(orders!$E424,orders!$L424)</f>
        <v>29.849999999999998</v>
      </c>
      <c r="N424" s="11" t="str">
        <f t="shared" si="12"/>
        <v>February</v>
      </c>
      <c r="O424" s="11">
        <f t="shared" si="13"/>
        <v>2020</v>
      </c>
      <c r="P424" s="11" t="str">
        <f>TEXT(orders!$B424, "DDD")</f>
        <v>Fri</v>
      </c>
      <c r="Q424" s="11" t="str">
        <f>VLOOKUP(orders!C424,[1]customers!$A$1:$I$1001, 6,FALSE)</f>
        <v>Madison</v>
      </c>
    </row>
    <row r="425" spans="1:17" x14ac:dyDescent="0.3">
      <c r="A425" s="14" t="s">
        <v>861</v>
      </c>
      <c r="B425" s="15">
        <v>44183</v>
      </c>
      <c r="C425" s="16" t="s">
        <v>862</v>
      </c>
      <c r="D425" s="17" t="s">
        <v>39</v>
      </c>
      <c r="E425" s="16">
        <v>3</v>
      </c>
      <c r="F425" s="9" t="str">
        <f>VLOOKUP(C425,[1]customers!$A$1:$I$1001, 2, FALSE)</f>
        <v>Adelice Isabell</v>
      </c>
      <c r="G425" s="16">
        <f>VLOOKUP(orders!C425,[1]customers!$A$1:$I$1001, 3, FALSE)</f>
        <v>0</v>
      </c>
      <c r="H425" s="16" t="str">
        <f>VLOOKUP(C425, [1]customers!$A$1:$I$1001, 7, FALSE)</f>
        <v>United States</v>
      </c>
      <c r="I425" s="18" t="str">
        <f>VLOOKUP(orders!D425,[1]products!$A$1:$G$49, 2,FALSE)</f>
        <v>Rob</v>
      </c>
      <c r="J425" s="18" t="str">
        <f>VLOOKUP(orders!D425,[1]products!$A$1:$G$49, 3,FALSE)</f>
        <v>M</v>
      </c>
      <c r="K425" s="19">
        <f>VLOOKUP(orders!D425,[1]products!$A$1:$G$49, 4,FALSE)</f>
        <v>0.5</v>
      </c>
      <c r="L425" s="19">
        <f>VLOOKUP(orders!D425,[1]products!$A$1:$G$49, 5,FALSE)</f>
        <v>5.97</v>
      </c>
      <c r="M425" s="13">
        <f>PRODUCT(orders!$E425,orders!$L425)</f>
        <v>17.91</v>
      </c>
      <c r="N425" s="18" t="str">
        <f t="shared" si="12"/>
        <v>December</v>
      </c>
      <c r="O425" s="18">
        <f t="shared" si="13"/>
        <v>2020</v>
      </c>
      <c r="P425" s="11" t="str">
        <f>TEXT(orders!$B425, "DDD")</f>
        <v>Fri</v>
      </c>
      <c r="Q425" s="11" t="str">
        <f>VLOOKUP(orders!C425,[1]customers!$A$1:$I$1001, 6,FALSE)</f>
        <v>Charleston</v>
      </c>
    </row>
    <row r="426" spans="1:17" x14ac:dyDescent="0.3">
      <c r="A426" s="7" t="s">
        <v>863</v>
      </c>
      <c r="B426" s="8">
        <v>44431</v>
      </c>
      <c r="C426" s="9" t="s">
        <v>864</v>
      </c>
      <c r="D426" s="10" t="s">
        <v>193</v>
      </c>
      <c r="E426" s="9">
        <v>3</v>
      </c>
      <c r="F426" s="9" t="str">
        <f>VLOOKUP(C426,[1]customers!$A$1:$I$1001, 2, FALSE)</f>
        <v>Yulma Dombrell</v>
      </c>
      <c r="G426" s="9" t="str">
        <f>VLOOKUP(orders!C426,[1]customers!$A$1:$I$1001, 3, FALSE)</f>
        <v>ydombrellbs@dedecms.com</v>
      </c>
      <c r="H426" s="9" t="str">
        <f>VLOOKUP(C426, [1]customers!$A$1:$I$1001, 7, FALSE)</f>
        <v>United States</v>
      </c>
      <c r="I426" s="11" t="str">
        <f>VLOOKUP(orders!D426,[1]products!$A$1:$G$49, 2,FALSE)</f>
        <v>Exc</v>
      </c>
      <c r="J426" s="11" t="str">
        <f>VLOOKUP(orders!D426,[1]products!$A$1:$G$49, 3,FALSE)</f>
        <v>L</v>
      </c>
      <c r="K426" s="12">
        <f>VLOOKUP(orders!D426,[1]products!$A$1:$G$49, 4,FALSE)</f>
        <v>0.5</v>
      </c>
      <c r="L426" s="12">
        <f>VLOOKUP(orders!D426,[1]products!$A$1:$G$49, 5,FALSE)</f>
        <v>8.91</v>
      </c>
      <c r="M426" s="13">
        <f>PRODUCT(orders!$E426,orders!$L426)</f>
        <v>26.73</v>
      </c>
      <c r="N426" s="11" t="str">
        <f t="shared" si="12"/>
        <v>August</v>
      </c>
      <c r="O426" s="11">
        <f t="shared" si="13"/>
        <v>2021</v>
      </c>
      <c r="P426" s="11" t="str">
        <f>TEXT(orders!$B426, "DDD")</f>
        <v>Mon</v>
      </c>
      <c r="Q426" s="11" t="str">
        <f>VLOOKUP(orders!C426,[1]customers!$A$1:$I$1001, 6,FALSE)</f>
        <v>Little Rock</v>
      </c>
    </row>
    <row r="427" spans="1:17" x14ac:dyDescent="0.3">
      <c r="A427" s="14" t="s">
        <v>865</v>
      </c>
      <c r="B427" s="15">
        <v>44428</v>
      </c>
      <c r="C427" s="16" t="s">
        <v>866</v>
      </c>
      <c r="D427" s="17" t="s">
        <v>196</v>
      </c>
      <c r="E427" s="16">
        <v>2</v>
      </c>
      <c r="F427" s="9" t="str">
        <f>VLOOKUP(C427,[1]customers!$A$1:$I$1001, 2, FALSE)</f>
        <v>Alric Darth</v>
      </c>
      <c r="G427" s="16" t="str">
        <f>VLOOKUP(orders!C427,[1]customers!$A$1:$I$1001, 3, FALSE)</f>
        <v>adarthbt@t.co</v>
      </c>
      <c r="H427" s="16" t="str">
        <f>VLOOKUP(C427, [1]customers!$A$1:$I$1001, 7, FALSE)</f>
        <v>United States</v>
      </c>
      <c r="I427" s="18" t="str">
        <f>VLOOKUP(orders!D427,[1]products!$A$1:$G$49, 2,FALSE)</f>
        <v>Rob</v>
      </c>
      <c r="J427" s="18" t="str">
        <f>VLOOKUP(orders!D427,[1]products!$A$1:$G$49, 3,FALSE)</f>
        <v>D</v>
      </c>
      <c r="K427" s="19">
        <f>VLOOKUP(orders!D427,[1]products!$A$1:$G$49, 4,FALSE)</f>
        <v>1</v>
      </c>
      <c r="L427" s="19">
        <f>VLOOKUP(orders!D427,[1]products!$A$1:$G$49, 5,FALSE)</f>
        <v>8.9499999999999993</v>
      </c>
      <c r="M427" s="13">
        <f>PRODUCT(orders!$E427,orders!$L427)</f>
        <v>17.899999999999999</v>
      </c>
      <c r="N427" s="18" t="str">
        <f t="shared" si="12"/>
        <v>August</v>
      </c>
      <c r="O427" s="18">
        <f t="shared" si="13"/>
        <v>2021</v>
      </c>
      <c r="P427" s="11" t="str">
        <f>TEXT(orders!$B427, "DDD")</f>
        <v>Fri</v>
      </c>
      <c r="Q427" s="11" t="str">
        <f>VLOOKUP(orders!C427,[1]customers!$A$1:$I$1001, 6,FALSE)</f>
        <v>Anchorage</v>
      </c>
    </row>
    <row r="428" spans="1:17" x14ac:dyDescent="0.3">
      <c r="A428" s="7" t="s">
        <v>867</v>
      </c>
      <c r="B428" s="8">
        <v>43556</v>
      </c>
      <c r="C428" s="9" t="s">
        <v>868</v>
      </c>
      <c r="D428" s="10" t="s">
        <v>199</v>
      </c>
      <c r="E428" s="9">
        <v>4</v>
      </c>
      <c r="F428" s="9" t="str">
        <f>VLOOKUP(C428,[1]customers!$A$1:$I$1001, 2, FALSE)</f>
        <v>Manuel Darrigoe</v>
      </c>
      <c r="G428" s="9" t="str">
        <f>VLOOKUP(orders!C428,[1]customers!$A$1:$I$1001, 3, FALSE)</f>
        <v>mdarrigoebu@hud.gov</v>
      </c>
      <c r="H428" s="9" t="str">
        <f>VLOOKUP(C428, [1]customers!$A$1:$I$1001, 7, FALSE)</f>
        <v>Ireland</v>
      </c>
      <c r="I428" s="11" t="str">
        <f>VLOOKUP(orders!D428,[1]products!$A$1:$G$49, 2,FALSE)</f>
        <v>Rob</v>
      </c>
      <c r="J428" s="11" t="str">
        <f>VLOOKUP(orders!D428,[1]products!$A$1:$G$49, 3,FALSE)</f>
        <v>L</v>
      </c>
      <c r="K428" s="12">
        <f>VLOOKUP(orders!D428,[1]products!$A$1:$G$49, 4,FALSE)</f>
        <v>0.2</v>
      </c>
      <c r="L428" s="12">
        <f>VLOOKUP(orders!D428,[1]products!$A$1:$G$49, 5,FALSE)</f>
        <v>3.5849999999999995</v>
      </c>
      <c r="M428" s="13">
        <f>PRODUCT(orders!$E428,orders!$L428)</f>
        <v>14.339999999999998</v>
      </c>
      <c r="N428" s="11" t="str">
        <f t="shared" si="12"/>
        <v>April</v>
      </c>
      <c r="O428" s="11">
        <f t="shared" si="13"/>
        <v>2019</v>
      </c>
      <c r="P428" s="11" t="str">
        <f>TEXT(orders!$B428, "DDD")</f>
        <v>Mon</v>
      </c>
      <c r="Q428" s="11" t="str">
        <f>VLOOKUP(orders!C428,[1]customers!$A$1:$I$1001, 6,FALSE)</f>
        <v>Longwood</v>
      </c>
    </row>
    <row r="429" spans="1:17" x14ac:dyDescent="0.3">
      <c r="A429" s="14" t="s">
        <v>869</v>
      </c>
      <c r="B429" s="15">
        <v>44224</v>
      </c>
      <c r="C429" s="16" t="s">
        <v>870</v>
      </c>
      <c r="D429" s="17" t="s">
        <v>188</v>
      </c>
      <c r="E429" s="16">
        <v>3</v>
      </c>
      <c r="F429" s="9" t="str">
        <f>VLOOKUP(C429,[1]customers!$A$1:$I$1001, 2, FALSE)</f>
        <v>Kynthia Berick</v>
      </c>
      <c r="G429" s="16">
        <f>VLOOKUP(orders!C429,[1]customers!$A$1:$I$1001, 3, FALSE)</f>
        <v>0</v>
      </c>
      <c r="H429" s="16" t="str">
        <f>VLOOKUP(C429, [1]customers!$A$1:$I$1001, 7, FALSE)</f>
        <v>United States</v>
      </c>
      <c r="I429" s="18" t="str">
        <f>VLOOKUP(orders!D429,[1]products!$A$1:$G$49, 2,FALSE)</f>
        <v>Ara</v>
      </c>
      <c r="J429" s="18" t="str">
        <f>VLOOKUP(orders!D429,[1]products!$A$1:$G$49, 3,FALSE)</f>
        <v>M</v>
      </c>
      <c r="K429" s="19">
        <f>VLOOKUP(orders!D429,[1]products!$A$1:$G$49, 4,FALSE)</f>
        <v>2.5</v>
      </c>
      <c r="L429" s="19">
        <f>VLOOKUP(orders!D429,[1]products!$A$1:$G$49, 5,FALSE)</f>
        <v>25.874999999999996</v>
      </c>
      <c r="M429" s="13">
        <f>PRODUCT(orders!$E429,orders!$L429)</f>
        <v>77.624999999999986</v>
      </c>
      <c r="N429" s="18" t="str">
        <f t="shared" si="12"/>
        <v>January</v>
      </c>
      <c r="O429" s="18">
        <f t="shared" si="13"/>
        <v>2021</v>
      </c>
      <c r="P429" s="11" t="str">
        <f>TEXT(orders!$B429, "DDD")</f>
        <v>Thu</v>
      </c>
      <c r="Q429" s="11" t="str">
        <f>VLOOKUP(orders!C429,[1]customers!$A$1:$I$1001, 6,FALSE)</f>
        <v>San Francisco</v>
      </c>
    </row>
    <row r="430" spans="1:17" x14ac:dyDescent="0.3">
      <c r="A430" s="7" t="s">
        <v>871</v>
      </c>
      <c r="B430" s="8">
        <v>43759</v>
      </c>
      <c r="C430" s="9" t="s">
        <v>872</v>
      </c>
      <c r="D430" s="10" t="s">
        <v>206</v>
      </c>
      <c r="E430" s="9">
        <v>5</v>
      </c>
      <c r="F430" s="9" t="str">
        <f>VLOOKUP(C430,[1]customers!$A$1:$I$1001, 2, FALSE)</f>
        <v>Minetta Ackrill</v>
      </c>
      <c r="G430" s="9" t="str">
        <f>VLOOKUP(orders!C430,[1]customers!$A$1:$I$1001, 3, FALSE)</f>
        <v>mackrillbw@bandcamp.com</v>
      </c>
      <c r="H430" s="9" t="str">
        <f>VLOOKUP(C430, [1]customers!$A$1:$I$1001, 7, FALSE)</f>
        <v>United States</v>
      </c>
      <c r="I430" s="11" t="str">
        <f>VLOOKUP(orders!D430,[1]products!$A$1:$G$49, 2,FALSE)</f>
        <v>Rob</v>
      </c>
      <c r="J430" s="11" t="str">
        <f>VLOOKUP(orders!D430,[1]products!$A$1:$G$49, 3,FALSE)</f>
        <v>L</v>
      </c>
      <c r="K430" s="12">
        <f>VLOOKUP(orders!D430,[1]products!$A$1:$G$49, 4,FALSE)</f>
        <v>1</v>
      </c>
      <c r="L430" s="12">
        <f>VLOOKUP(orders!D430,[1]products!$A$1:$G$49, 5,FALSE)</f>
        <v>11.95</v>
      </c>
      <c r="M430" s="13">
        <f>PRODUCT(orders!$E430,orders!$L430)</f>
        <v>59.75</v>
      </c>
      <c r="N430" s="11" t="str">
        <f t="shared" si="12"/>
        <v>October</v>
      </c>
      <c r="O430" s="11">
        <f t="shared" si="13"/>
        <v>2019</v>
      </c>
      <c r="P430" s="11" t="str">
        <f>TEXT(orders!$B430, "DDD")</f>
        <v>Mon</v>
      </c>
      <c r="Q430" s="11" t="str">
        <f>VLOOKUP(orders!C430,[1]customers!$A$1:$I$1001, 6,FALSE)</f>
        <v>Warren</v>
      </c>
    </row>
    <row r="431" spans="1:17" x14ac:dyDescent="0.3">
      <c r="A431" s="14" t="s">
        <v>873</v>
      </c>
      <c r="B431" s="15">
        <v>44367</v>
      </c>
      <c r="C431" s="16" t="s">
        <v>766</v>
      </c>
      <c r="D431" s="17" t="s">
        <v>23</v>
      </c>
      <c r="E431" s="16">
        <v>6</v>
      </c>
      <c r="F431" s="9" t="str">
        <f>VLOOKUP(C431,[1]customers!$A$1:$I$1001, 2, FALSE)</f>
        <v>Terri Farra</v>
      </c>
      <c r="G431" s="16" t="str">
        <f>VLOOKUP(orders!C431,[1]customers!$A$1:$I$1001, 3, FALSE)</f>
        <v>tfarraac@behance.net</v>
      </c>
      <c r="H431" s="16" t="str">
        <f>VLOOKUP(C431, [1]customers!$A$1:$I$1001, 7, FALSE)</f>
        <v>United States</v>
      </c>
      <c r="I431" s="18" t="str">
        <f>VLOOKUP(orders!D431,[1]products!$A$1:$G$49, 2,FALSE)</f>
        <v>Ara</v>
      </c>
      <c r="J431" s="18" t="str">
        <f>VLOOKUP(orders!D431,[1]products!$A$1:$G$49, 3,FALSE)</f>
        <v>L</v>
      </c>
      <c r="K431" s="19">
        <f>VLOOKUP(orders!D431,[1]products!$A$1:$G$49, 4,FALSE)</f>
        <v>1</v>
      </c>
      <c r="L431" s="19">
        <f>VLOOKUP(orders!D431,[1]products!$A$1:$G$49, 5,FALSE)</f>
        <v>12.95</v>
      </c>
      <c r="M431" s="13">
        <f>PRODUCT(orders!$E431,orders!$L431)</f>
        <v>77.699999999999989</v>
      </c>
      <c r="N431" s="18" t="str">
        <f t="shared" si="12"/>
        <v>June</v>
      </c>
      <c r="O431" s="18">
        <f t="shared" si="13"/>
        <v>2021</v>
      </c>
      <c r="P431" s="11" t="str">
        <f>TEXT(orders!$B431, "DDD")</f>
        <v>Sun</v>
      </c>
      <c r="Q431" s="11" t="str">
        <f>VLOOKUP(orders!C431,[1]customers!$A$1:$I$1001, 6,FALSE)</f>
        <v>Odessa</v>
      </c>
    </row>
    <row r="432" spans="1:17" x14ac:dyDescent="0.3">
      <c r="A432" s="7" t="s">
        <v>874</v>
      </c>
      <c r="B432" s="8">
        <v>44504</v>
      </c>
      <c r="C432" s="9" t="s">
        <v>875</v>
      </c>
      <c r="D432" s="10" t="s">
        <v>118</v>
      </c>
      <c r="E432" s="9">
        <v>2</v>
      </c>
      <c r="F432" s="9" t="str">
        <f>VLOOKUP(C432,[1]customers!$A$1:$I$1001, 2, FALSE)</f>
        <v>Melosa Kippen</v>
      </c>
      <c r="G432" s="9" t="str">
        <f>VLOOKUP(orders!C432,[1]customers!$A$1:$I$1001, 3, FALSE)</f>
        <v>mkippenby@dion.ne.jp</v>
      </c>
      <c r="H432" s="9" t="str">
        <f>VLOOKUP(C432, [1]customers!$A$1:$I$1001, 7, FALSE)</f>
        <v>United States</v>
      </c>
      <c r="I432" s="11" t="str">
        <f>VLOOKUP(orders!D432,[1]products!$A$1:$G$49, 2,FALSE)</f>
        <v>Rob</v>
      </c>
      <c r="J432" s="11" t="str">
        <f>VLOOKUP(orders!D432,[1]products!$A$1:$G$49, 3,FALSE)</f>
        <v>D</v>
      </c>
      <c r="K432" s="12">
        <f>VLOOKUP(orders!D432,[1]products!$A$1:$G$49, 4,FALSE)</f>
        <v>0.2</v>
      </c>
      <c r="L432" s="12">
        <f>VLOOKUP(orders!D432,[1]products!$A$1:$G$49, 5,FALSE)</f>
        <v>2.6849999999999996</v>
      </c>
      <c r="M432" s="13">
        <f>PRODUCT(orders!$E432,orders!$L432)</f>
        <v>5.3699999999999992</v>
      </c>
      <c r="N432" s="11" t="str">
        <f t="shared" si="12"/>
        <v>November</v>
      </c>
      <c r="O432" s="11">
        <f t="shared" si="13"/>
        <v>2021</v>
      </c>
      <c r="P432" s="11" t="str">
        <f>TEXT(orders!$B432, "DDD")</f>
        <v>Thu</v>
      </c>
      <c r="Q432" s="11" t="str">
        <f>VLOOKUP(orders!C432,[1]customers!$A$1:$I$1001, 6,FALSE)</f>
        <v>Jackson</v>
      </c>
    </row>
    <row r="433" spans="1:17" x14ac:dyDescent="0.3">
      <c r="A433" s="14" t="s">
        <v>876</v>
      </c>
      <c r="B433" s="15">
        <v>44291</v>
      </c>
      <c r="C433" s="16" t="s">
        <v>877</v>
      </c>
      <c r="D433" s="17" t="s">
        <v>547</v>
      </c>
      <c r="E433" s="16">
        <v>3</v>
      </c>
      <c r="F433" s="9" t="str">
        <f>VLOOKUP(C433,[1]customers!$A$1:$I$1001, 2, FALSE)</f>
        <v>Witty Ranson</v>
      </c>
      <c r="G433" s="16" t="str">
        <f>VLOOKUP(orders!C433,[1]customers!$A$1:$I$1001, 3, FALSE)</f>
        <v>wransonbz@ted.com</v>
      </c>
      <c r="H433" s="16" t="str">
        <f>VLOOKUP(C433, [1]customers!$A$1:$I$1001, 7, FALSE)</f>
        <v>Ireland</v>
      </c>
      <c r="I433" s="18" t="str">
        <f>VLOOKUP(orders!D433,[1]products!$A$1:$G$49, 2,FALSE)</f>
        <v>Exc</v>
      </c>
      <c r="J433" s="18" t="str">
        <f>VLOOKUP(orders!D433,[1]products!$A$1:$G$49, 3,FALSE)</f>
        <v>D</v>
      </c>
      <c r="K433" s="19">
        <f>VLOOKUP(orders!D433,[1]products!$A$1:$G$49, 4,FALSE)</f>
        <v>2.5</v>
      </c>
      <c r="L433" s="19">
        <f>VLOOKUP(orders!D433,[1]products!$A$1:$G$49, 5,FALSE)</f>
        <v>27.945</v>
      </c>
      <c r="M433" s="13">
        <f>PRODUCT(orders!$E433,orders!$L433)</f>
        <v>83.835000000000008</v>
      </c>
      <c r="N433" s="18" t="str">
        <f t="shared" si="12"/>
        <v>April</v>
      </c>
      <c r="O433" s="18">
        <f t="shared" si="13"/>
        <v>2021</v>
      </c>
      <c r="P433" s="11" t="str">
        <f>TEXT(orders!$B433, "DDD")</f>
        <v>Mon</v>
      </c>
      <c r="Q433" s="11" t="str">
        <f>VLOOKUP(orders!C433,[1]customers!$A$1:$I$1001, 6,FALSE)</f>
        <v>Kildare</v>
      </c>
    </row>
    <row r="434" spans="1:17" x14ac:dyDescent="0.3">
      <c r="A434" s="7" t="s">
        <v>878</v>
      </c>
      <c r="B434" s="8">
        <v>43808</v>
      </c>
      <c r="C434" s="9" t="s">
        <v>879</v>
      </c>
      <c r="D434" s="10" t="s">
        <v>78</v>
      </c>
      <c r="E434" s="9">
        <v>2</v>
      </c>
      <c r="F434" s="9" t="str">
        <f>VLOOKUP(C434,[1]customers!$A$1:$I$1001, 2, FALSE)</f>
        <v>Rod Gowdie</v>
      </c>
      <c r="G434" s="9">
        <f>VLOOKUP(orders!C434,[1]customers!$A$1:$I$1001, 3, FALSE)</f>
        <v>0</v>
      </c>
      <c r="H434" s="9" t="str">
        <f>VLOOKUP(C434, [1]customers!$A$1:$I$1001, 7, FALSE)</f>
        <v>United States</v>
      </c>
      <c r="I434" s="11" t="str">
        <f>VLOOKUP(orders!D434,[1]products!$A$1:$G$49, 2,FALSE)</f>
        <v>Ara</v>
      </c>
      <c r="J434" s="11" t="str">
        <f>VLOOKUP(orders!D434,[1]products!$A$1:$G$49, 3,FALSE)</f>
        <v>M</v>
      </c>
      <c r="K434" s="12">
        <f>VLOOKUP(orders!D434,[1]products!$A$1:$G$49, 4,FALSE)</f>
        <v>1</v>
      </c>
      <c r="L434" s="12">
        <f>VLOOKUP(orders!D434,[1]products!$A$1:$G$49, 5,FALSE)</f>
        <v>11.25</v>
      </c>
      <c r="M434" s="13">
        <f>PRODUCT(orders!$E434,orders!$L434)</f>
        <v>22.5</v>
      </c>
      <c r="N434" s="11" t="str">
        <f t="shared" si="12"/>
        <v>December</v>
      </c>
      <c r="O434" s="11">
        <f t="shared" si="13"/>
        <v>2019</v>
      </c>
      <c r="P434" s="11" t="str">
        <f>TEXT(orders!$B434, "DDD")</f>
        <v>Mon</v>
      </c>
      <c r="Q434" s="11" t="str">
        <f>VLOOKUP(orders!C434,[1]customers!$A$1:$I$1001, 6,FALSE)</f>
        <v>Milwaukee</v>
      </c>
    </row>
    <row r="435" spans="1:17" x14ac:dyDescent="0.3">
      <c r="A435" s="14" t="s">
        <v>880</v>
      </c>
      <c r="B435" s="15">
        <v>44563</v>
      </c>
      <c r="C435" s="16" t="s">
        <v>881</v>
      </c>
      <c r="D435" s="17" t="s">
        <v>214</v>
      </c>
      <c r="E435" s="16">
        <v>6</v>
      </c>
      <c r="F435" s="9" t="str">
        <f>VLOOKUP(C435,[1]customers!$A$1:$I$1001, 2, FALSE)</f>
        <v>Lemuel Rignold</v>
      </c>
      <c r="G435" s="16" t="str">
        <f>VLOOKUP(orders!C435,[1]customers!$A$1:$I$1001, 3, FALSE)</f>
        <v>lrignoldc1@miibeian.gov.cn</v>
      </c>
      <c r="H435" s="16" t="str">
        <f>VLOOKUP(C435, [1]customers!$A$1:$I$1001, 7, FALSE)</f>
        <v>United States</v>
      </c>
      <c r="I435" s="18" t="str">
        <f>VLOOKUP(orders!D435,[1]products!$A$1:$G$49, 2,FALSE)</f>
        <v>Lib</v>
      </c>
      <c r="J435" s="18" t="str">
        <f>VLOOKUP(orders!D435,[1]products!$A$1:$G$49, 3,FALSE)</f>
        <v>M</v>
      </c>
      <c r="K435" s="19">
        <f>VLOOKUP(orders!D435,[1]products!$A$1:$G$49, 4,FALSE)</f>
        <v>2.5</v>
      </c>
      <c r="L435" s="19">
        <f>VLOOKUP(orders!D435,[1]products!$A$1:$G$49, 5,FALSE)</f>
        <v>33.464999999999996</v>
      </c>
      <c r="M435" s="13">
        <f>PRODUCT(orders!$E435,orders!$L435)</f>
        <v>200.78999999999996</v>
      </c>
      <c r="N435" s="18" t="str">
        <f t="shared" si="12"/>
        <v>January</v>
      </c>
      <c r="O435" s="18">
        <f t="shared" si="13"/>
        <v>2022</v>
      </c>
      <c r="P435" s="11" t="str">
        <f>TEXT(orders!$B435, "DDD")</f>
        <v>Sun</v>
      </c>
      <c r="Q435" s="11" t="str">
        <f>VLOOKUP(orders!C435,[1]customers!$A$1:$I$1001, 6,FALSE)</f>
        <v>Sacramento</v>
      </c>
    </row>
    <row r="436" spans="1:17" x14ac:dyDescent="0.3">
      <c r="A436" s="7" t="s">
        <v>882</v>
      </c>
      <c r="B436" s="8">
        <v>43807</v>
      </c>
      <c r="C436" s="9" t="s">
        <v>883</v>
      </c>
      <c r="D436" s="10" t="s">
        <v>78</v>
      </c>
      <c r="E436" s="9">
        <v>6</v>
      </c>
      <c r="F436" s="9" t="str">
        <f>VLOOKUP(C436,[1]customers!$A$1:$I$1001, 2, FALSE)</f>
        <v>Nevsa Fields</v>
      </c>
      <c r="G436" s="9">
        <f>VLOOKUP(orders!C436,[1]customers!$A$1:$I$1001, 3, FALSE)</f>
        <v>0</v>
      </c>
      <c r="H436" s="9" t="str">
        <f>VLOOKUP(C436, [1]customers!$A$1:$I$1001, 7, FALSE)</f>
        <v>United States</v>
      </c>
      <c r="I436" s="11" t="str">
        <f>VLOOKUP(orders!D436,[1]products!$A$1:$G$49, 2,FALSE)</f>
        <v>Ara</v>
      </c>
      <c r="J436" s="11" t="str">
        <f>VLOOKUP(orders!D436,[1]products!$A$1:$G$49, 3,FALSE)</f>
        <v>M</v>
      </c>
      <c r="K436" s="12">
        <f>VLOOKUP(orders!D436,[1]products!$A$1:$G$49, 4,FALSE)</f>
        <v>1</v>
      </c>
      <c r="L436" s="12">
        <f>VLOOKUP(orders!D436,[1]products!$A$1:$G$49, 5,FALSE)</f>
        <v>11.25</v>
      </c>
      <c r="M436" s="13">
        <f>PRODUCT(orders!$E436,orders!$L436)</f>
        <v>67.5</v>
      </c>
      <c r="N436" s="11" t="str">
        <f t="shared" si="12"/>
        <v>December</v>
      </c>
      <c r="O436" s="11">
        <f t="shared" si="13"/>
        <v>2019</v>
      </c>
      <c r="P436" s="11" t="str">
        <f>TEXT(orders!$B436, "DDD")</f>
        <v>Sun</v>
      </c>
      <c r="Q436" s="11" t="str">
        <f>VLOOKUP(orders!C436,[1]customers!$A$1:$I$1001, 6,FALSE)</f>
        <v>Boston</v>
      </c>
    </row>
    <row r="437" spans="1:17" x14ac:dyDescent="0.3">
      <c r="A437" s="14" t="s">
        <v>884</v>
      </c>
      <c r="B437" s="15">
        <v>44528</v>
      </c>
      <c r="C437" s="16" t="s">
        <v>885</v>
      </c>
      <c r="D437" s="17" t="s">
        <v>20</v>
      </c>
      <c r="E437" s="16">
        <v>1</v>
      </c>
      <c r="F437" s="9" t="str">
        <f>VLOOKUP(C437,[1]customers!$A$1:$I$1001, 2, FALSE)</f>
        <v>Chance Rowthorn</v>
      </c>
      <c r="G437" s="16" t="str">
        <f>VLOOKUP(orders!C437,[1]customers!$A$1:$I$1001, 3, FALSE)</f>
        <v>crowthornc3@msn.com</v>
      </c>
      <c r="H437" s="16" t="str">
        <f>VLOOKUP(C437, [1]customers!$A$1:$I$1001, 7, FALSE)</f>
        <v>United States</v>
      </c>
      <c r="I437" s="18" t="str">
        <f>VLOOKUP(orders!D437,[1]products!$A$1:$G$49, 2,FALSE)</f>
        <v>Exc</v>
      </c>
      <c r="J437" s="18" t="str">
        <f>VLOOKUP(orders!D437,[1]products!$A$1:$G$49, 3,FALSE)</f>
        <v>M</v>
      </c>
      <c r="K437" s="19">
        <f>VLOOKUP(orders!D437,[1]products!$A$1:$G$49, 4,FALSE)</f>
        <v>0.5</v>
      </c>
      <c r="L437" s="19">
        <f>VLOOKUP(orders!D437,[1]products!$A$1:$G$49, 5,FALSE)</f>
        <v>8.25</v>
      </c>
      <c r="M437" s="13">
        <f>PRODUCT(orders!$E437,orders!$L437)</f>
        <v>8.25</v>
      </c>
      <c r="N437" s="18" t="str">
        <f t="shared" si="12"/>
        <v>November</v>
      </c>
      <c r="O437" s="18">
        <f t="shared" si="13"/>
        <v>2021</v>
      </c>
      <c r="P437" s="11" t="str">
        <f>TEXT(orders!$B437, "DDD")</f>
        <v>Sun</v>
      </c>
      <c r="Q437" s="11" t="str">
        <f>VLOOKUP(orders!C437,[1]customers!$A$1:$I$1001, 6,FALSE)</f>
        <v>Topeka</v>
      </c>
    </row>
    <row r="438" spans="1:17" x14ac:dyDescent="0.3">
      <c r="A438" s="7" t="s">
        <v>886</v>
      </c>
      <c r="B438" s="8">
        <v>44631</v>
      </c>
      <c r="C438" s="9" t="s">
        <v>887</v>
      </c>
      <c r="D438" s="10" t="s">
        <v>36</v>
      </c>
      <c r="E438" s="9">
        <v>2</v>
      </c>
      <c r="F438" s="9" t="str">
        <f>VLOOKUP(C438,[1]customers!$A$1:$I$1001, 2, FALSE)</f>
        <v>Orly Ryland</v>
      </c>
      <c r="G438" s="9" t="str">
        <f>VLOOKUP(orders!C438,[1]customers!$A$1:$I$1001, 3, FALSE)</f>
        <v>orylandc4@deviantart.com</v>
      </c>
      <c r="H438" s="9" t="str">
        <f>VLOOKUP(C438, [1]customers!$A$1:$I$1001, 7, FALSE)</f>
        <v>United States</v>
      </c>
      <c r="I438" s="11" t="str">
        <f>VLOOKUP(orders!D438,[1]products!$A$1:$G$49, 2,FALSE)</f>
        <v>Lib</v>
      </c>
      <c r="J438" s="11" t="str">
        <f>VLOOKUP(orders!D438,[1]products!$A$1:$G$49, 3,FALSE)</f>
        <v>L</v>
      </c>
      <c r="K438" s="12">
        <f>VLOOKUP(orders!D438,[1]products!$A$1:$G$49, 4,FALSE)</f>
        <v>0.2</v>
      </c>
      <c r="L438" s="12">
        <f>VLOOKUP(orders!D438,[1]products!$A$1:$G$49, 5,FALSE)</f>
        <v>4.7549999999999999</v>
      </c>
      <c r="M438" s="13">
        <f>PRODUCT(orders!$E438,orders!$L438)</f>
        <v>9.51</v>
      </c>
      <c r="N438" s="11" t="str">
        <f t="shared" si="12"/>
        <v>March</v>
      </c>
      <c r="O438" s="11">
        <f t="shared" si="13"/>
        <v>2022</v>
      </c>
      <c r="P438" s="11" t="str">
        <f>TEXT(orders!$B438, "DDD")</f>
        <v>Fri</v>
      </c>
      <c r="Q438" s="11" t="str">
        <f>VLOOKUP(orders!C438,[1]customers!$A$1:$I$1001, 6,FALSE)</f>
        <v>Fargo</v>
      </c>
    </row>
    <row r="439" spans="1:17" x14ac:dyDescent="0.3">
      <c r="A439" s="14" t="s">
        <v>888</v>
      </c>
      <c r="B439" s="15">
        <v>44213</v>
      </c>
      <c r="C439" s="16" t="s">
        <v>889</v>
      </c>
      <c r="D439" s="17" t="s">
        <v>126</v>
      </c>
      <c r="E439" s="16">
        <v>1</v>
      </c>
      <c r="F439" s="9" t="str">
        <f>VLOOKUP(C439,[1]customers!$A$1:$I$1001, 2, FALSE)</f>
        <v>Willabella Abramski</v>
      </c>
      <c r="G439" s="16">
        <f>VLOOKUP(orders!C439,[1]customers!$A$1:$I$1001, 3, FALSE)</f>
        <v>0</v>
      </c>
      <c r="H439" s="16" t="str">
        <f>VLOOKUP(C439, [1]customers!$A$1:$I$1001, 7, FALSE)</f>
        <v>United States</v>
      </c>
      <c r="I439" s="18" t="str">
        <f>VLOOKUP(orders!D439,[1]products!$A$1:$G$49, 2,FALSE)</f>
        <v>Lib</v>
      </c>
      <c r="J439" s="18" t="str">
        <f>VLOOKUP(orders!D439,[1]products!$A$1:$G$49, 3,FALSE)</f>
        <v>D</v>
      </c>
      <c r="K439" s="19">
        <f>VLOOKUP(orders!D439,[1]products!$A$1:$G$49, 4,FALSE)</f>
        <v>2.5</v>
      </c>
      <c r="L439" s="19">
        <f>VLOOKUP(orders!D439,[1]products!$A$1:$G$49, 5,FALSE)</f>
        <v>29.784999999999997</v>
      </c>
      <c r="M439" s="13">
        <f>PRODUCT(orders!$E439,orders!$L439)</f>
        <v>29.784999999999997</v>
      </c>
      <c r="N439" s="18" t="str">
        <f t="shared" si="12"/>
        <v>January</v>
      </c>
      <c r="O439" s="18">
        <f t="shared" si="13"/>
        <v>2021</v>
      </c>
      <c r="P439" s="11" t="str">
        <f>TEXT(orders!$B439, "DDD")</f>
        <v>Sun</v>
      </c>
      <c r="Q439" s="11" t="str">
        <f>VLOOKUP(orders!C439,[1]customers!$A$1:$I$1001, 6,FALSE)</f>
        <v>Houston</v>
      </c>
    </row>
    <row r="440" spans="1:17" x14ac:dyDescent="0.3">
      <c r="A440" s="7" t="s">
        <v>890</v>
      </c>
      <c r="B440" s="8">
        <v>43483</v>
      </c>
      <c r="C440" s="9" t="s">
        <v>891</v>
      </c>
      <c r="D440" s="10" t="s">
        <v>140</v>
      </c>
      <c r="E440" s="9">
        <v>2</v>
      </c>
      <c r="F440" s="9" t="str">
        <f>VLOOKUP(C440,[1]customers!$A$1:$I$1001, 2, FALSE)</f>
        <v>Morgen Seson</v>
      </c>
      <c r="G440" s="9" t="str">
        <f>VLOOKUP(orders!C440,[1]customers!$A$1:$I$1001, 3, FALSE)</f>
        <v>msesonck@census.gov</v>
      </c>
      <c r="H440" s="9" t="str">
        <f>VLOOKUP(C440, [1]customers!$A$1:$I$1001, 7, FALSE)</f>
        <v>United States</v>
      </c>
      <c r="I440" s="11" t="str">
        <f>VLOOKUP(orders!D440,[1]products!$A$1:$G$49, 2,FALSE)</f>
        <v>Lib</v>
      </c>
      <c r="J440" s="11" t="str">
        <f>VLOOKUP(orders!D440,[1]products!$A$1:$G$49, 3,FALSE)</f>
        <v>D</v>
      </c>
      <c r="K440" s="12">
        <f>VLOOKUP(orders!D440,[1]products!$A$1:$G$49, 4,FALSE)</f>
        <v>0.5</v>
      </c>
      <c r="L440" s="12">
        <f>VLOOKUP(orders!D440,[1]products!$A$1:$G$49, 5,FALSE)</f>
        <v>7.77</v>
      </c>
      <c r="M440" s="13">
        <f>PRODUCT(orders!$E440,orders!$L440)</f>
        <v>15.54</v>
      </c>
      <c r="N440" s="11" t="str">
        <f t="shared" si="12"/>
        <v>January</v>
      </c>
      <c r="O440" s="11">
        <f t="shared" si="13"/>
        <v>2019</v>
      </c>
      <c r="P440" s="11" t="str">
        <f>TEXT(orders!$B440, "DDD")</f>
        <v>Fri</v>
      </c>
      <c r="Q440" s="11" t="str">
        <f>VLOOKUP(orders!C440,[1]customers!$A$1:$I$1001, 6,FALSE)</f>
        <v>Seattle</v>
      </c>
    </row>
    <row r="441" spans="1:17" x14ac:dyDescent="0.3">
      <c r="A441" s="14" t="s">
        <v>892</v>
      </c>
      <c r="B441" s="15">
        <v>43562</v>
      </c>
      <c r="C441" s="16" t="s">
        <v>893</v>
      </c>
      <c r="D441" s="17" t="s">
        <v>193</v>
      </c>
      <c r="E441" s="16">
        <v>4</v>
      </c>
      <c r="F441" s="9" t="str">
        <f>VLOOKUP(C441,[1]customers!$A$1:$I$1001, 2, FALSE)</f>
        <v>Chickie Ragless</v>
      </c>
      <c r="G441" s="16" t="str">
        <f>VLOOKUP(orders!C441,[1]customers!$A$1:$I$1001, 3, FALSE)</f>
        <v>craglessc7@webmd.com</v>
      </c>
      <c r="H441" s="16" t="str">
        <f>VLOOKUP(C441, [1]customers!$A$1:$I$1001, 7, FALSE)</f>
        <v>Ireland</v>
      </c>
      <c r="I441" s="18" t="str">
        <f>VLOOKUP(orders!D441,[1]products!$A$1:$G$49, 2,FALSE)</f>
        <v>Exc</v>
      </c>
      <c r="J441" s="18" t="str">
        <f>VLOOKUP(orders!D441,[1]products!$A$1:$G$49, 3,FALSE)</f>
        <v>L</v>
      </c>
      <c r="K441" s="19">
        <f>VLOOKUP(orders!D441,[1]products!$A$1:$G$49, 4,FALSE)</f>
        <v>0.5</v>
      </c>
      <c r="L441" s="19">
        <f>VLOOKUP(orders!D441,[1]products!$A$1:$G$49, 5,FALSE)</f>
        <v>8.91</v>
      </c>
      <c r="M441" s="13">
        <f>PRODUCT(orders!$E441,orders!$L441)</f>
        <v>35.64</v>
      </c>
      <c r="N441" s="18" t="str">
        <f t="shared" si="12"/>
        <v>April</v>
      </c>
      <c r="O441" s="18">
        <f t="shared" si="13"/>
        <v>2019</v>
      </c>
      <c r="P441" s="11" t="str">
        <f>TEXT(orders!$B441, "DDD")</f>
        <v>Sun</v>
      </c>
      <c r="Q441" s="11" t="str">
        <f>VLOOKUP(orders!C441,[1]customers!$A$1:$I$1001, 6,FALSE)</f>
        <v>Caherconlish</v>
      </c>
    </row>
    <row r="442" spans="1:17" x14ac:dyDescent="0.3">
      <c r="A442" s="7" t="s">
        <v>894</v>
      </c>
      <c r="B442" s="8">
        <v>44230</v>
      </c>
      <c r="C442" s="9" t="s">
        <v>895</v>
      </c>
      <c r="D442" s="10" t="s">
        <v>188</v>
      </c>
      <c r="E442" s="9">
        <v>4</v>
      </c>
      <c r="F442" s="9" t="str">
        <f>VLOOKUP(C442,[1]customers!$A$1:$I$1001, 2, FALSE)</f>
        <v>Freda Hollows</v>
      </c>
      <c r="G442" s="9" t="str">
        <f>VLOOKUP(orders!C442,[1]customers!$A$1:$I$1001, 3, FALSE)</f>
        <v>fhollowsc8@blogtalkradio.com</v>
      </c>
      <c r="H442" s="9" t="str">
        <f>VLOOKUP(C442, [1]customers!$A$1:$I$1001, 7, FALSE)</f>
        <v>United States</v>
      </c>
      <c r="I442" s="11" t="str">
        <f>VLOOKUP(orders!D442,[1]products!$A$1:$G$49, 2,FALSE)</f>
        <v>Ara</v>
      </c>
      <c r="J442" s="11" t="str">
        <f>VLOOKUP(orders!D442,[1]products!$A$1:$G$49, 3,FALSE)</f>
        <v>M</v>
      </c>
      <c r="K442" s="12">
        <f>VLOOKUP(orders!D442,[1]products!$A$1:$G$49, 4,FALSE)</f>
        <v>2.5</v>
      </c>
      <c r="L442" s="12">
        <f>VLOOKUP(orders!D442,[1]products!$A$1:$G$49, 5,FALSE)</f>
        <v>25.874999999999996</v>
      </c>
      <c r="M442" s="13">
        <f>PRODUCT(orders!$E442,orders!$L442)</f>
        <v>103.49999999999999</v>
      </c>
      <c r="N442" s="11" t="str">
        <f t="shared" si="12"/>
        <v>February</v>
      </c>
      <c r="O442" s="11">
        <f t="shared" si="13"/>
        <v>2021</v>
      </c>
      <c r="P442" s="11" t="str">
        <f>TEXT(orders!$B442, "DDD")</f>
        <v>Wed</v>
      </c>
      <c r="Q442" s="11" t="str">
        <f>VLOOKUP(orders!C442,[1]customers!$A$1:$I$1001, 6,FALSE)</f>
        <v>Buffalo</v>
      </c>
    </row>
    <row r="443" spans="1:17" x14ac:dyDescent="0.3">
      <c r="A443" s="14" t="s">
        <v>896</v>
      </c>
      <c r="B443" s="15">
        <v>43573</v>
      </c>
      <c r="C443" s="16" t="s">
        <v>897</v>
      </c>
      <c r="D443" s="17" t="s">
        <v>262</v>
      </c>
      <c r="E443" s="16">
        <v>3</v>
      </c>
      <c r="F443" s="9" t="str">
        <f>VLOOKUP(C443,[1]customers!$A$1:$I$1001, 2, FALSE)</f>
        <v>Livy Lathleiff</v>
      </c>
      <c r="G443" s="16" t="str">
        <f>VLOOKUP(orders!C443,[1]customers!$A$1:$I$1001, 3, FALSE)</f>
        <v>llathleiffc9@nationalgeographic.com</v>
      </c>
      <c r="H443" s="16" t="str">
        <f>VLOOKUP(C443, [1]customers!$A$1:$I$1001, 7, FALSE)</f>
        <v>Ireland</v>
      </c>
      <c r="I443" s="18" t="str">
        <f>VLOOKUP(orders!D443,[1]products!$A$1:$G$49, 2,FALSE)</f>
        <v>Exc</v>
      </c>
      <c r="J443" s="18" t="str">
        <f>VLOOKUP(orders!D443,[1]products!$A$1:$G$49, 3,FALSE)</f>
        <v>D</v>
      </c>
      <c r="K443" s="19">
        <f>VLOOKUP(orders!D443,[1]products!$A$1:$G$49, 4,FALSE)</f>
        <v>1</v>
      </c>
      <c r="L443" s="19">
        <f>VLOOKUP(orders!D443,[1]products!$A$1:$G$49, 5,FALSE)</f>
        <v>12.15</v>
      </c>
      <c r="M443" s="13">
        <f>PRODUCT(orders!$E443,orders!$L443)</f>
        <v>36.450000000000003</v>
      </c>
      <c r="N443" s="18" t="str">
        <f t="shared" si="12"/>
        <v>April</v>
      </c>
      <c r="O443" s="18">
        <f t="shared" si="13"/>
        <v>2019</v>
      </c>
      <c r="P443" s="11" t="str">
        <f>TEXT(orders!$B443, "DDD")</f>
        <v>Thu</v>
      </c>
      <c r="Q443" s="11" t="str">
        <f>VLOOKUP(orders!C443,[1]customers!$A$1:$I$1001, 6,FALSE)</f>
        <v>Shankill</v>
      </c>
    </row>
    <row r="444" spans="1:17" x14ac:dyDescent="0.3">
      <c r="A444" s="7" t="s">
        <v>898</v>
      </c>
      <c r="B444" s="8">
        <v>44384</v>
      </c>
      <c r="C444" s="9" t="s">
        <v>899</v>
      </c>
      <c r="D444" s="10" t="s">
        <v>174</v>
      </c>
      <c r="E444" s="9">
        <v>5</v>
      </c>
      <c r="F444" s="9" t="str">
        <f>VLOOKUP(C444,[1]customers!$A$1:$I$1001, 2, FALSE)</f>
        <v>Koralle Heads</v>
      </c>
      <c r="G444" s="9" t="str">
        <f>VLOOKUP(orders!C444,[1]customers!$A$1:$I$1001, 3, FALSE)</f>
        <v>kheadsca@jalbum.net</v>
      </c>
      <c r="H444" s="9" t="str">
        <f>VLOOKUP(C444, [1]customers!$A$1:$I$1001, 7, FALSE)</f>
        <v>United States</v>
      </c>
      <c r="I444" s="11" t="str">
        <f>VLOOKUP(orders!D444,[1]products!$A$1:$G$49, 2,FALSE)</f>
        <v>Rob</v>
      </c>
      <c r="J444" s="11" t="str">
        <f>VLOOKUP(orders!D444,[1]products!$A$1:$G$49, 3,FALSE)</f>
        <v>L</v>
      </c>
      <c r="K444" s="12">
        <f>VLOOKUP(orders!D444,[1]products!$A$1:$G$49, 4,FALSE)</f>
        <v>0.5</v>
      </c>
      <c r="L444" s="12">
        <f>VLOOKUP(orders!D444,[1]products!$A$1:$G$49, 5,FALSE)</f>
        <v>7.169999999999999</v>
      </c>
      <c r="M444" s="13">
        <f>PRODUCT(orders!$E444,orders!$L444)</f>
        <v>35.849999999999994</v>
      </c>
      <c r="N444" s="11" t="str">
        <f t="shared" si="12"/>
        <v>July</v>
      </c>
      <c r="O444" s="11">
        <f t="shared" si="13"/>
        <v>2021</v>
      </c>
      <c r="P444" s="11" t="str">
        <f>TEXT(orders!$B444, "DDD")</f>
        <v>Wed</v>
      </c>
      <c r="Q444" s="11" t="str">
        <f>VLOOKUP(orders!C444,[1]customers!$A$1:$I$1001, 6,FALSE)</f>
        <v>Bethlehem</v>
      </c>
    </row>
    <row r="445" spans="1:17" x14ac:dyDescent="0.3">
      <c r="A445" s="14" t="s">
        <v>900</v>
      </c>
      <c r="B445" s="15">
        <v>44250</v>
      </c>
      <c r="C445" s="16" t="s">
        <v>901</v>
      </c>
      <c r="D445" s="17" t="s">
        <v>271</v>
      </c>
      <c r="E445" s="16">
        <v>5</v>
      </c>
      <c r="F445" s="9" t="str">
        <f>VLOOKUP(C445,[1]customers!$A$1:$I$1001, 2, FALSE)</f>
        <v>Theo Bowne</v>
      </c>
      <c r="G445" s="16" t="str">
        <f>VLOOKUP(orders!C445,[1]customers!$A$1:$I$1001, 3, FALSE)</f>
        <v>tbownecb@unicef.org</v>
      </c>
      <c r="H445" s="16" t="str">
        <f>VLOOKUP(C445, [1]customers!$A$1:$I$1001, 7, FALSE)</f>
        <v>Ireland</v>
      </c>
      <c r="I445" s="18" t="str">
        <f>VLOOKUP(orders!D445,[1]products!$A$1:$G$49, 2,FALSE)</f>
        <v>Exc</v>
      </c>
      <c r="J445" s="18" t="str">
        <f>VLOOKUP(orders!D445,[1]products!$A$1:$G$49, 3,FALSE)</f>
        <v>L</v>
      </c>
      <c r="K445" s="19">
        <f>VLOOKUP(orders!D445,[1]products!$A$1:$G$49, 4,FALSE)</f>
        <v>0.2</v>
      </c>
      <c r="L445" s="19">
        <f>VLOOKUP(orders!D445,[1]products!$A$1:$G$49, 5,FALSE)</f>
        <v>4.4550000000000001</v>
      </c>
      <c r="M445" s="13">
        <f>PRODUCT(orders!$E445,orders!$L445)</f>
        <v>22.274999999999999</v>
      </c>
      <c r="N445" s="18" t="str">
        <f t="shared" si="12"/>
        <v>February</v>
      </c>
      <c r="O445" s="18">
        <f t="shared" si="13"/>
        <v>2021</v>
      </c>
      <c r="P445" s="11" t="str">
        <f>TEXT(orders!$B445, "DDD")</f>
        <v>Tue</v>
      </c>
      <c r="Q445" s="11" t="str">
        <f>VLOOKUP(orders!C445,[1]customers!$A$1:$I$1001, 6,FALSE)</f>
        <v>Watergrasshill</v>
      </c>
    </row>
    <row r="446" spans="1:17" x14ac:dyDescent="0.3">
      <c r="A446" s="7" t="s">
        <v>902</v>
      </c>
      <c r="B446" s="8">
        <v>44418</v>
      </c>
      <c r="C446" s="9" t="s">
        <v>903</v>
      </c>
      <c r="D446" s="10" t="s">
        <v>81</v>
      </c>
      <c r="E446" s="9">
        <v>6</v>
      </c>
      <c r="F446" s="9" t="str">
        <f>VLOOKUP(C446,[1]customers!$A$1:$I$1001, 2, FALSE)</f>
        <v>Rasia Jacquemard</v>
      </c>
      <c r="G446" s="9" t="str">
        <f>VLOOKUP(orders!C446,[1]customers!$A$1:$I$1001, 3, FALSE)</f>
        <v>rjacquemardcc@acquirethisname.com</v>
      </c>
      <c r="H446" s="9" t="str">
        <f>VLOOKUP(C446, [1]customers!$A$1:$I$1001, 7, FALSE)</f>
        <v>Ireland</v>
      </c>
      <c r="I446" s="11" t="str">
        <f>VLOOKUP(orders!D446,[1]products!$A$1:$G$49, 2,FALSE)</f>
        <v>Exc</v>
      </c>
      <c r="J446" s="11" t="str">
        <f>VLOOKUP(orders!D446,[1]products!$A$1:$G$49, 3,FALSE)</f>
        <v>M</v>
      </c>
      <c r="K446" s="12">
        <f>VLOOKUP(orders!D446,[1]products!$A$1:$G$49, 4,FALSE)</f>
        <v>0.2</v>
      </c>
      <c r="L446" s="12">
        <f>VLOOKUP(orders!D446,[1]products!$A$1:$G$49, 5,FALSE)</f>
        <v>4.125</v>
      </c>
      <c r="M446" s="13">
        <f>PRODUCT(orders!$E446,orders!$L446)</f>
        <v>24.75</v>
      </c>
      <c r="N446" s="11" t="str">
        <f t="shared" si="12"/>
        <v>August</v>
      </c>
      <c r="O446" s="11">
        <f t="shared" si="13"/>
        <v>2021</v>
      </c>
      <c r="P446" s="11" t="str">
        <f>TEXT(orders!$B446, "DDD")</f>
        <v>Tue</v>
      </c>
      <c r="Q446" s="11" t="str">
        <f>VLOOKUP(orders!C446,[1]customers!$A$1:$I$1001, 6,FALSE)</f>
        <v>Monasterevin</v>
      </c>
    </row>
    <row r="447" spans="1:17" x14ac:dyDescent="0.3">
      <c r="A447" s="14" t="s">
        <v>904</v>
      </c>
      <c r="B447" s="15">
        <v>43784</v>
      </c>
      <c r="C447" s="16" t="s">
        <v>905</v>
      </c>
      <c r="D447" s="17" t="s">
        <v>214</v>
      </c>
      <c r="E447" s="16">
        <v>2</v>
      </c>
      <c r="F447" s="9" t="str">
        <f>VLOOKUP(C447,[1]customers!$A$1:$I$1001, 2, FALSE)</f>
        <v>Kizzie Warman</v>
      </c>
      <c r="G447" s="16" t="str">
        <f>VLOOKUP(orders!C447,[1]customers!$A$1:$I$1001, 3, FALSE)</f>
        <v>kwarmancd@printfriendly.com</v>
      </c>
      <c r="H447" s="16" t="str">
        <f>VLOOKUP(C447, [1]customers!$A$1:$I$1001, 7, FALSE)</f>
        <v>Ireland</v>
      </c>
      <c r="I447" s="18" t="str">
        <f>VLOOKUP(orders!D447,[1]products!$A$1:$G$49, 2,FALSE)</f>
        <v>Lib</v>
      </c>
      <c r="J447" s="18" t="str">
        <f>VLOOKUP(orders!D447,[1]products!$A$1:$G$49, 3,FALSE)</f>
        <v>M</v>
      </c>
      <c r="K447" s="19">
        <f>VLOOKUP(orders!D447,[1]products!$A$1:$G$49, 4,FALSE)</f>
        <v>2.5</v>
      </c>
      <c r="L447" s="19">
        <f>VLOOKUP(orders!D447,[1]products!$A$1:$G$49, 5,FALSE)</f>
        <v>33.464999999999996</v>
      </c>
      <c r="M447" s="13">
        <f>PRODUCT(orders!$E447,orders!$L447)</f>
        <v>66.929999999999993</v>
      </c>
      <c r="N447" s="18" t="str">
        <f t="shared" si="12"/>
        <v>November</v>
      </c>
      <c r="O447" s="18">
        <f t="shared" si="13"/>
        <v>2019</v>
      </c>
      <c r="P447" s="11" t="str">
        <f>TEXT(orders!$B447, "DDD")</f>
        <v>Fri</v>
      </c>
      <c r="Q447" s="11" t="str">
        <f>VLOOKUP(orders!C447,[1]customers!$A$1:$I$1001, 6,FALSE)</f>
        <v>Sandyford</v>
      </c>
    </row>
    <row r="448" spans="1:17" x14ac:dyDescent="0.3">
      <c r="A448" s="7" t="s">
        <v>906</v>
      </c>
      <c r="B448" s="8">
        <v>43816</v>
      </c>
      <c r="C448" s="9" t="s">
        <v>907</v>
      </c>
      <c r="D448" s="10" t="s">
        <v>95</v>
      </c>
      <c r="E448" s="9">
        <v>1</v>
      </c>
      <c r="F448" s="9" t="str">
        <f>VLOOKUP(C448,[1]customers!$A$1:$I$1001, 2, FALSE)</f>
        <v>Wain Cholomin</v>
      </c>
      <c r="G448" s="9" t="str">
        <f>VLOOKUP(orders!C448,[1]customers!$A$1:$I$1001, 3, FALSE)</f>
        <v>wcholomince@about.com</v>
      </c>
      <c r="H448" s="9" t="str">
        <f>VLOOKUP(C448, [1]customers!$A$1:$I$1001, 7, FALSE)</f>
        <v>United Kingdom</v>
      </c>
      <c r="I448" s="11" t="str">
        <f>VLOOKUP(orders!D448,[1]products!$A$1:$G$49, 2,FALSE)</f>
        <v>Lib</v>
      </c>
      <c r="J448" s="11" t="str">
        <f>VLOOKUP(orders!D448,[1]products!$A$1:$G$49, 3,FALSE)</f>
        <v>M</v>
      </c>
      <c r="K448" s="12">
        <f>VLOOKUP(orders!D448,[1]products!$A$1:$G$49, 4,FALSE)</f>
        <v>0.5</v>
      </c>
      <c r="L448" s="12">
        <f>VLOOKUP(orders!D448,[1]products!$A$1:$G$49, 5,FALSE)</f>
        <v>8.73</v>
      </c>
      <c r="M448" s="13">
        <f>PRODUCT(orders!$E448,orders!$L448)</f>
        <v>8.73</v>
      </c>
      <c r="N448" s="11" t="str">
        <f t="shared" si="12"/>
        <v>December</v>
      </c>
      <c r="O448" s="11">
        <f t="shared" si="13"/>
        <v>2019</v>
      </c>
      <c r="P448" s="11" t="str">
        <f>TEXT(orders!$B448, "DDD")</f>
        <v>Tue</v>
      </c>
      <c r="Q448" s="11" t="str">
        <f>VLOOKUP(orders!C448,[1]customers!$A$1:$I$1001, 6,FALSE)</f>
        <v>Birmingham</v>
      </c>
    </row>
    <row r="449" spans="1:17" x14ac:dyDescent="0.3">
      <c r="A449" s="14" t="s">
        <v>908</v>
      </c>
      <c r="B449" s="15">
        <v>43908</v>
      </c>
      <c r="C449" s="16" t="s">
        <v>909</v>
      </c>
      <c r="D449" s="17" t="s">
        <v>39</v>
      </c>
      <c r="E449" s="16">
        <v>3</v>
      </c>
      <c r="F449" s="9" t="str">
        <f>VLOOKUP(C449,[1]customers!$A$1:$I$1001, 2, FALSE)</f>
        <v>Arleen Braidman</v>
      </c>
      <c r="G449" s="16" t="str">
        <f>VLOOKUP(orders!C449,[1]customers!$A$1:$I$1001, 3, FALSE)</f>
        <v>abraidmancf@census.gov</v>
      </c>
      <c r="H449" s="16" t="str">
        <f>VLOOKUP(C449, [1]customers!$A$1:$I$1001, 7, FALSE)</f>
        <v>United States</v>
      </c>
      <c r="I449" s="18" t="str">
        <f>VLOOKUP(orders!D449,[1]products!$A$1:$G$49, 2,FALSE)</f>
        <v>Rob</v>
      </c>
      <c r="J449" s="18" t="str">
        <f>VLOOKUP(orders!D449,[1]products!$A$1:$G$49, 3,FALSE)</f>
        <v>M</v>
      </c>
      <c r="K449" s="19">
        <f>VLOOKUP(orders!D449,[1]products!$A$1:$G$49, 4,FALSE)</f>
        <v>0.5</v>
      </c>
      <c r="L449" s="19">
        <f>VLOOKUP(orders!D449,[1]products!$A$1:$G$49, 5,FALSE)</f>
        <v>5.97</v>
      </c>
      <c r="M449" s="13">
        <f>PRODUCT(orders!$E449,orders!$L449)</f>
        <v>17.91</v>
      </c>
      <c r="N449" s="18" t="str">
        <f t="shared" si="12"/>
        <v>March</v>
      </c>
      <c r="O449" s="18">
        <f t="shared" si="13"/>
        <v>2020</v>
      </c>
      <c r="P449" s="11" t="str">
        <f>TEXT(orders!$B449, "DDD")</f>
        <v>Wed</v>
      </c>
      <c r="Q449" s="11" t="str">
        <f>VLOOKUP(orders!C449,[1]customers!$A$1:$I$1001, 6,FALSE)</f>
        <v>Phoenix</v>
      </c>
    </row>
    <row r="450" spans="1:17" x14ac:dyDescent="0.3">
      <c r="A450" s="7" t="s">
        <v>910</v>
      </c>
      <c r="B450" s="8">
        <v>44718</v>
      </c>
      <c r="C450" s="9" t="s">
        <v>911</v>
      </c>
      <c r="D450" s="10" t="s">
        <v>174</v>
      </c>
      <c r="E450" s="9">
        <v>1</v>
      </c>
      <c r="F450" s="9" t="str">
        <f>VLOOKUP(C450,[1]customers!$A$1:$I$1001, 2, FALSE)</f>
        <v>Pru Durban</v>
      </c>
      <c r="G450" s="9" t="str">
        <f>VLOOKUP(orders!C450,[1]customers!$A$1:$I$1001, 3, FALSE)</f>
        <v>pdurbancg@symantec.com</v>
      </c>
      <c r="H450" s="9" t="str">
        <f>VLOOKUP(C450, [1]customers!$A$1:$I$1001, 7, FALSE)</f>
        <v>Ireland</v>
      </c>
      <c r="I450" s="11" t="str">
        <f>VLOOKUP(orders!D450,[1]products!$A$1:$G$49, 2,FALSE)</f>
        <v>Rob</v>
      </c>
      <c r="J450" s="11" t="str">
        <f>VLOOKUP(orders!D450,[1]products!$A$1:$G$49, 3,FALSE)</f>
        <v>L</v>
      </c>
      <c r="K450" s="12">
        <f>VLOOKUP(orders!D450,[1]products!$A$1:$G$49, 4,FALSE)</f>
        <v>0.5</v>
      </c>
      <c r="L450" s="12">
        <f>VLOOKUP(orders!D450,[1]products!$A$1:$G$49, 5,FALSE)</f>
        <v>7.169999999999999</v>
      </c>
      <c r="M450" s="13">
        <f>PRODUCT(orders!$E450,orders!$L450)</f>
        <v>7.169999999999999</v>
      </c>
      <c r="N450" s="11" t="str">
        <f t="shared" ref="N450:N513" si="14">TEXT(B450, "mmmm")</f>
        <v>June</v>
      </c>
      <c r="O450" s="11">
        <f t="shared" ref="O450:O513" si="15">YEAR(B450)</f>
        <v>2022</v>
      </c>
      <c r="P450" s="11" t="str">
        <f>TEXT(orders!$B450, "DDD")</f>
        <v>Mon</v>
      </c>
      <c r="Q450" s="11" t="str">
        <f>VLOOKUP(orders!C450,[1]customers!$A$1:$I$1001, 6,FALSE)</f>
        <v>Longford</v>
      </c>
    </row>
    <row r="451" spans="1:17" x14ac:dyDescent="0.3">
      <c r="A451" s="14" t="s">
        <v>912</v>
      </c>
      <c r="B451" s="15">
        <v>44336</v>
      </c>
      <c r="C451" s="16" t="s">
        <v>913</v>
      </c>
      <c r="D451" s="17" t="s">
        <v>118</v>
      </c>
      <c r="E451" s="16">
        <v>2</v>
      </c>
      <c r="F451" s="9" t="str">
        <f>VLOOKUP(C451,[1]customers!$A$1:$I$1001, 2, FALSE)</f>
        <v>Antone Harrold</v>
      </c>
      <c r="G451" s="16" t="str">
        <f>VLOOKUP(orders!C451,[1]customers!$A$1:$I$1001, 3, FALSE)</f>
        <v>aharroldch@miibeian.gov.cn</v>
      </c>
      <c r="H451" s="16" t="str">
        <f>VLOOKUP(C451, [1]customers!$A$1:$I$1001, 7, FALSE)</f>
        <v>United States</v>
      </c>
      <c r="I451" s="18" t="str">
        <f>VLOOKUP(orders!D451,[1]products!$A$1:$G$49, 2,FALSE)</f>
        <v>Rob</v>
      </c>
      <c r="J451" s="18" t="str">
        <f>VLOOKUP(orders!D451,[1]products!$A$1:$G$49, 3,FALSE)</f>
        <v>D</v>
      </c>
      <c r="K451" s="19">
        <f>VLOOKUP(orders!D451,[1]products!$A$1:$G$49, 4,FALSE)</f>
        <v>0.2</v>
      </c>
      <c r="L451" s="19">
        <f>VLOOKUP(orders!D451,[1]products!$A$1:$G$49, 5,FALSE)</f>
        <v>2.6849999999999996</v>
      </c>
      <c r="M451" s="13">
        <f>PRODUCT(orders!$E451,orders!$L451)</f>
        <v>5.3699999999999992</v>
      </c>
      <c r="N451" s="18" t="str">
        <f t="shared" si="14"/>
        <v>May</v>
      </c>
      <c r="O451" s="18">
        <f t="shared" si="15"/>
        <v>2021</v>
      </c>
      <c r="P451" s="11" t="str">
        <f>TEXT(orders!$B451, "DDD")</f>
        <v>Thu</v>
      </c>
      <c r="Q451" s="11" t="str">
        <f>VLOOKUP(orders!C451,[1]customers!$A$1:$I$1001, 6,FALSE)</f>
        <v>Toledo</v>
      </c>
    </row>
    <row r="452" spans="1:17" x14ac:dyDescent="0.3">
      <c r="A452" s="7" t="s">
        <v>914</v>
      </c>
      <c r="B452" s="8">
        <v>44207</v>
      </c>
      <c r="C452" s="9" t="s">
        <v>915</v>
      </c>
      <c r="D452" s="10" t="s">
        <v>36</v>
      </c>
      <c r="E452" s="9">
        <v>5</v>
      </c>
      <c r="F452" s="9" t="str">
        <f>VLOOKUP(C452,[1]customers!$A$1:$I$1001, 2, FALSE)</f>
        <v>Sim Pamphilon</v>
      </c>
      <c r="G452" s="9" t="str">
        <f>VLOOKUP(orders!C452,[1]customers!$A$1:$I$1001, 3, FALSE)</f>
        <v>spamphilonci@mlb.com</v>
      </c>
      <c r="H452" s="9" t="str">
        <f>VLOOKUP(C452, [1]customers!$A$1:$I$1001, 7, FALSE)</f>
        <v>Ireland</v>
      </c>
      <c r="I452" s="11" t="str">
        <f>VLOOKUP(orders!D452,[1]products!$A$1:$G$49, 2,FALSE)</f>
        <v>Lib</v>
      </c>
      <c r="J452" s="11" t="str">
        <f>VLOOKUP(orders!D452,[1]products!$A$1:$G$49, 3,FALSE)</f>
        <v>L</v>
      </c>
      <c r="K452" s="12">
        <f>VLOOKUP(orders!D452,[1]products!$A$1:$G$49, 4,FALSE)</f>
        <v>0.2</v>
      </c>
      <c r="L452" s="12">
        <f>VLOOKUP(orders!D452,[1]products!$A$1:$G$49, 5,FALSE)</f>
        <v>4.7549999999999999</v>
      </c>
      <c r="M452" s="13">
        <f>PRODUCT(orders!$E452,orders!$L452)</f>
        <v>23.774999999999999</v>
      </c>
      <c r="N452" s="11" t="str">
        <f t="shared" si="14"/>
        <v>January</v>
      </c>
      <c r="O452" s="11">
        <f t="shared" si="15"/>
        <v>2021</v>
      </c>
      <c r="P452" s="11" t="str">
        <f>TEXT(orders!$B452, "DDD")</f>
        <v>Mon</v>
      </c>
      <c r="Q452" s="11" t="str">
        <f>VLOOKUP(orders!C452,[1]customers!$A$1:$I$1001, 6,FALSE)</f>
        <v>Ballylinan</v>
      </c>
    </row>
    <row r="453" spans="1:17" x14ac:dyDescent="0.3">
      <c r="A453" s="14" t="s">
        <v>916</v>
      </c>
      <c r="B453" s="15">
        <v>43518</v>
      </c>
      <c r="C453" s="16" t="s">
        <v>917</v>
      </c>
      <c r="D453" s="17" t="s">
        <v>52</v>
      </c>
      <c r="E453" s="16">
        <v>2</v>
      </c>
      <c r="F453" s="9" t="str">
        <f>VLOOKUP(C453,[1]customers!$A$1:$I$1001, 2, FALSE)</f>
        <v>Mohandis Spurden</v>
      </c>
      <c r="G453" s="16" t="str">
        <f>VLOOKUP(orders!C453,[1]customers!$A$1:$I$1001, 3, FALSE)</f>
        <v>mspurdencj@exblog.jp</v>
      </c>
      <c r="H453" s="16" t="str">
        <f>VLOOKUP(C453, [1]customers!$A$1:$I$1001, 7, FALSE)</f>
        <v>United States</v>
      </c>
      <c r="I453" s="18" t="str">
        <f>VLOOKUP(orders!D453,[1]products!$A$1:$G$49, 2,FALSE)</f>
        <v>Rob</v>
      </c>
      <c r="J453" s="18" t="str">
        <f>VLOOKUP(orders!D453,[1]products!$A$1:$G$49, 3,FALSE)</f>
        <v>D</v>
      </c>
      <c r="K453" s="19">
        <f>VLOOKUP(orders!D453,[1]products!$A$1:$G$49, 4,FALSE)</f>
        <v>2.5</v>
      </c>
      <c r="L453" s="19">
        <f>VLOOKUP(orders!D453,[1]products!$A$1:$G$49, 5,FALSE)</f>
        <v>20.584999999999997</v>
      </c>
      <c r="M453" s="13">
        <f>PRODUCT(orders!$E453,orders!$L453)</f>
        <v>41.169999999999995</v>
      </c>
      <c r="N453" s="18" t="str">
        <f t="shared" si="14"/>
        <v>February</v>
      </c>
      <c r="O453" s="18">
        <f t="shared" si="15"/>
        <v>2019</v>
      </c>
      <c r="P453" s="11" t="str">
        <f>TEXT(orders!$B453, "DDD")</f>
        <v>Fri</v>
      </c>
      <c r="Q453" s="11" t="str">
        <f>VLOOKUP(orders!C453,[1]customers!$A$1:$I$1001, 6,FALSE)</f>
        <v>Charlotte</v>
      </c>
    </row>
    <row r="454" spans="1:17" x14ac:dyDescent="0.3">
      <c r="A454" s="7" t="s">
        <v>918</v>
      </c>
      <c r="B454" s="8">
        <v>44524</v>
      </c>
      <c r="C454" s="9" t="s">
        <v>891</v>
      </c>
      <c r="D454" s="10" t="s">
        <v>132</v>
      </c>
      <c r="E454" s="9">
        <v>3</v>
      </c>
      <c r="F454" s="9" t="str">
        <f>VLOOKUP(C454,[1]customers!$A$1:$I$1001, 2, FALSE)</f>
        <v>Morgen Seson</v>
      </c>
      <c r="G454" s="9" t="str">
        <f>VLOOKUP(orders!C454,[1]customers!$A$1:$I$1001, 3, FALSE)</f>
        <v>msesonck@census.gov</v>
      </c>
      <c r="H454" s="9" t="str">
        <f>VLOOKUP(C454, [1]customers!$A$1:$I$1001, 7, FALSE)</f>
        <v>United States</v>
      </c>
      <c r="I454" s="11" t="str">
        <f>VLOOKUP(orders!D454,[1]products!$A$1:$G$49, 2,FALSE)</f>
        <v>Ara</v>
      </c>
      <c r="J454" s="11" t="str">
        <f>VLOOKUP(orders!D454,[1]products!$A$1:$G$49, 3,FALSE)</f>
        <v>L</v>
      </c>
      <c r="K454" s="12">
        <f>VLOOKUP(orders!D454,[1]products!$A$1:$G$49, 4,FALSE)</f>
        <v>0.2</v>
      </c>
      <c r="L454" s="12">
        <f>VLOOKUP(orders!D454,[1]products!$A$1:$G$49, 5,FALSE)</f>
        <v>3.8849999999999998</v>
      </c>
      <c r="M454" s="13">
        <f>PRODUCT(orders!$E454,orders!$L454)</f>
        <v>11.654999999999999</v>
      </c>
      <c r="N454" s="11" t="str">
        <f t="shared" si="14"/>
        <v>November</v>
      </c>
      <c r="O454" s="11">
        <f t="shared" si="15"/>
        <v>2021</v>
      </c>
      <c r="P454" s="11" t="str">
        <f>TEXT(orders!$B454, "DDD")</f>
        <v>Wed</v>
      </c>
      <c r="Q454" s="11" t="str">
        <f>VLOOKUP(orders!C454,[1]customers!$A$1:$I$1001, 6,FALSE)</f>
        <v>Seattle</v>
      </c>
    </row>
    <row r="455" spans="1:17" x14ac:dyDescent="0.3">
      <c r="A455" s="14" t="s">
        <v>919</v>
      </c>
      <c r="B455" s="15">
        <v>44579</v>
      </c>
      <c r="C455" s="16" t="s">
        <v>920</v>
      </c>
      <c r="D455" s="17" t="s">
        <v>100</v>
      </c>
      <c r="E455" s="16">
        <v>4</v>
      </c>
      <c r="F455" s="9" t="str">
        <f>VLOOKUP(C455,[1]customers!$A$1:$I$1001, 2, FALSE)</f>
        <v>Nalani Pirrone</v>
      </c>
      <c r="G455" s="16" t="str">
        <f>VLOOKUP(orders!C455,[1]customers!$A$1:$I$1001, 3, FALSE)</f>
        <v>npirronecl@weibo.com</v>
      </c>
      <c r="H455" s="16" t="str">
        <f>VLOOKUP(C455, [1]customers!$A$1:$I$1001, 7, FALSE)</f>
        <v>United States</v>
      </c>
      <c r="I455" s="18" t="str">
        <f>VLOOKUP(orders!D455,[1]products!$A$1:$G$49, 2,FALSE)</f>
        <v>Lib</v>
      </c>
      <c r="J455" s="18" t="str">
        <f>VLOOKUP(orders!D455,[1]products!$A$1:$G$49, 3,FALSE)</f>
        <v>L</v>
      </c>
      <c r="K455" s="19">
        <f>VLOOKUP(orders!D455,[1]products!$A$1:$G$49, 4,FALSE)</f>
        <v>0.5</v>
      </c>
      <c r="L455" s="19">
        <f>VLOOKUP(orders!D455,[1]products!$A$1:$G$49, 5,FALSE)</f>
        <v>9.51</v>
      </c>
      <c r="M455" s="13">
        <f>PRODUCT(orders!$E455,orders!$L455)</f>
        <v>38.04</v>
      </c>
      <c r="N455" s="18" t="str">
        <f t="shared" si="14"/>
        <v>January</v>
      </c>
      <c r="O455" s="18">
        <f t="shared" si="15"/>
        <v>2022</v>
      </c>
      <c r="P455" s="11" t="str">
        <f>TEXT(orders!$B455, "DDD")</f>
        <v>Tue</v>
      </c>
      <c r="Q455" s="11" t="str">
        <f>VLOOKUP(orders!C455,[1]customers!$A$1:$I$1001, 6,FALSE)</f>
        <v>Wilkes Barre</v>
      </c>
    </row>
    <row r="456" spans="1:17" x14ac:dyDescent="0.3">
      <c r="A456" s="7" t="s">
        <v>921</v>
      </c>
      <c r="B456" s="8">
        <v>44421</v>
      </c>
      <c r="C456" s="9" t="s">
        <v>922</v>
      </c>
      <c r="D456" s="10" t="s">
        <v>52</v>
      </c>
      <c r="E456" s="9">
        <v>4</v>
      </c>
      <c r="F456" s="9" t="str">
        <f>VLOOKUP(C456,[1]customers!$A$1:$I$1001, 2, FALSE)</f>
        <v>Reube Cawley</v>
      </c>
      <c r="G456" s="9" t="str">
        <f>VLOOKUP(orders!C456,[1]customers!$A$1:$I$1001, 3, FALSE)</f>
        <v>rcawleycm@yellowbook.com</v>
      </c>
      <c r="H456" s="9" t="str">
        <f>VLOOKUP(C456, [1]customers!$A$1:$I$1001, 7, FALSE)</f>
        <v>Ireland</v>
      </c>
      <c r="I456" s="11" t="str">
        <f>VLOOKUP(orders!D456,[1]products!$A$1:$G$49, 2,FALSE)</f>
        <v>Rob</v>
      </c>
      <c r="J456" s="11" t="str">
        <f>VLOOKUP(orders!D456,[1]products!$A$1:$G$49, 3,FALSE)</f>
        <v>D</v>
      </c>
      <c r="K456" s="12">
        <f>VLOOKUP(orders!D456,[1]products!$A$1:$G$49, 4,FALSE)</f>
        <v>2.5</v>
      </c>
      <c r="L456" s="12">
        <f>VLOOKUP(orders!D456,[1]products!$A$1:$G$49, 5,FALSE)</f>
        <v>20.584999999999997</v>
      </c>
      <c r="M456" s="13">
        <f>PRODUCT(orders!$E456,orders!$L456)</f>
        <v>82.339999999999989</v>
      </c>
      <c r="N456" s="11" t="str">
        <f t="shared" si="14"/>
        <v>August</v>
      </c>
      <c r="O456" s="11">
        <f t="shared" si="15"/>
        <v>2021</v>
      </c>
      <c r="P456" s="11" t="str">
        <f>TEXT(orders!$B456, "DDD")</f>
        <v>Fri</v>
      </c>
      <c r="Q456" s="11" t="str">
        <f>VLOOKUP(orders!C456,[1]customers!$A$1:$I$1001, 6,FALSE)</f>
        <v>Ballyboden</v>
      </c>
    </row>
    <row r="457" spans="1:17" x14ac:dyDescent="0.3">
      <c r="A457" s="14" t="s">
        <v>923</v>
      </c>
      <c r="B457" s="15">
        <v>43841</v>
      </c>
      <c r="C457" s="16" t="s">
        <v>924</v>
      </c>
      <c r="D457" s="17" t="s">
        <v>36</v>
      </c>
      <c r="E457" s="16">
        <v>2</v>
      </c>
      <c r="F457" s="9" t="str">
        <f>VLOOKUP(C457,[1]customers!$A$1:$I$1001, 2, FALSE)</f>
        <v>Stan Barribal</v>
      </c>
      <c r="G457" s="16" t="str">
        <f>VLOOKUP(orders!C457,[1]customers!$A$1:$I$1001, 3, FALSE)</f>
        <v>sbarribalcn@microsoft.com</v>
      </c>
      <c r="H457" s="16" t="str">
        <f>VLOOKUP(C457, [1]customers!$A$1:$I$1001, 7, FALSE)</f>
        <v>Ireland</v>
      </c>
      <c r="I457" s="18" t="str">
        <f>VLOOKUP(orders!D457,[1]products!$A$1:$G$49, 2,FALSE)</f>
        <v>Lib</v>
      </c>
      <c r="J457" s="18" t="str">
        <f>VLOOKUP(orders!D457,[1]products!$A$1:$G$49, 3,FALSE)</f>
        <v>L</v>
      </c>
      <c r="K457" s="19">
        <f>VLOOKUP(orders!D457,[1]products!$A$1:$G$49, 4,FALSE)</f>
        <v>0.2</v>
      </c>
      <c r="L457" s="19">
        <f>VLOOKUP(orders!D457,[1]products!$A$1:$G$49, 5,FALSE)</f>
        <v>4.7549999999999999</v>
      </c>
      <c r="M457" s="13">
        <f>PRODUCT(orders!$E457,orders!$L457)</f>
        <v>9.51</v>
      </c>
      <c r="N457" s="18" t="str">
        <f t="shared" si="14"/>
        <v>January</v>
      </c>
      <c r="O457" s="18">
        <f t="shared" si="15"/>
        <v>2020</v>
      </c>
      <c r="P457" s="11" t="str">
        <f>TEXT(orders!$B457, "DDD")</f>
        <v>Sat</v>
      </c>
      <c r="Q457" s="11" t="str">
        <f>VLOOKUP(orders!C457,[1]customers!$A$1:$I$1001, 6,FALSE)</f>
        <v>Bagenalstown</v>
      </c>
    </row>
    <row r="458" spans="1:17" x14ac:dyDescent="0.3">
      <c r="A458" s="7" t="s">
        <v>925</v>
      </c>
      <c r="B458" s="8">
        <v>44017</v>
      </c>
      <c r="C458" s="9" t="s">
        <v>926</v>
      </c>
      <c r="D458" s="10" t="s">
        <v>52</v>
      </c>
      <c r="E458" s="9">
        <v>2</v>
      </c>
      <c r="F458" s="9" t="str">
        <f>VLOOKUP(C458,[1]customers!$A$1:$I$1001, 2, FALSE)</f>
        <v>Agnes Adamides</v>
      </c>
      <c r="G458" s="9" t="str">
        <f>VLOOKUP(orders!C458,[1]customers!$A$1:$I$1001, 3, FALSE)</f>
        <v>aadamidesco@bizjournals.com</v>
      </c>
      <c r="H458" s="9" t="str">
        <f>VLOOKUP(C458, [1]customers!$A$1:$I$1001, 7, FALSE)</f>
        <v>United Kingdom</v>
      </c>
      <c r="I458" s="11" t="str">
        <f>VLOOKUP(orders!D458,[1]products!$A$1:$G$49, 2,FALSE)</f>
        <v>Rob</v>
      </c>
      <c r="J458" s="11" t="str">
        <f>VLOOKUP(orders!D458,[1]products!$A$1:$G$49, 3,FALSE)</f>
        <v>D</v>
      </c>
      <c r="K458" s="12">
        <f>VLOOKUP(orders!D458,[1]products!$A$1:$G$49, 4,FALSE)</f>
        <v>2.5</v>
      </c>
      <c r="L458" s="12">
        <f>VLOOKUP(orders!D458,[1]products!$A$1:$G$49, 5,FALSE)</f>
        <v>20.584999999999997</v>
      </c>
      <c r="M458" s="13">
        <f>PRODUCT(orders!$E458,orders!$L458)</f>
        <v>41.169999999999995</v>
      </c>
      <c r="N458" s="11" t="str">
        <f t="shared" si="14"/>
        <v>July</v>
      </c>
      <c r="O458" s="11">
        <f t="shared" si="15"/>
        <v>2020</v>
      </c>
      <c r="P458" s="11" t="str">
        <f>TEXT(orders!$B458, "DDD")</f>
        <v>Sun</v>
      </c>
      <c r="Q458" s="11" t="str">
        <f>VLOOKUP(orders!C458,[1]customers!$A$1:$I$1001, 6,FALSE)</f>
        <v>Liverpool</v>
      </c>
    </row>
    <row r="459" spans="1:17" x14ac:dyDescent="0.3">
      <c r="A459" s="14" t="s">
        <v>927</v>
      </c>
      <c r="B459" s="15">
        <v>43671</v>
      </c>
      <c r="C459" s="16" t="s">
        <v>928</v>
      </c>
      <c r="D459" s="17" t="s">
        <v>100</v>
      </c>
      <c r="E459" s="16">
        <v>5</v>
      </c>
      <c r="F459" s="9" t="str">
        <f>VLOOKUP(C459,[1]customers!$A$1:$I$1001, 2, FALSE)</f>
        <v>Carmelita Thowes</v>
      </c>
      <c r="G459" s="16" t="str">
        <f>VLOOKUP(orders!C459,[1]customers!$A$1:$I$1001, 3, FALSE)</f>
        <v>cthowescp@craigslist.org</v>
      </c>
      <c r="H459" s="16" t="str">
        <f>VLOOKUP(C459, [1]customers!$A$1:$I$1001, 7, FALSE)</f>
        <v>United States</v>
      </c>
      <c r="I459" s="18" t="str">
        <f>VLOOKUP(orders!D459,[1]products!$A$1:$G$49, 2,FALSE)</f>
        <v>Lib</v>
      </c>
      <c r="J459" s="18" t="str">
        <f>VLOOKUP(orders!D459,[1]products!$A$1:$G$49, 3,FALSE)</f>
        <v>L</v>
      </c>
      <c r="K459" s="19">
        <f>VLOOKUP(orders!D459,[1]products!$A$1:$G$49, 4,FALSE)</f>
        <v>0.5</v>
      </c>
      <c r="L459" s="19">
        <f>VLOOKUP(orders!D459,[1]products!$A$1:$G$49, 5,FALSE)</f>
        <v>9.51</v>
      </c>
      <c r="M459" s="13">
        <f>PRODUCT(orders!$E459,orders!$L459)</f>
        <v>47.55</v>
      </c>
      <c r="N459" s="18" t="str">
        <f t="shared" si="14"/>
        <v>July</v>
      </c>
      <c r="O459" s="18">
        <f t="shared" si="15"/>
        <v>2019</v>
      </c>
      <c r="P459" s="11" t="str">
        <f>TEXT(orders!$B459, "DDD")</f>
        <v>Thu</v>
      </c>
      <c r="Q459" s="11" t="str">
        <f>VLOOKUP(orders!C459,[1]customers!$A$1:$I$1001, 6,FALSE)</f>
        <v>Rochester</v>
      </c>
    </row>
    <row r="460" spans="1:17" x14ac:dyDescent="0.3">
      <c r="A460" s="7" t="s">
        <v>929</v>
      </c>
      <c r="B460" s="8">
        <v>44707</v>
      </c>
      <c r="C460" s="9" t="s">
        <v>930</v>
      </c>
      <c r="D460" s="10" t="s">
        <v>78</v>
      </c>
      <c r="E460" s="9">
        <v>4</v>
      </c>
      <c r="F460" s="9" t="str">
        <f>VLOOKUP(C460,[1]customers!$A$1:$I$1001, 2, FALSE)</f>
        <v>Rodolfo Willoway</v>
      </c>
      <c r="G460" s="9" t="str">
        <f>VLOOKUP(orders!C460,[1]customers!$A$1:$I$1001, 3, FALSE)</f>
        <v>rwillowaycq@admin.ch</v>
      </c>
      <c r="H460" s="9" t="str">
        <f>VLOOKUP(C460, [1]customers!$A$1:$I$1001, 7, FALSE)</f>
        <v>United States</v>
      </c>
      <c r="I460" s="11" t="str">
        <f>VLOOKUP(orders!D460,[1]products!$A$1:$G$49, 2,FALSE)</f>
        <v>Ara</v>
      </c>
      <c r="J460" s="11" t="str">
        <f>VLOOKUP(orders!D460,[1]products!$A$1:$G$49, 3,FALSE)</f>
        <v>M</v>
      </c>
      <c r="K460" s="12">
        <f>VLOOKUP(orders!D460,[1]products!$A$1:$G$49, 4,FALSE)</f>
        <v>1</v>
      </c>
      <c r="L460" s="12">
        <f>VLOOKUP(orders!D460,[1]products!$A$1:$G$49, 5,FALSE)</f>
        <v>11.25</v>
      </c>
      <c r="M460" s="13">
        <f>PRODUCT(orders!$E460,orders!$L460)</f>
        <v>45</v>
      </c>
      <c r="N460" s="11" t="str">
        <f t="shared" si="14"/>
        <v>May</v>
      </c>
      <c r="O460" s="11">
        <f t="shared" si="15"/>
        <v>2022</v>
      </c>
      <c r="P460" s="11" t="str">
        <f>TEXT(orders!$B460, "DDD")</f>
        <v>Thu</v>
      </c>
      <c r="Q460" s="11" t="str">
        <f>VLOOKUP(orders!C460,[1]customers!$A$1:$I$1001, 6,FALSE)</f>
        <v>Tucson</v>
      </c>
    </row>
    <row r="461" spans="1:17" x14ac:dyDescent="0.3">
      <c r="A461" s="14" t="s">
        <v>931</v>
      </c>
      <c r="B461" s="15">
        <v>43840</v>
      </c>
      <c r="C461" s="16" t="s">
        <v>932</v>
      </c>
      <c r="D461" s="17" t="s">
        <v>36</v>
      </c>
      <c r="E461" s="16">
        <v>5</v>
      </c>
      <c r="F461" s="9" t="str">
        <f>VLOOKUP(C461,[1]customers!$A$1:$I$1001, 2, FALSE)</f>
        <v>Alvis Elwin</v>
      </c>
      <c r="G461" s="16" t="str">
        <f>VLOOKUP(orders!C461,[1]customers!$A$1:$I$1001, 3, FALSE)</f>
        <v>aelwincr@privacy.gov.au</v>
      </c>
      <c r="H461" s="16" t="str">
        <f>VLOOKUP(C461, [1]customers!$A$1:$I$1001, 7, FALSE)</f>
        <v>United States</v>
      </c>
      <c r="I461" s="18" t="str">
        <f>VLOOKUP(orders!D461,[1]products!$A$1:$G$49, 2,FALSE)</f>
        <v>Lib</v>
      </c>
      <c r="J461" s="18" t="str">
        <f>VLOOKUP(orders!D461,[1]products!$A$1:$G$49, 3,FALSE)</f>
        <v>L</v>
      </c>
      <c r="K461" s="19">
        <f>VLOOKUP(orders!D461,[1]products!$A$1:$G$49, 4,FALSE)</f>
        <v>0.2</v>
      </c>
      <c r="L461" s="19">
        <f>VLOOKUP(orders!D461,[1]products!$A$1:$G$49, 5,FALSE)</f>
        <v>4.7549999999999999</v>
      </c>
      <c r="M461" s="13">
        <f>PRODUCT(orders!$E461,orders!$L461)</f>
        <v>23.774999999999999</v>
      </c>
      <c r="N461" s="18" t="str">
        <f t="shared" si="14"/>
        <v>January</v>
      </c>
      <c r="O461" s="18">
        <f t="shared" si="15"/>
        <v>2020</v>
      </c>
      <c r="P461" s="11" t="str">
        <f>TEXT(orders!$B461, "DDD")</f>
        <v>Fri</v>
      </c>
      <c r="Q461" s="11" t="str">
        <f>VLOOKUP(orders!C461,[1]customers!$A$1:$I$1001, 6,FALSE)</f>
        <v>Minneapolis</v>
      </c>
    </row>
    <row r="462" spans="1:17" x14ac:dyDescent="0.3">
      <c r="A462" s="7" t="s">
        <v>933</v>
      </c>
      <c r="B462" s="8">
        <v>43602</v>
      </c>
      <c r="C462" s="9" t="s">
        <v>934</v>
      </c>
      <c r="D462" s="10" t="s">
        <v>163</v>
      </c>
      <c r="E462" s="9">
        <v>3</v>
      </c>
      <c r="F462" s="9" t="str">
        <f>VLOOKUP(C462,[1]customers!$A$1:$I$1001, 2, FALSE)</f>
        <v>Araldo Bilbrook</v>
      </c>
      <c r="G462" s="9" t="str">
        <f>VLOOKUP(orders!C462,[1]customers!$A$1:$I$1001, 3, FALSE)</f>
        <v>abilbrookcs@booking.com</v>
      </c>
      <c r="H462" s="9" t="str">
        <f>VLOOKUP(C462, [1]customers!$A$1:$I$1001, 7, FALSE)</f>
        <v>Ireland</v>
      </c>
      <c r="I462" s="11" t="str">
        <f>VLOOKUP(orders!D462,[1]products!$A$1:$G$49, 2,FALSE)</f>
        <v>Rob</v>
      </c>
      <c r="J462" s="11" t="str">
        <f>VLOOKUP(orders!D462,[1]products!$A$1:$G$49, 3,FALSE)</f>
        <v>D</v>
      </c>
      <c r="K462" s="12">
        <f>VLOOKUP(orders!D462,[1]products!$A$1:$G$49, 4,FALSE)</f>
        <v>0.5</v>
      </c>
      <c r="L462" s="12">
        <f>VLOOKUP(orders!D462,[1]products!$A$1:$G$49, 5,FALSE)</f>
        <v>5.3699999999999992</v>
      </c>
      <c r="M462" s="13">
        <f>PRODUCT(orders!$E462,orders!$L462)</f>
        <v>16.11</v>
      </c>
      <c r="N462" s="11" t="str">
        <f t="shared" si="14"/>
        <v>May</v>
      </c>
      <c r="O462" s="11">
        <f t="shared" si="15"/>
        <v>2019</v>
      </c>
      <c r="P462" s="11" t="str">
        <f>TEXT(orders!$B462, "DDD")</f>
        <v>Fri</v>
      </c>
      <c r="Q462" s="11" t="str">
        <f>VLOOKUP(orders!C462,[1]customers!$A$1:$I$1001, 6,FALSE)</f>
        <v>Ashbourne</v>
      </c>
    </row>
    <row r="463" spans="1:17" x14ac:dyDescent="0.3">
      <c r="A463" s="14" t="s">
        <v>935</v>
      </c>
      <c r="B463" s="15">
        <v>44036</v>
      </c>
      <c r="C463" s="16" t="s">
        <v>936</v>
      </c>
      <c r="D463" s="17" t="s">
        <v>118</v>
      </c>
      <c r="E463" s="16">
        <v>4</v>
      </c>
      <c r="F463" s="9" t="str">
        <f>VLOOKUP(C463,[1]customers!$A$1:$I$1001, 2, FALSE)</f>
        <v>Ransell McKall</v>
      </c>
      <c r="G463" s="16" t="str">
        <f>VLOOKUP(orders!C463,[1]customers!$A$1:$I$1001, 3, FALSE)</f>
        <v>rmckallct@sakura.ne.jp</v>
      </c>
      <c r="H463" s="16" t="str">
        <f>VLOOKUP(C463, [1]customers!$A$1:$I$1001, 7, FALSE)</f>
        <v>United Kingdom</v>
      </c>
      <c r="I463" s="18" t="str">
        <f>VLOOKUP(orders!D463,[1]products!$A$1:$G$49, 2,FALSE)</f>
        <v>Rob</v>
      </c>
      <c r="J463" s="18" t="str">
        <f>VLOOKUP(orders!D463,[1]products!$A$1:$G$49, 3,FALSE)</f>
        <v>D</v>
      </c>
      <c r="K463" s="19">
        <f>VLOOKUP(orders!D463,[1]products!$A$1:$G$49, 4,FALSE)</f>
        <v>0.2</v>
      </c>
      <c r="L463" s="19">
        <f>VLOOKUP(orders!D463,[1]products!$A$1:$G$49, 5,FALSE)</f>
        <v>2.6849999999999996</v>
      </c>
      <c r="M463" s="13">
        <f>PRODUCT(orders!$E463,orders!$L463)</f>
        <v>10.739999999999998</v>
      </c>
      <c r="N463" s="18" t="str">
        <f t="shared" si="14"/>
        <v>July</v>
      </c>
      <c r="O463" s="18">
        <f t="shared" si="15"/>
        <v>2020</v>
      </c>
      <c r="P463" s="11" t="str">
        <f>TEXT(orders!$B463, "DDD")</f>
        <v>Fri</v>
      </c>
      <c r="Q463" s="11" t="str">
        <f>VLOOKUP(orders!C463,[1]customers!$A$1:$I$1001, 6,FALSE)</f>
        <v>Bristol</v>
      </c>
    </row>
    <row r="464" spans="1:17" x14ac:dyDescent="0.3">
      <c r="A464" s="7" t="s">
        <v>937</v>
      </c>
      <c r="B464" s="8">
        <v>44124</v>
      </c>
      <c r="C464" s="9" t="s">
        <v>938</v>
      </c>
      <c r="D464" s="10" t="s">
        <v>44</v>
      </c>
      <c r="E464" s="9">
        <v>5</v>
      </c>
      <c r="F464" s="9" t="str">
        <f>VLOOKUP(C464,[1]customers!$A$1:$I$1001, 2, FALSE)</f>
        <v>Borg Daile</v>
      </c>
      <c r="G464" s="9" t="str">
        <f>VLOOKUP(orders!C464,[1]customers!$A$1:$I$1001, 3, FALSE)</f>
        <v>bdailecu@vistaprint.com</v>
      </c>
      <c r="H464" s="9" t="str">
        <f>VLOOKUP(C464, [1]customers!$A$1:$I$1001, 7, FALSE)</f>
        <v>United States</v>
      </c>
      <c r="I464" s="11" t="str">
        <f>VLOOKUP(orders!D464,[1]products!$A$1:$G$49, 2,FALSE)</f>
        <v>Ara</v>
      </c>
      <c r="J464" s="11" t="str">
        <f>VLOOKUP(orders!D464,[1]products!$A$1:$G$49, 3,FALSE)</f>
        <v>D</v>
      </c>
      <c r="K464" s="12">
        <f>VLOOKUP(orders!D464,[1]products!$A$1:$G$49, 4,FALSE)</f>
        <v>1</v>
      </c>
      <c r="L464" s="12">
        <f>VLOOKUP(orders!D464,[1]products!$A$1:$G$49, 5,FALSE)</f>
        <v>9.9499999999999993</v>
      </c>
      <c r="M464" s="13">
        <f>PRODUCT(orders!$E464,orders!$L464)</f>
        <v>49.75</v>
      </c>
      <c r="N464" s="11" t="str">
        <f t="shared" si="14"/>
        <v>October</v>
      </c>
      <c r="O464" s="11">
        <f t="shared" si="15"/>
        <v>2020</v>
      </c>
      <c r="P464" s="11" t="str">
        <f>TEXT(orders!$B464, "DDD")</f>
        <v>Tue</v>
      </c>
      <c r="Q464" s="11" t="str">
        <f>VLOOKUP(orders!C464,[1]customers!$A$1:$I$1001, 6,FALSE)</f>
        <v>Atlanta</v>
      </c>
    </row>
    <row r="465" spans="1:17" x14ac:dyDescent="0.3">
      <c r="A465" s="14" t="s">
        <v>939</v>
      </c>
      <c r="B465" s="15">
        <v>43730</v>
      </c>
      <c r="C465" s="16" t="s">
        <v>940</v>
      </c>
      <c r="D465" s="17" t="s">
        <v>26</v>
      </c>
      <c r="E465" s="16">
        <v>2</v>
      </c>
      <c r="F465" s="9" t="str">
        <f>VLOOKUP(C465,[1]customers!$A$1:$I$1001, 2, FALSE)</f>
        <v>Adolphe Treherne</v>
      </c>
      <c r="G465" s="16" t="str">
        <f>VLOOKUP(orders!C465,[1]customers!$A$1:$I$1001, 3, FALSE)</f>
        <v>atrehernecv@state.tx.us</v>
      </c>
      <c r="H465" s="16" t="str">
        <f>VLOOKUP(C465, [1]customers!$A$1:$I$1001, 7, FALSE)</f>
        <v>Ireland</v>
      </c>
      <c r="I465" s="18" t="str">
        <f>VLOOKUP(orders!D465,[1]products!$A$1:$G$49, 2,FALSE)</f>
        <v>Exc</v>
      </c>
      <c r="J465" s="18" t="str">
        <f>VLOOKUP(orders!D465,[1]products!$A$1:$G$49, 3,FALSE)</f>
        <v>M</v>
      </c>
      <c r="K465" s="19">
        <f>VLOOKUP(orders!D465,[1]products!$A$1:$G$49, 4,FALSE)</f>
        <v>1</v>
      </c>
      <c r="L465" s="19">
        <f>VLOOKUP(orders!D465,[1]products!$A$1:$G$49, 5,FALSE)</f>
        <v>13.75</v>
      </c>
      <c r="M465" s="13">
        <f>PRODUCT(orders!$E465,orders!$L465)</f>
        <v>27.5</v>
      </c>
      <c r="N465" s="18" t="str">
        <f t="shared" si="14"/>
        <v>September</v>
      </c>
      <c r="O465" s="18">
        <f t="shared" si="15"/>
        <v>2019</v>
      </c>
      <c r="P465" s="11" t="str">
        <f>TEXT(orders!$B465, "DDD")</f>
        <v>Sun</v>
      </c>
      <c r="Q465" s="11" t="str">
        <f>VLOOKUP(orders!C465,[1]customers!$A$1:$I$1001, 6,FALSE)</f>
        <v>Farranacoush</v>
      </c>
    </row>
    <row r="466" spans="1:17" x14ac:dyDescent="0.3">
      <c r="A466" s="7" t="s">
        <v>941</v>
      </c>
      <c r="B466" s="8">
        <v>43989</v>
      </c>
      <c r="C466" s="9" t="s">
        <v>942</v>
      </c>
      <c r="D466" s="10" t="s">
        <v>126</v>
      </c>
      <c r="E466" s="9">
        <v>4</v>
      </c>
      <c r="F466" s="9" t="str">
        <f>VLOOKUP(C466,[1]customers!$A$1:$I$1001, 2, FALSE)</f>
        <v>Annetta Brentnall</v>
      </c>
      <c r="G466" s="9" t="str">
        <f>VLOOKUP(orders!C466,[1]customers!$A$1:$I$1001, 3, FALSE)</f>
        <v>abrentnallcw@biglobe.ne.jp</v>
      </c>
      <c r="H466" s="9" t="str">
        <f>VLOOKUP(C466, [1]customers!$A$1:$I$1001, 7, FALSE)</f>
        <v>United Kingdom</v>
      </c>
      <c r="I466" s="11" t="str">
        <f>VLOOKUP(orders!D466,[1]products!$A$1:$G$49, 2,FALSE)</f>
        <v>Lib</v>
      </c>
      <c r="J466" s="11" t="str">
        <f>VLOOKUP(orders!D466,[1]products!$A$1:$G$49, 3,FALSE)</f>
        <v>D</v>
      </c>
      <c r="K466" s="12">
        <f>VLOOKUP(orders!D466,[1]products!$A$1:$G$49, 4,FALSE)</f>
        <v>2.5</v>
      </c>
      <c r="L466" s="12">
        <f>VLOOKUP(orders!D466,[1]products!$A$1:$G$49, 5,FALSE)</f>
        <v>29.784999999999997</v>
      </c>
      <c r="M466" s="13">
        <f>PRODUCT(orders!$E466,orders!$L466)</f>
        <v>119.13999999999999</v>
      </c>
      <c r="N466" s="11" t="str">
        <f t="shared" si="14"/>
        <v>June</v>
      </c>
      <c r="O466" s="11">
        <f t="shared" si="15"/>
        <v>2020</v>
      </c>
      <c r="P466" s="11" t="str">
        <f>TEXT(orders!$B466, "DDD")</f>
        <v>Sun</v>
      </c>
      <c r="Q466" s="11" t="str">
        <f>VLOOKUP(orders!C466,[1]customers!$A$1:$I$1001, 6,FALSE)</f>
        <v>East End</v>
      </c>
    </row>
    <row r="467" spans="1:17" x14ac:dyDescent="0.3">
      <c r="A467" s="14" t="s">
        <v>943</v>
      </c>
      <c r="B467" s="15">
        <v>43814</v>
      </c>
      <c r="C467" s="16" t="s">
        <v>944</v>
      </c>
      <c r="D467" s="17" t="s">
        <v>52</v>
      </c>
      <c r="E467" s="16">
        <v>1</v>
      </c>
      <c r="F467" s="9" t="str">
        <f>VLOOKUP(C467,[1]customers!$A$1:$I$1001, 2, FALSE)</f>
        <v>Dick Drinkall</v>
      </c>
      <c r="G467" s="16" t="str">
        <f>VLOOKUP(orders!C467,[1]customers!$A$1:$I$1001, 3, FALSE)</f>
        <v>ddrinkallcx@psu.edu</v>
      </c>
      <c r="H467" s="16" t="str">
        <f>VLOOKUP(C467, [1]customers!$A$1:$I$1001, 7, FALSE)</f>
        <v>United States</v>
      </c>
      <c r="I467" s="18" t="str">
        <f>VLOOKUP(orders!D467,[1]products!$A$1:$G$49, 2,FALSE)</f>
        <v>Rob</v>
      </c>
      <c r="J467" s="18" t="str">
        <f>VLOOKUP(orders!D467,[1]products!$A$1:$G$49, 3,FALSE)</f>
        <v>D</v>
      </c>
      <c r="K467" s="19">
        <f>VLOOKUP(orders!D467,[1]products!$A$1:$G$49, 4,FALSE)</f>
        <v>2.5</v>
      </c>
      <c r="L467" s="19">
        <f>VLOOKUP(orders!D467,[1]products!$A$1:$G$49, 5,FALSE)</f>
        <v>20.584999999999997</v>
      </c>
      <c r="M467" s="13">
        <f>PRODUCT(orders!$E467,orders!$L467)</f>
        <v>20.584999999999997</v>
      </c>
      <c r="N467" s="18" t="str">
        <f t="shared" si="14"/>
        <v>December</v>
      </c>
      <c r="O467" s="18">
        <f t="shared" si="15"/>
        <v>2019</v>
      </c>
      <c r="P467" s="11" t="str">
        <f>TEXT(orders!$B467, "DDD")</f>
        <v>Sun</v>
      </c>
      <c r="Q467" s="11" t="str">
        <f>VLOOKUP(orders!C467,[1]customers!$A$1:$I$1001, 6,FALSE)</f>
        <v>Knoxville</v>
      </c>
    </row>
    <row r="468" spans="1:17" x14ac:dyDescent="0.3">
      <c r="A468" s="7" t="s">
        <v>945</v>
      </c>
      <c r="B468" s="8">
        <v>44171</v>
      </c>
      <c r="C468" s="9" t="s">
        <v>946</v>
      </c>
      <c r="D468" s="10" t="s">
        <v>71</v>
      </c>
      <c r="E468" s="9">
        <v>3</v>
      </c>
      <c r="F468" s="9" t="str">
        <f>VLOOKUP(C468,[1]customers!$A$1:$I$1001, 2, FALSE)</f>
        <v>Dagny Kornel</v>
      </c>
      <c r="G468" s="9" t="str">
        <f>VLOOKUP(orders!C468,[1]customers!$A$1:$I$1001, 3, FALSE)</f>
        <v>dkornelcy@cyberchimps.com</v>
      </c>
      <c r="H468" s="9" t="str">
        <f>VLOOKUP(C468, [1]customers!$A$1:$I$1001, 7, FALSE)</f>
        <v>United States</v>
      </c>
      <c r="I468" s="11" t="str">
        <f>VLOOKUP(orders!D468,[1]products!$A$1:$G$49, 2,FALSE)</f>
        <v>Ara</v>
      </c>
      <c r="J468" s="11" t="str">
        <f>VLOOKUP(orders!D468,[1]products!$A$1:$G$49, 3,FALSE)</f>
        <v>D</v>
      </c>
      <c r="K468" s="12">
        <f>VLOOKUP(orders!D468,[1]products!$A$1:$G$49, 4,FALSE)</f>
        <v>0.2</v>
      </c>
      <c r="L468" s="12">
        <f>VLOOKUP(orders!D468,[1]products!$A$1:$G$49, 5,FALSE)</f>
        <v>2.9849999999999999</v>
      </c>
      <c r="M468" s="13">
        <f>PRODUCT(orders!$E468,orders!$L468)</f>
        <v>8.9550000000000001</v>
      </c>
      <c r="N468" s="11" t="str">
        <f t="shared" si="14"/>
        <v>December</v>
      </c>
      <c r="O468" s="11">
        <f t="shared" si="15"/>
        <v>2020</v>
      </c>
      <c r="P468" s="11" t="str">
        <f>TEXT(orders!$B468, "DDD")</f>
        <v>Sun</v>
      </c>
      <c r="Q468" s="11" t="str">
        <f>VLOOKUP(orders!C468,[1]customers!$A$1:$I$1001, 6,FALSE)</f>
        <v>Saginaw</v>
      </c>
    </row>
    <row r="469" spans="1:17" x14ac:dyDescent="0.3">
      <c r="A469" s="14" t="s">
        <v>947</v>
      </c>
      <c r="B469" s="15">
        <v>44536</v>
      </c>
      <c r="C469" s="16" t="s">
        <v>948</v>
      </c>
      <c r="D469" s="17" t="s">
        <v>89</v>
      </c>
      <c r="E469" s="16">
        <v>1</v>
      </c>
      <c r="F469" s="9" t="str">
        <f>VLOOKUP(C469,[1]customers!$A$1:$I$1001, 2, FALSE)</f>
        <v>Rhona Lequeux</v>
      </c>
      <c r="G469" s="16" t="str">
        <f>VLOOKUP(orders!C469,[1]customers!$A$1:$I$1001, 3, FALSE)</f>
        <v>rlequeuxcz@newyorker.com</v>
      </c>
      <c r="H469" s="16" t="str">
        <f>VLOOKUP(C469, [1]customers!$A$1:$I$1001, 7, FALSE)</f>
        <v>United States</v>
      </c>
      <c r="I469" s="18" t="str">
        <f>VLOOKUP(orders!D469,[1]products!$A$1:$G$49, 2,FALSE)</f>
        <v>Ara</v>
      </c>
      <c r="J469" s="18" t="str">
        <f>VLOOKUP(orders!D469,[1]products!$A$1:$G$49, 3,FALSE)</f>
        <v>D</v>
      </c>
      <c r="K469" s="19">
        <f>VLOOKUP(orders!D469,[1]products!$A$1:$G$49, 4,FALSE)</f>
        <v>0.5</v>
      </c>
      <c r="L469" s="19">
        <f>VLOOKUP(orders!D469,[1]products!$A$1:$G$49, 5,FALSE)</f>
        <v>5.97</v>
      </c>
      <c r="M469" s="13">
        <f>PRODUCT(orders!$E469,orders!$L469)</f>
        <v>5.97</v>
      </c>
      <c r="N469" s="18" t="str">
        <f t="shared" si="14"/>
        <v>December</v>
      </c>
      <c r="O469" s="18">
        <f t="shared" si="15"/>
        <v>2021</v>
      </c>
      <c r="P469" s="11" t="str">
        <f>TEXT(orders!$B469, "DDD")</f>
        <v>Mon</v>
      </c>
      <c r="Q469" s="11" t="str">
        <f>VLOOKUP(orders!C469,[1]customers!$A$1:$I$1001, 6,FALSE)</f>
        <v>Saint Augustine</v>
      </c>
    </row>
    <row r="470" spans="1:17" x14ac:dyDescent="0.3">
      <c r="A470" s="7" t="s">
        <v>949</v>
      </c>
      <c r="B470" s="8">
        <v>44023</v>
      </c>
      <c r="C470" s="9" t="s">
        <v>950</v>
      </c>
      <c r="D470" s="10" t="s">
        <v>26</v>
      </c>
      <c r="E470" s="9">
        <v>3</v>
      </c>
      <c r="F470" s="9" t="str">
        <f>VLOOKUP(C470,[1]customers!$A$1:$I$1001, 2, FALSE)</f>
        <v>Julius Mccaull</v>
      </c>
      <c r="G470" s="9" t="str">
        <f>VLOOKUP(orders!C470,[1]customers!$A$1:$I$1001, 3, FALSE)</f>
        <v>jmccaulld0@parallels.com</v>
      </c>
      <c r="H470" s="9" t="str">
        <f>VLOOKUP(C470, [1]customers!$A$1:$I$1001, 7, FALSE)</f>
        <v>United States</v>
      </c>
      <c r="I470" s="11" t="str">
        <f>VLOOKUP(orders!D470,[1]products!$A$1:$G$49, 2,FALSE)</f>
        <v>Exc</v>
      </c>
      <c r="J470" s="11" t="str">
        <f>VLOOKUP(orders!D470,[1]products!$A$1:$G$49, 3,FALSE)</f>
        <v>M</v>
      </c>
      <c r="K470" s="12">
        <f>VLOOKUP(orders!D470,[1]products!$A$1:$G$49, 4,FALSE)</f>
        <v>1</v>
      </c>
      <c r="L470" s="12">
        <f>VLOOKUP(orders!D470,[1]products!$A$1:$G$49, 5,FALSE)</f>
        <v>13.75</v>
      </c>
      <c r="M470" s="13">
        <f>PRODUCT(orders!$E470,orders!$L470)</f>
        <v>41.25</v>
      </c>
      <c r="N470" s="11" t="str">
        <f t="shared" si="14"/>
        <v>July</v>
      </c>
      <c r="O470" s="11">
        <f t="shared" si="15"/>
        <v>2020</v>
      </c>
      <c r="P470" s="11" t="str">
        <f>TEXT(orders!$B470, "DDD")</f>
        <v>Sat</v>
      </c>
      <c r="Q470" s="11" t="str">
        <f>VLOOKUP(orders!C470,[1]customers!$A$1:$I$1001, 6,FALSE)</f>
        <v>San Rafael</v>
      </c>
    </row>
    <row r="471" spans="1:17" x14ac:dyDescent="0.3">
      <c r="A471" s="14" t="s">
        <v>951</v>
      </c>
      <c r="B471" s="15">
        <v>44375</v>
      </c>
      <c r="C471" s="16" t="s">
        <v>952</v>
      </c>
      <c r="D471" s="17" t="s">
        <v>271</v>
      </c>
      <c r="E471" s="16">
        <v>5</v>
      </c>
      <c r="F471" s="9" t="str">
        <f>VLOOKUP(C471,[1]customers!$A$1:$I$1001, 2, FALSE)</f>
        <v>Ailey Brash</v>
      </c>
      <c r="G471" s="16" t="str">
        <f>VLOOKUP(orders!C471,[1]customers!$A$1:$I$1001, 3, FALSE)</f>
        <v>abrashda@plala.or.jp</v>
      </c>
      <c r="H471" s="16" t="str">
        <f>VLOOKUP(C471, [1]customers!$A$1:$I$1001, 7, FALSE)</f>
        <v>United States</v>
      </c>
      <c r="I471" s="18" t="str">
        <f>VLOOKUP(orders!D471,[1]products!$A$1:$G$49, 2,FALSE)</f>
        <v>Exc</v>
      </c>
      <c r="J471" s="18" t="str">
        <f>VLOOKUP(orders!D471,[1]products!$A$1:$G$49, 3,FALSE)</f>
        <v>L</v>
      </c>
      <c r="K471" s="19">
        <f>VLOOKUP(orders!D471,[1]products!$A$1:$G$49, 4,FALSE)</f>
        <v>0.2</v>
      </c>
      <c r="L471" s="19">
        <f>VLOOKUP(orders!D471,[1]products!$A$1:$G$49, 5,FALSE)</f>
        <v>4.4550000000000001</v>
      </c>
      <c r="M471" s="13">
        <f>PRODUCT(orders!$E471,orders!$L471)</f>
        <v>22.274999999999999</v>
      </c>
      <c r="N471" s="18" t="str">
        <f t="shared" si="14"/>
        <v>June</v>
      </c>
      <c r="O471" s="18">
        <f t="shared" si="15"/>
        <v>2021</v>
      </c>
      <c r="P471" s="11" t="str">
        <f>TEXT(orders!$B471, "DDD")</f>
        <v>Mon</v>
      </c>
      <c r="Q471" s="11" t="str">
        <f>VLOOKUP(orders!C471,[1]customers!$A$1:$I$1001, 6,FALSE)</f>
        <v>Flushing</v>
      </c>
    </row>
    <row r="472" spans="1:17" x14ac:dyDescent="0.3">
      <c r="A472" s="7" t="s">
        <v>953</v>
      </c>
      <c r="B472" s="8">
        <v>44656</v>
      </c>
      <c r="C472" s="9" t="s">
        <v>954</v>
      </c>
      <c r="D472" s="10" t="s">
        <v>84</v>
      </c>
      <c r="E472" s="9">
        <v>1</v>
      </c>
      <c r="F472" s="9" t="str">
        <f>VLOOKUP(C472,[1]customers!$A$1:$I$1001, 2, FALSE)</f>
        <v>Alberto Hutchinson</v>
      </c>
      <c r="G472" s="9" t="str">
        <f>VLOOKUP(orders!C472,[1]customers!$A$1:$I$1001, 3, FALSE)</f>
        <v>ahutchinsond2@imgur.com</v>
      </c>
      <c r="H472" s="9" t="str">
        <f>VLOOKUP(C472, [1]customers!$A$1:$I$1001, 7, FALSE)</f>
        <v>United States</v>
      </c>
      <c r="I472" s="11" t="str">
        <f>VLOOKUP(orders!D472,[1]products!$A$1:$G$49, 2,FALSE)</f>
        <v>Ara</v>
      </c>
      <c r="J472" s="11" t="str">
        <f>VLOOKUP(orders!D472,[1]products!$A$1:$G$49, 3,FALSE)</f>
        <v>M</v>
      </c>
      <c r="K472" s="12">
        <f>VLOOKUP(orders!D472,[1]products!$A$1:$G$49, 4,FALSE)</f>
        <v>0.5</v>
      </c>
      <c r="L472" s="12">
        <f>VLOOKUP(orders!D472,[1]products!$A$1:$G$49, 5,FALSE)</f>
        <v>6.75</v>
      </c>
      <c r="M472" s="13">
        <f>PRODUCT(orders!$E472,orders!$L472)</f>
        <v>6.75</v>
      </c>
      <c r="N472" s="11" t="str">
        <f t="shared" si="14"/>
        <v>April</v>
      </c>
      <c r="O472" s="11">
        <f t="shared" si="15"/>
        <v>2022</v>
      </c>
      <c r="P472" s="11" t="str">
        <f>TEXT(orders!$B472, "DDD")</f>
        <v>Tue</v>
      </c>
      <c r="Q472" s="11" t="str">
        <f>VLOOKUP(orders!C472,[1]customers!$A$1:$I$1001, 6,FALSE)</f>
        <v>Lawrenceville</v>
      </c>
    </row>
    <row r="473" spans="1:17" x14ac:dyDescent="0.3">
      <c r="A473" s="14" t="s">
        <v>955</v>
      </c>
      <c r="B473" s="15">
        <v>44644</v>
      </c>
      <c r="C473" s="16" t="s">
        <v>956</v>
      </c>
      <c r="D473" s="17" t="s">
        <v>214</v>
      </c>
      <c r="E473" s="16">
        <v>4</v>
      </c>
      <c r="F473" s="9" t="str">
        <f>VLOOKUP(C473,[1]customers!$A$1:$I$1001, 2, FALSE)</f>
        <v>Lamond Gheeraert</v>
      </c>
      <c r="G473" s="16">
        <f>VLOOKUP(orders!C473,[1]customers!$A$1:$I$1001, 3, FALSE)</f>
        <v>0</v>
      </c>
      <c r="H473" s="16" t="str">
        <f>VLOOKUP(C473, [1]customers!$A$1:$I$1001, 7, FALSE)</f>
        <v>United States</v>
      </c>
      <c r="I473" s="18" t="str">
        <f>VLOOKUP(orders!D473,[1]products!$A$1:$G$49, 2,FALSE)</f>
        <v>Lib</v>
      </c>
      <c r="J473" s="18" t="str">
        <f>VLOOKUP(orders!D473,[1]products!$A$1:$G$49, 3,FALSE)</f>
        <v>M</v>
      </c>
      <c r="K473" s="19">
        <f>VLOOKUP(orders!D473,[1]products!$A$1:$G$49, 4,FALSE)</f>
        <v>2.5</v>
      </c>
      <c r="L473" s="19">
        <f>VLOOKUP(orders!D473,[1]products!$A$1:$G$49, 5,FALSE)</f>
        <v>33.464999999999996</v>
      </c>
      <c r="M473" s="13">
        <f>PRODUCT(orders!$E473,orders!$L473)</f>
        <v>133.85999999999999</v>
      </c>
      <c r="N473" s="18" t="str">
        <f t="shared" si="14"/>
        <v>March</v>
      </c>
      <c r="O473" s="18">
        <f t="shared" si="15"/>
        <v>2022</v>
      </c>
      <c r="P473" s="11" t="str">
        <f>TEXT(orders!$B473, "DDD")</f>
        <v>Thu</v>
      </c>
      <c r="Q473" s="11" t="str">
        <f>VLOOKUP(orders!C473,[1]customers!$A$1:$I$1001, 6,FALSE)</f>
        <v>Topeka</v>
      </c>
    </row>
    <row r="474" spans="1:17" x14ac:dyDescent="0.3">
      <c r="A474" s="7" t="s">
        <v>957</v>
      </c>
      <c r="B474" s="8">
        <v>43869</v>
      </c>
      <c r="C474" s="9" t="s">
        <v>958</v>
      </c>
      <c r="D474" s="10" t="s">
        <v>71</v>
      </c>
      <c r="E474" s="9">
        <v>2</v>
      </c>
      <c r="F474" s="9" t="str">
        <f>VLOOKUP(C474,[1]customers!$A$1:$I$1001, 2, FALSE)</f>
        <v>Roxine Drivers</v>
      </c>
      <c r="G474" s="9" t="str">
        <f>VLOOKUP(orders!C474,[1]customers!$A$1:$I$1001, 3, FALSE)</f>
        <v>rdriversd4@hexun.com</v>
      </c>
      <c r="H474" s="9" t="str">
        <f>VLOOKUP(C474, [1]customers!$A$1:$I$1001, 7, FALSE)</f>
        <v>United States</v>
      </c>
      <c r="I474" s="11" t="str">
        <f>VLOOKUP(orders!D474,[1]products!$A$1:$G$49, 2,FALSE)</f>
        <v>Ara</v>
      </c>
      <c r="J474" s="11" t="str">
        <f>VLOOKUP(orders!D474,[1]products!$A$1:$G$49, 3,FALSE)</f>
        <v>D</v>
      </c>
      <c r="K474" s="12">
        <f>VLOOKUP(orders!D474,[1]products!$A$1:$G$49, 4,FALSE)</f>
        <v>0.2</v>
      </c>
      <c r="L474" s="12">
        <f>VLOOKUP(orders!D474,[1]products!$A$1:$G$49, 5,FALSE)</f>
        <v>2.9849999999999999</v>
      </c>
      <c r="M474" s="13">
        <f>PRODUCT(orders!$E474,orders!$L474)</f>
        <v>5.97</v>
      </c>
      <c r="N474" s="11" t="str">
        <f t="shared" si="14"/>
        <v>February</v>
      </c>
      <c r="O474" s="11">
        <f t="shared" si="15"/>
        <v>2020</v>
      </c>
      <c r="P474" s="11" t="str">
        <f>TEXT(orders!$B474, "DDD")</f>
        <v>Sat</v>
      </c>
      <c r="Q474" s="11" t="str">
        <f>VLOOKUP(orders!C474,[1]customers!$A$1:$I$1001, 6,FALSE)</f>
        <v>Shawnee Mission</v>
      </c>
    </row>
    <row r="475" spans="1:17" x14ac:dyDescent="0.3">
      <c r="A475" s="14" t="s">
        <v>959</v>
      </c>
      <c r="B475" s="15">
        <v>44603</v>
      </c>
      <c r="C475" s="16" t="s">
        <v>960</v>
      </c>
      <c r="D475" s="17" t="s">
        <v>23</v>
      </c>
      <c r="E475" s="16">
        <v>2</v>
      </c>
      <c r="F475" s="9" t="str">
        <f>VLOOKUP(C475,[1]customers!$A$1:$I$1001, 2, FALSE)</f>
        <v>Heloise Zeal</v>
      </c>
      <c r="G475" s="16" t="str">
        <f>VLOOKUP(orders!C475,[1]customers!$A$1:$I$1001, 3, FALSE)</f>
        <v>hzeald5@google.de</v>
      </c>
      <c r="H475" s="16" t="str">
        <f>VLOOKUP(C475, [1]customers!$A$1:$I$1001, 7, FALSE)</f>
        <v>United States</v>
      </c>
      <c r="I475" s="18" t="str">
        <f>VLOOKUP(orders!D475,[1]products!$A$1:$G$49, 2,FALSE)</f>
        <v>Ara</v>
      </c>
      <c r="J475" s="18" t="str">
        <f>VLOOKUP(orders!D475,[1]products!$A$1:$G$49, 3,FALSE)</f>
        <v>L</v>
      </c>
      <c r="K475" s="19">
        <f>VLOOKUP(orders!D475,[1]products!$A$1:$G$49, 4,FALSE)</f>
        <v>1</v>
      </c>
      <c r="L475" s="19">
        <f>VLOOKUP(orders!D475,[1]products!$A$1:$G$49, 5,FALSE)</f>
        <v>12.95</v>
      </c>
      <c r="M475" s="13">
        <f>PRODUCT(orders!$E475,orders!$L475)</f>
        <v>25.9</v>
      </c>
      <c r="N475" s="18" t="str">
        <f t="shared" si="14"/>
        <v>February</v>
      </c>
      <c r="O475" s="18">
        <f t="shared" si="15"/>
        <v>2022</v>
      </c>
      <c r="P475" s="11" t="str">
        <f>TEXT(orders!$B475, "DDD")</f>
        <v>Fri</v>
      </c>
      <c r="Q475" s="11" t="str">
        <f>VLOOKUP(orders!C475,[1]customers!$A$1:$I$1001, 6,FALSE)</f>
        <v>Seattle</v>
      </c>
    </row>
    <row r="476" spans="1:17" x14ac:dyDescent="0.3">
      <c r="A476" s="7" t="s">
        <v>961</v>
      </c>
      <c r="B476" s="8">
        <v>44014</v>
      </c>
      <c r="C476" s="9" t="s">
        <v>962</v>
      </c>
      <c r="D476" s="10" t="s">
        <v>129</v>
      </c>
      <c r="E476" s="9">
        <v>1</v>
      </c>
      <c r="F476" s="9" t="str">
        <f>VLOOKUP(C476,[1]customers!$A$1:$I$1001, 2, FALSE)</f>
        <v>Granger Smallcombe</v>
      </c>
      <c r="G476" s="9" t="str">
        <f>VLOOKUP(orders!C476,[1]customers!$A$1:$I$1001, 3, FALSE)</f>
        <v>gsmallcombed6@ucla.edu</v>
      </c>
      <c r="H476" s="9" t="str">
        <f>VLOOKUP(C476, [1]customers!$A$1:$I$1001, 7, FALSE)</f>
        <v>Ireland</v>
      </c>
      <c r="I476" s="11" t="str">
        <f>VLOOKUP(orders!D476,[1]products!$A$1:$G$49, 2,FALSE)</f>
        <v>Exc</v>
      </c>
      <c r="J476" s="11" t="str">
        <f>VLOOKUP(orders!D476,[1]products!$A$1:$G$49, 3,FALSE)</f>
        <v>M</v>
      </c>
      <c r="K476" s="12">
        <f>VLOOKUP(orders!D476,[1]products!$A$1:$G$49, 4,FALSE)</f>
        <v>2.5</v>
      </c>
      <c r="L476" s="12">
        <f>VLOOKUP(orders!D476,[1]products!$A$1:$G$49, 5,FALSE)</f>
        <v>31.624999999999996</v>
      </c>
      <c r="M476" s="13">
        <f>PRODUCT(orders!$E476,orders!$L476)</f>
        <v>31.624999999999996</v>
      </c>
      <c r="N476" s="11" t="str">
        <f t="shared" si="14"/>
        <v>July</v>
      </c>
      <c r="O476" s="11">
        <f t="shared" si="15"/>
        <v>2020</v>
      </c>
      <c r="P476" s="11" t="str">
        <f>TEXT(orders!$B476, "DDD")</f>
        <v>Thu</v>
      </c>
      <c r="Q476" s="11" t="str">
        <f>VLOOKUP(orders!C476,[1]customers!$A$1:$I$1001, 6,FALSE)</f>
        <v>Kilkenny</v>
      </c>
    </row>
    <row r="477" spans="1:17" x14ac:dyDescent="0.3">
      <c r="A477" s="14" t="s">
        <v>963</v>
      </c>
      <c r="B477" s="15">
        <v>44767</v>
      </c>
      <c r="C477" s="16" t="s">
        <v>964</v>
      </c>
      <c r="D477" s="17" t="s">
        <v>94</v>
      </c>
      <c r="E477" s="16">
        <v>2</v>
      </c>
      <c r="F477" s="9" t="str">
        <f>VLOOKUP(C477,[1]customers!$A$1:$I$1001, 2, FALSE)</f>
        <v>Daryn Dibley</v>
      </c>
      <c r="G477" s="16" t="str">
        <f>VLOOKUP(orders!C477,[1]customers!$A$1:$I$1001, 3, FALSE)</f>
        <v>ddibleyd7@feedburner.com</v>
      </c>
      <c r="H477" s="16" t="str">
        <f>VLOOKUP(C477, [1]customers!$A$1:$I$1001, 7, FALSE)</f>
        <v>United States</v>
      </c>
      <c r="I477" s="18" t="str">
        <f>VLOOKUP(orders!D477,[1]products!$A$1:$G$49, 2,FALSE)</f>
        <v>Lib</v>
      </c>
      <c r="J477" s="18" t="str">
        <f>VLOOKUP(orders!D477,[1]products!$A$1:$G$49, 3,FALSE)</f>
        <v>M</v>
      </c>
      <c r="K477" s="19">
        <f>VLOOKUP(orders!D477,[1]products!$A$1:$G$49, 4,FALSE)</f>
        <v>0.2</v>
      </c>
      <c r="L477" s="19">
        <f>VLOOKUP(orders!D477,[1]products!$A$1:$G$49, 5,FALSE)</f>
        <v>4.3650000000000002</v>
      </c>
      <c r="M477" s="13">
        <f>PRODUCT(orders!$E477,orders!$L477)</f>
        <v>8.73</v>
      </c>
      <c r="N477" s="18" t="str">
        <f t="shared" si="14"/>
        <v>July</v>
      </c>
      <c r="O477" s="18">
        <f t="shared" si="15"/>
        <v>2022</v>
      </c>
      <c r="P477" s="11" t="str">
        <f>TEXT(orders!$B477, "DDD")</f>
        <v>Mon</v>
      </c>
      <c r="Q477" s="11" t="str">
        <f>VLOOKUP(orders!C477,[1]customers!$A$1:$I$1001, 6,FALSE)</f>
        <v>Kissimmee</v>
      </c>
    </row>
    <row r="478" spans="1:17" x14ac:dyDescent="0.3">
      <c r="A478" s="7" t="s">
        <v>965</v>
      </c>
      <c r="B478" s="8">
        <v>44274</v>
      </c>
      <c r="C478" s="9" t="s">
        <v>966</v>
      </c>
      <c r="D478" s="10" t="s">
        <v>271</v>
      </c>
      <c r="E478" s="9">
        <v>6</v>
      </c>
      <c r="F478" s="9" t="str">
        <f>VLOOKUP(C478,[1]customers!$A$1:$I$1001, 2, FALSE)</f>
        <v>Gardy Dimitriou</v>
      </c>
      <c r="G478" s="9" t="str">
        <f>VLOOKUP(orders!C478,[1]customers!$A$1:$I$1001, 3, FALSE)</f>
        <v>gdimitrioud8@chronoengine.com</v>
      </c>
      <c r="H478" s="9" t="str">
        <f>VLOOKUP(C478, [1]customers!$A$1:$I$1001, 7, FALSE)</f>
        <v>United States</v>
      </c>
      <c r="I478" s="11" t="str">
        <f>VLOOKUP(orders!D478,[1]products!$A$1:$G$49, 2,FALSE)</f>
        <v>Exc</v>
      </c>
      <c r="J478" s="11" t="str">
        <f>VLOOKUP(orders!D478,[1]products!$A$1:$G$49, 3,FALSE)</f>
        <v>L</v>
      </c>
      <c r="K478" s="12">
        <f>VLOOKUP(orders!D478,[1]products!$A$1:$G$49, 4,FALSE)</f>
        <v>0.2</v>
      </c>
      <c r="L478" s="12">
        <f>VLOOKUP(orders!D478,[1]products!$A$1:$G$49, 5,FALSE)</f>
        <v>4.4550000000000001</v>
      </c>
      <c r="M478" s="13">
        <f>PRODUCT(orders!$E478,orders!$L478)</f>
        <v>26.73</v>
      </c>
      <c r="N478" s="11" t="str">
        <f t="shared" si="14"/>
        <v>March</v>
      </c>
      <c r="O478" s="11">
        <f t="shared" si="15"/>
        <v>2021</v>
      </c>
      <c r="P478" s="11" t="str">
        <f>TEXT(orders!$B478, "DDD")</f>
        <v>Fri</v>
      </c>
      <c r="Q478" s="11" t="str">
        <f>VLOOKUP(orders!C478,[1]customers!$A$1:$I$1001, 6,FALSE)</f>
        <v>Rochester</v>
      </c>
    </row>
    <row r="479" spans="1:17" x14ac:dyDescent="0.3">
      <c r="A479" s="14" t="s">
        <v>967</v>
      </c>
      <c r="B479" s="15">
        <v>43962</v>
      </c>
      <c r="C479" s="16" t="s">
        <v>968</v>
      </c>
      <c r="D479" s="17" t="s">
        <v>94</v>
      </c>
      <c r="E479" s="16">
        <v>6</v>
      </c>
      <c r="F479" s="9" t="str">
        <f>VLOOKUP(C479,[1]customers!$A$1:$I$1001, 2, FALSE)</f>
        <v>Fanny Flanagan</v>
      </c>
      <c r="G479" s="16" t="str">
        <f>VLOOKUP(orders!C479,[1]customers!$A$1:$I$1001, 3, FALSE)</f>
        <v>fflanagand9@woothemes.com</v>
      </c>
      <c r="H479" s="16" t="str">
        <f>VLOOKUP(C479, [1]customers!$A$1:$I$1001, 7, FALSE)</f>
        <v>United States</v>
      </c>
      <c r="I479" s="18" t="str">
        <f>VLOOKUP(orders!D479,[1]products!$A$1:$G$49, 2,FALSE)</f>
        <v>Lib</v>
      </c>
      <c r="J479" s="18" t="str">
        <f>VLOOKUP(orders!D479,[1]products!$A$1:$G$49, 3,FALSE)</f>
        <v>M</v>
      </c>
      <c r="K479" s="19">
        <f>VLOOKUP(orders!D479,[1]products!$A$1:$G$49, 4,FALSE)</f>
        <v>0.2</v>
      </c>
      <c r="L479" s="19">
        <f>VLOOKUP(orders!D479,[1]products!$A$1:$G$49, 5,FALSE)</f>
        <v>4.3650000000000002</v>
      </c>
      <c r="M479" s="13">
        <f>PRODUCT(orders!$E479,orders!$L479)</f>
        <v>26.19</v>
      </c>
      <c r="N479" s="18" t="str">
        <f t="shared" si="14"/>
        <v>May</v>
      </c>
      <c r="O479" s="18">
        <f t="shared" si="15"/>
        <v>2020</v>
      </c>
      <c r="P479" s="11" t="str">
        <f>TEXT(orders!$B479, "DDD")</f>
        <v>Mon</v>
      </c>
      <c r="Q479" s="11" t="str">
        <f>VLOOKUP(orders!C479,[1]customers!$A$1:$I$1001, 6,FALSE)</f>
        <v>Tyler</v>
      </c>
    </row>
    <row r="480" spans="1:17" x14ac:dyDescent="0.3">
      <c r="A480" s="7" t="s">
        <v>969</v>
      </c>
      <c r="B480" s="8">
        <v>43624</v>
      </c>
      <c r="C480" s="9" t="s">
        <v>952</v>
      </c>
      <c r="D480" s="10" t="s">
        <v>196</v>
      </c>
      <c r="E480" s="9">
        <v>6</v>
      </c>
      <c r="F480" s="9" t="str">
        <f>VLOOKUP(C480,[1]customers!$A$1:$I$1001, 2, FALSE)</f>
        <v>Ailey Brash</v>
      </c>
      <c r="G480" s="9" t="str">
        <f>VLOOKUP(orders!C480,[1]customers!$A$1:$I$1001, 3, FALSE)</f>
        <v>abrashda@plala.or.jp</v>
      </c>
      <c r="H480" s="9" t="str">
        <f>VLOOKUP(C480, [1]customers!$A$1:$I$1001, 7, FALSE)</f>
        <v>United States</v>
      </c>
      <c r="I480" s="11" t="str">
        <f>VLOOKUP(orders!D480,[1]products!$A$1:$G$49, 2,FALSE)</f>
        <v>Rob</v>
      </c>
      <c r="J480" s="11" t="str">
        <f>VLOOKUP(orders!D480,[1]products!$A$1:$G$49, 3,FALSE)</f>
        <v>D</v>
      </c>
      <c r="K480" s="12">
        <f>VLOOKUP(orders!D480,[1]products!$A$1:$G$49, 4,FALSE)</f>
        <v>1</v>
      </c>
      <c r="L480" s="12">
        <f>VLOOKUP(orders!D480,[1]products!$A$1:$G$49, 5,FALSE)</f>
        <v>8.9499999999999993</v>
      </c>
      <c r="M480" s="13">
        <f>PRODUCT(orders!$E480,orders!$L480)</f>
        <v>53.699999999999996</v>
      </c>
      <c r="N480" s="11" t="str">
        <f t="shared" si="14"/>
        <v>June</v>
      </c>
      <c r="O480" s="11">
        <f t="shared" si="15"/>
        <v>2019</v>
      </c>
      <c r="P480" s="11" t="str">
        <f>TEXT(orders!$B480, "DDD")</f>
        <v>Sat</v>
      </c>
      <c r="Q480" s="11" t="str">
        <f>VLOOKUP(orders!C480,[1]customers!$A$1:$I$1001, 6,FALSE)</f>
        <v>Flushing</v>
      </c>
    </row>
    <row r="481" spans="1:17" x14ac:dyDescent="0.3">
      <c r="A481" s="14" t="s">
        <v>969</v>
      </c>
      <c r="B481" s="15">
        <v>43624</v>
      </c>
      <c r="C481" s="16" t="s">
        <v>952</v>
      </c>
      <c r="D481" s="17" t="s">
        <v>129</v>
      </c>
      <c r="E481" s="16">
        <v>4</v>
      </c>
      <c r="F481" s="9" t="str">
        <f>VLOOKUP(C481,[1]customers!$A$1:$I$1001, 2, FALSE)</f>
        <v>Ailey Brash</v>
      </c>
      <c r="G481" s="16" t="str">
        <f>VLOOKUP(orders!C481,[1]customers!$A$1:$I$1001, 3, FALSE)</f>
        <v>abrashda@plala.or.jp</v>
      </c>
      <c r="H481" s="16" t="str">
        <f>VLOOKUP(C481, [1]customers!$A$1:$I$1001, 7, FALSE)</f>
        <v>United States</v>
      </c>
      <c r="I481" s="18" t="str">
        <f>VLOOKUP(orders!D481,[1]products!$A$1:$G$49, 2,FALSE)</f>
        <v>Exc</v>
      </c>
      <c r="J481" s="18" t="str">
        <f>VLOOKUP(orders!D481,[1]products!$A$1:$G$49, 3,FALSE)</f>
        <v>M</v>
      </c>
      <c r="K481" s="19">
        <f>VLOOKUP(orders!D481,[1]products!$A$1:$G$49, 4,FALSE)</f>
        <v>2.5</v>
      </c>
      <c r="L481" s="19">
        <f>VLOOKUP(orders!D481,[1]products!$A$1:$G$49, 5,FALSE)</f>
        <v>31.624999999999996</v>
      </c>
      <c r="M481" s="13">
        <f>PRODUCT(orders!$E481,orders!$L481)</f>
        <v>126.49999999999999</v>
      </c>
      <c r="N481" s="18" t="str">
        <f t="shared" si="14"/>
        <v>June</v>
      </c>
      <c r="O481" s="18">
        <f t="shared" si="15"/>
        <v>2019</v>
      </c>
      <c r="P481" s="11" t="str">
        <f>TEXT(orders!$B481, "DDD")</f>
        <v>Sat</v>
      </c>
      <c r="Q481" s="11" t="str">
        <f>VLOOKUP(orders!C481,[1]customers!$A$1:$I$1001, 6,FALSE)</f>
        <v>Flushing</v>
      </c>
    </row>
    <row r="482" spans="1:17" x14ac:dyDescent="0.3">
      <c r="A482" s="7" t="s">
        <v>969</v>
      </c>
      <c r="B482" s="8">
        <v>43624</v>
      </c>
      <c r="C482" s="9" t="s">
        <v>952</v>
      </c>
      <c r="D482" s="10" t="s">
        <v>81</v>
      </c>
      <c r="E482" s="9">
        <v>1</v>
      </c>
      <c r="F482" s="9" t="str">
        <f>VLOOKUP(C482,[1]customers!$A$1:$I$1001, 2, FALSE)</f>
        <v>Ailey Brash</v>
      </c>
      <c r="G482" s="9" t="str">
        <f>VLOOKUP(orders!C482,[1]customers!$A$1:$I$1001, 3, FALSE)</f>
        <v>abrashda@plala.or.jp</v>
      </c>
      <c r="H482" s="9" t="str">
        <f>VLOOKUP(C482, [1]customers!$A$1:$I$1001, 7, FALSE)</f>
        <v>United States</v>
      </c>
      <c r="I482" s="11" t="str">
        <f>VLOOKUP(orders!D482,[1]products!$A$1:$G$49, 2,FALSE)</f>
        <v>Exc</v>
      </c>
      <c r="J482" s="11" t="str">
        <f>VLOOKUP(orders!D482,[1]products!$A$1:$G$49, 3,FALSE)</f>
        <v>M</v>
      </c>
      <c r="K482" s="12">
        <f>VLOOKUP(orders!D482,[1]products!$A$1:$G$49, 4,FALSE)</f>
        <v>0.2</v>
      </c>
      <c r="L482" s="12">
        <f>VLOOKUP(orders!D482,[1]products!$A$1:$G$49, 5,FALSE)</f>
        <v>4.125</v>
      </c>
      <c r="M482" s="13">
        <f>PRODUCT(orders!$E482,orders!$L482)</f>
        <v>4.125</v>
      </c>
      <c r="N482" s="11" t="str">
        <f t="shared" si="14"/>
        <v>June</v>
      </c>
      <c r="O482" s="11">
        <f t="shared" si="15"/>
        <v>2019</v>
      </c>
      <c r="P482" s="11" t="str">
        <f>TEXT(orders!$B482, "DDD")</f>
        <v>Sat</v>
      </c>
      <c r="Q482" s="11" t="str">
        <f>VLOOKUP(orders!C482,[1]customers!$A$1:$I$1001, 6,FALSE)</f>
        <v>Flushing</v>
      </c>
    </row>
    <row r="483" spans="1:17" x14ac:dyDescent="0.3">
      <c r="A483" s="14" t="s">
        <v>970</v>
      </c>
      <c r="B483" s="15">
        <v>43747</v>
      </c>
      <c r="C483" s="16" t="s">
        <v>971</v>
      </c>
      <c r="D483" s="17" t="s">
        <v>206</v>
      </c>
      <c r="E483" s="16">
        <v>2</v>
      </c>
      <c r="F483" s="9" t="str">
        <f>VLOOKUP(C483,[1]customers!$A$1:$I$1001, 2, FALSE)</f>
        <v>Nanny Izhakov</v>
      </c>
      <c r="G483" s="16" t="str">
        <f>VLOOKUP(orders!C483,[1]customers!$A$1:$I$1001, 3, FALSE)</f>
        <v>nizhakovdd@aol.com</v>
      </c>
      <c r="H483" s="16" t="str">
        <f>VLOOKUP(C483, [1]customers!$A$1:$I$1001, 7, FALSE)</f>
        <v>United Kingdom</v>
      </c>
      <c r="I483" s="18" t="str">
        <f>VLOOKUP(orders!D483,[1]products!$A$1:$G$49, 2,FALSE)</f>
        <v>Rob</v>
      </c>
      <c r="J483" s="18" t="str">
        <f>VLOOKUP(orders!D483,[1]products!$A$1:$G$49, 3,FALSE)</f>
        <v>L</v>
      </c>
      <c r="K483" s="19">
        <f>VLOOKUP(orders!D483,[1]products!$A$1:$G$49, 4,FALSE)</f>
        <v>1</v>
      </c>
      <c r="L483" s="19">
        <f>VLOOKUP(orders!D483,[1]products!$A$1:$G$49, 5,FALSE)</f>
        <v>11.95</v>
      </c>
      <c r="M483" s="13">
        <f>PRODUCT(orders!$E483,orders!$L483)</f>
        <v>23.9</v>
      </c>
      <c r="N483" s="18" t="str">
        <f t="shared" si="14"/>
        <v>October</v>
      </c>
      <c r="O483" s="18">
        <f t="shared" si="15"/>
        <v>2019</v>
      </c>
      <c r="P483" s="11" t="str">
        <f>TEXT(orders!$B483, "DDD")</f>
        <v>Wed</v>
      </c>
      <c r="Q483" s="11" t="str">
        <f>VLOOKUP(orders!C483,[1]customers!$A$1:$I$1001, 6,FALSE)</f>
        <v>Seaton</v>
      </c>
    </row>
    <row r="484" spans="1:17" x14ac:dyDescent="0.3">
      <c r="A484" s="7" t="s">
        <v>972</v>
      </c>
      <c r="B484" s="8">
        <v>44247</v>
      </c>
      <c r="C484" s="9" t="s">
        <v>973</v>
      </c>
      <c r="D484" s="10" t="s">
        <v>547</v>
      </c>
      <c r="E484" s="9">
        <v>5</v>
      </c>
      <c r="F484" s="9" t="str">
        <f>VLOOKUP(C484,[1]customers!$A$1:$I$1001, 2, FALSE)</f>
        <v>Stanly Keets</v>
      </c>
      <c r="G484" s="9" t="str">
        <f>VLOOKUP(orders!C484,[1]customers!$A$1:$I$1001, 3, FALSE)</f>
        <v>skeetsde@answers.com</v>
      </c>
      <c r="H484" s="9" t="str">
        <f>VLOOKUP(C484, [1]customers!$A$1:$I$1001, 7, FALSE)</f>
        <v>United States</v>
      </c>
      <c r="I484" s="11" t="str">
        <f>VLOOKUP(orders!D484,[1]products!$A$1:$G$49, 2,FALSE)</f>
        <v>Exc</v>
      </c>
      <c r="J484" s="11" t="str">
        <f>VLOOKUP(orders!D484,[1]products!$A$1:$G$49, 3,FALSE)</f>
        <v>D</v>
      </c>
      <c r="K484" s="12">
        <f>VLOOKUP(orders!D484,[1]products!$A$1:$G$49, 4,FALSE)</f>
        <v>2.5</v>
      </c>
      <c r="L484" s="12">
        <f>VLOOKUP(orders!D484,[1]products!$A$1:$G$49, 5,FALSE)</f>
        <v>27.945</v>
      </c>
      <c r="M484" s="13">
        <f>PRODUCT(orders!$E484,orders!$L484)</f>
        <v>139.72499999999999</v>
      </c>
      <c r="N484" s="11" t="str">
        <f t="shared" si="14"/>
        <v>February</v>
      </c>
      <c r="O484" s="11">
        <f t="shared" si="15"/>
        <v>2021</v>
      </c>
      <c r="P484" s="11" t="str">
        <f>TEXT(orders!$B484, "DDD")</f>
        <v>Sat</v>
      </c>
      <c r="Q484" s="11" t="str">
        <f>VLOOKUP(orders!C484,[1]customers!$A$1:$I$1001, 6,FALSE)</f>
        <v>Alexandria</v>
      </c>
    </row>
    <row r="485" spans="1:17" x14ac:dyDescent="0.3">
      <c r="A485" s="14" t="s">
        <v>974</v>
      </c>
      <c r="B485" s="15">
        <v>43790</v>
      </c>
      <c r="C485" s="16" t="s">
        <v>975</v>
      </c>
      <c r="D485" s="17" t="s">
        <v>126</v>
      </c>
      <c r="E485" s="16">
        <v>2</v>
      </c>
      <c r="F485" s="9" t="str">
        <f>VLOOKUP(C485,[1]customers!$A$1:$I$1001, 2, FALSE)</f>
        <v>Orion Dyott</v>
      </c>
      <c r="G485" s="16">
        <f>VLOOKUP(orders!C485,[1]customers!$A$1:$I$1001, 3, FALSE)</f>
        <v>0</v>
      </c>
      <c r="H485" s="16" t="str">
        <f>VLOOKUP(C485, [1]customers!$A$1:$I$1001, 7, FALSE)</f>
        <v>United States</v>
      </c>
      <c r="I485" s="18" t="str">
        <f>VLOOKUP(orders!D485,[1]products!$A$1:$G$49, 2,FALSE)</f>
        <v>Lib</v>
      </c>
      <c r="J485" s="18" t="str">
        <f>VLOOKUP(orders!D485,[1]products!$A$1:$G$49, 3,FALSE)</f>
        <v>D</v>
      </c>
      <c r="K485" s="19">
        <f>VLOOKUP(orders!D485,[1]products!$A$1:$G$49, 4,FALSE)</f>
        <v>2.5</v>
      </c>
      <c r="L485" s="19">
        <f>VLOOKUP(orders!D485,[1]products!$A$1:$G$49, 5,FALSE)</f>
        <v>29.784999999999997</v>
      </c>
      <c r="M485" s="13">
        <f>PRODUCT(orders!$E485,orders!$L485)</f>
        <v>59.569999999999993</v>
      </c>
      <c r="N485" s="18" t="str">
        <f t="shared" si="14"/>
        <v>November</v>
      </c>
      <c r="O485" s="18">
        <f t="shared" si="15"/>
        <v>2019</v>
      </c>
      <c r="P485" s="11" t="str">
        <f>TEXT(orders!$B485, "DDD")</f>
        <v>Thu</v>
      </c>
      <c r="Q485" s="11" t="str">
        <f>VLOOKUP(orders!C485,[1]customers!$A$1:$I$1001, 6,FALSE)</f>
        <v>Salt Lake City</v>
      </c>
    </row>
    <row r="486" spans="1:17" x14ac:dyDescent="0.3">
      <c r="A486" s="7" t="s">
        <v>976</v>
      </c>
      <c r="B486" s="8">
        <v>44479</v>
      </c>
      <c r="C486" s="9" t="s">
        <v>977</v>
      </c>
      <c r="D486" s="10" t="s">
        <v>100</v>
      </c>
      <c r="E486" s="9">
        <v>6</v>
      </c>
      <c r="F486" s="9" t="str">
        <f>VLOOKUP(C486,[1]customers!$A$1:$I$1001, 2, FALSE)</f>
        <v>Keefer Cake</v>
      </c>
      <c r="G486" s="9" t="str">
        <f>VLOOKUP(orders!C486,[1]customers!$A$1:$I$1001, 3, FALSE)</f>
        <v>kcakedg@huffingtonpost.com</v>
      </c>
      <c r="H486" s="9" t="str">
        <f>VLOOKUP(C486, [1]customers!$A$1:$I$1001, 7, FALSE)</f>
        <v>United States</v>
      </c>
      <c r="I486" s="11" t="str">
        <f>VLOOKUP(orders!D486,[1]products!$A$1:$G$49, 2,FALSE)</f>
        <v>Lib</v>
      </c>
      <c r="J486" s="11" t="str">
        <f>VLOOKUP(orders!D486,[1]products!$A$1:$G$49, 3,FALSE)</f>
        <v>L</v>
      </c>
      <c r="K486" s="12">
        <f>VLOOKUP(orders!D486,[1]products!$A$1:$G$49, 4,FALSE)</f>
        <v>0.5</v>
      </c>
      <c r="L486" s="12">
        <f>VLOOKUP(orders!D486,[1]products!$A$1:$G$49, 5,FALSE)</f>
        <v>9.51</v>
      </c>
      <c r="M486" s="13">
        <f>PRODUCT(orders!$E486,orders!$L486)</f>
        <v>57.06</v>
      </c>
      <c r="N486" s="11" t="str">
        <f t="shared" si="14"/>
        <v>October</v>
      </c>
      <c r="O486" s="11">
        <f t="shared" si="15"/>
        <v>2021</v>
      </c>
      <c r="P486" s="11" t="str">
        <f>TEXT(orders!$B486, "DDD")</f>
        <v>Sun</v>
      </c>
      <c r="Q486" s="11" t="str">
        <f>VLOOKUP(orders!C486,[1]customers!$A$1:$I$1001, 6,FALSE)</f>
        <v>San Jose</v>
      </c>
    </row>
    <row r="487" spans="1:17" x14ac:dyDescent="0.3">
      <c r="A487" s="14" t="s">
        <v>978</v>
      </c>
      <c r="B487" s="15">
        <v>44413</v>
      </c>
      <c r="C487" s="16" t="s">
        <v>979</v>
      </c>
      <c r="D487" s="17" t="s">
        <v>199</v>
      </c>
      <c r="E487" s="16">
        <v>6</v>
      </c>
      <c r="F487" s="9" t="str">
        <f>VLOOKUP(C487,[1]customers!$A$1:$I$1001, 2, FALSE)</f>
        <v>Morna Hansed</v>
      </c>
      <c r="G487" s="16" t="str">
        <f>VLOOKUP(orders!C487,[1]customers!$A$1:$I$1001, 3, FALSE)</f>
        <v>mhanseddh@instagram.com</v>
      </c>
      <c r="H487" s="16" t="str">
        <f>VLOOKUP(C487, [1]customers!$A$1:$I$1001, 7, FALSE)</f>
        <v>Ireland</v>
      </c>
      <c r="I487" s="18" t="str">
        <f>VLOOKUP(orders!D487,[1]products!$A$1:$G$49, 2,FALSE)</f>
        <v>Rob</v>
      </c>
      <c r="J487" s="18" t="str">
        <f>VLOOKUP(orders!D487,[1]products!$A$1:$G$49, 3,FALSE)</f>
        <v>L</v>
      </c>
      <c r="K487" s="19">
        <f>VLOOKUP(orders!D487,[1]products!$A$1:$G$49, 4,FALSE)</f>
        <v>0.2</v>
      </c>
      <c r="L487" s="19">
        <f>VLOOKUP(orders!D487,[1]products!$A$1:$G$49, 5,FALSE)</f>
        <v>3.5849999999999995</v>
      </c>
      <c r="M487" s="13">
        <f>PRODUCT(orders!$E487,orders!$L487)</f>
        <v>21.509999999999998</v>
      </c>
      <c r="N487" s="18" t="str">
        <f t="shared" si="14"/>
        <v>August</v>
      </c>
      <c r="O487" s="18">
        <f t="shared" si="15"/>
        <v>2021</v>
      </c>
      <c r="P487" s="11" t="str">
        <f>TEXT(orders!$B487, "DDD")</f>
        <v>Thu</v>
      </c>
      <c r="Q487" s="11" t="str">
        <f>VLOOKUP(orders!C487,[1]customers!$A$1:$I$1001, 6,FALSE)</f>
        <v>Tr谩 Mh贸r</v>
      </c>
    </row>
    <row r="488" spans="1:17" x14ac:dyDescent="0.3">
      <c r="A488" s="7" t="s">
        <v>980</v>
      </c>
      <c r="B488" s="8">
        <v>44043</v>
      </c>
      <c r="C488" s="9" t="s">
        <v>981</v>
      </c>
      <c r="D488" s="10" t="s">
        <v>95</v>
      </c>
      <c r="E488" s="9">
        <v>6</v>
      </c>
      <c r="F488" s="9" t="str">
        <f>VLOOKUP(C488,[1]customers!$A$1:$I$1001, 2, FALSE)</f>
        <v>Franny Kienlein</v>
      </c>
      <c r="G488" s="9" t="str">
        <f>VLOOKUP(orders!C488,[1]customers!$A$1:$I$1001, 3, FALSE)</f>
        <v>fkienleindi@trellian.com</v>
      </c>
      <c r="H488" s="9" t="str">
        <f>VLOOKUP(C488, [1]customers!$A$1:$I$1001, 7, FALSE)</f>
        <v>Ireland</v>
      </c>
      <c r="I488" s="11" t="str">
        <f>VLOOKUP(orders!D488,[1]products!$A$1:$G$49, 2,FALSE)</f>
        <v>Lib</v>
      </c>
      <c r="J488" s="11" t="str">
        <f>VLOOKUP(orders!D488,[1]products!$A$1:$G$49, 3,FALSE)</f>
        <v>M</v>
      </c>
      <c r="K488" s="12">
        <f>VLOOKUP(orders!D488,[1]products!$A$1:$G$49, 4,FALSE)</f>
        <v>0.5</v>
      </c>
      <c r="L488" s="12">
        <f>VLOOKUP(orders!D488,[1]products!$A$1:$G$49, 5,FALSE)</f>
        <v>8.73</v>
      </c>
      <c r="M488" s="13">
        <f>PRODUCT(orders!$E488,orders!$L488)</f>
        <v>52.38</v>
      </c>
      <c r="N488" s="11" t="str">
        <f t="shared" si="14"/>
        <v>July</v>
      </c>
      <c r="O488" s="11">
        <f t="shared" si="15"/>
        <v>2020</v>
      </c>
      <c r="P488" s="11" t="str">
        <f>TEXT(orders!$B488, "DDD")</f>
        <v>Fri</v>
      </c>
      <c r="Q488" s="11" t="str">
        <f>VLOOKUP(orders!C488,[1]customers!$A$1:$I$1001, 6,FALSE)</f>
        <v>Coolock</v>
      </c>
    </row>
    <row r="489" spans="1:17" x14ac:dyDescent="0.3">
      <c r="A489" s="14" t="s">
        <v>982</v>
      </c>
      <c r="B489" s="15">
        <v>44093</v>
      </c>
      <c r="C489" s="16" t="s">
        <v>983</v>
      </c>
      <c r="D489" s="17" t="s">
        <v>262</v>
      </c>
      <c r="E489" s="16">
        <v>6</v>
      </c>
      <c r="F489" s="9" t="str">
        <f>VLOOKUP(C489,[1]customers!$A$1:$I$1001, 2, FALSE)</f>
        <v>Klarika Egglestone</v>
      </c>
      <c r="G489" s="16" t="str">
        <f>VLOOKUP(orders!C489,[1]customers!$A$1:$I$1001, 3, FALSE)</f>
        <v>kegglestonedj@sphinn.com</v>
      </c>
      <c r="H489" s="16" t="str">
        <f>VLOOKUP(C489, [1]customers!$A$1:$I$1001, 7, FALSE)</f>
        <v>Ireland</v>
      </c>
      <c r="I489" s="18" t="str">
        <f>VLOOKUP(orders!D489,[1]products!$A$1:$G$49, 2,FALSE)</f>
        <v>Exc</v>
      </c>
      <c r="J489" s="18" t="str">
        <f>VLOOKUP(orders!D489,[1]products!$A$1:$G$49, 3,FALSE)</f>
        <v>D</v>
      </c>
      <c r="K489" s="19">
        <f>VLOOKUP(orders!D489,[1]products!$A$1:$G$49, 4,FALSE)</f>
        <v>1</v>
      </c>
      <c r="L489" s="19">
        <f>VLOOKUP(orders!D489,[1]products!$A$1:$G$49, 5,FALSE)</f>
        <v>12.15</v>
      </c>
      <c r="M489" s="13">
        <f>PRODUCT(orders!$E489,orders!$L489)</f>
        <v>72.900000000000006</v>
      </c>
      <c r="N489" s="18" t="str">
        <f t="shared" si="14"/>
        <v>September</v>
      </c>
      <c r="O489" s="18">
        <f t="shared" si="15"/>
        <v>2020</v>
      </c>
      <c r="P489" s="11" t="str">
        <f>TEXT(orders!$B489, "DDD")</f>
        <v>Sat</v>
      </c>
      <c r="Q489" s="11" t="str">
        <f>VLOOKUP(orders!C489,[1]customers!$A$1:$I$1001, 6,FALSE)</f>
        <v>Coolock</v>
      </c>
    </row>
    <row r="490" spans="1:17" x14ac:dyDescent="0.3">
      <c r="A490" s="7" t="s">
        <v>984</v>
      </c>
      <c r="B490" s="8">
        <v>43954</v>
      </c>
      <c r="C490" s="9" t="s">
        <v>985</v>
      </c>
      <c r="D490" s="10" t="s">
        <v>179</v>
      </c>
      <c r="E490" s="9">
        <v>5</v>
      </c>
      <c r="F490" s="9" t="str">
        <f>VLOOKUP(C490,[1]customers!$A$1:$I$1001, 2, FALSE)</f>
        <v>Becky Semkins</v>
      </c>
      <c r="G490" s="9" t="str">
        <f>VLOOKUP(orders!C490,[1]customers!$A$1:$I$1001, 3, FALSE)</f>
        <v>bsemkinsdk@unc.edu</v>
      </c>
      <c r="H490" s="9" t="str">
        <f>VLOOKUP(C490, [1]customers!$A$1:$I$1001, 7, FALSE)</f>
        <v>Ireland</v>
      </c>
      <c r="I490" s="11" t="str">
        <f>VLOOKUP(orders!D490,[1]products!$A$1:$G$49, 2,FALSE)</f>
        <v>Rob</v>
      </c>
      <c r="J490" s="11" t="str">
        <f>VLOOKUP(orders!D490,[1]products!$A$1:$G$49, 3,FALSE)</f>
        <v>M</v>
      </c>
      <c r="K490" s="12">
        <f>VLOOKUP(orders!D490,[1]products!$A$1:$G$49, 4,FALSE)</f>
        <v>0.2</v>
      </c>
      <c r="L490" s="12">
        <f>VLOOKUP(orders!D490,[1]products!$A$1:$G$49, 5,FALSE)</f>
        <v>2.9849999999999999</v>
      </c>
      <c r="M490" s="13">
        <f>PRODUCT(orders!$E490,orders!$L490)</f>
        <v>14.924999999999999</v>
      </c>
      <c r="N490" s="11" t="str">
        <f t="shared" si="14"/>
        <v>May</v>
      </c>
      <c r="O490" s="11">
        <f t="shared" si="15"/>
        <v>2020</v>
      </c>
      <c r="P490" s="11" t="str">
        <f>TEXT(orders!$B490, "DDD")</f>
        <v>Sun</v>
      </c>
      <c r="Q490" s="11" t="str">
        <f>VLOOKUP(orders!C490,[1]customers!$A$1:$I$1001, 6,FALSE)</f>
        <v>Kinnegad</v>
      </c>
    </row>
    <row r="491" spans="1:17" x14ac:dyDescent="0.3">
      <c r="A491" s="14" t="s">
        <v>986</v>
      </c>
      <c r="B491" s="15">
        <v>43654</v>
      </c>
      <c r="C491" s="16" t="s">
        <v>987</v>
      </c>
      <c r="D491" s="17" t="s">
        <v>149</v>
      </c>
      <c r="E491" s="16">
        <v>6</v>
      </c>
      <c r="F491" s="9" t="str">
        <f>VLOOKUP(C491,[1]customers!$A$1:$I$1001, 2, FALSE)</f>
        <v>Sean Lorenzetti</v>
      </c>
      <c r="G491" s="16" t="str">
        <f>VLOOKUP(orders!C491,[1]customers!$A$1:$I$1001, 3, FALSE)</f>
        <v>slorenzettidl@is.gd</v>
      </c>
      <c r="H491" s="16" t="str">
        <f>VLOOKUP(C491, [1]customers!$A$1:$I$1001, 7, FALSE)</f>
        <v>United States</v>
      </c>
      <c r="I491" s="18" t="str">
        <f>VLOOKUP(orders!D491,[1]products!$A$1:$G$49, 2,FALSE)</f>
        <v>Lib</v>
      </c>
      <c r="J491" s="18" t="str">
        <f>VLOOKUP(orders!D491,[1]products!$A$1:$G$49, 3,FALSE)</f>
        <v>L</v>
      </c>
      <c r="K491" s="19">
        <f>VLOOKUP(orders!D491,[1]products!$A$1:$G$49, 4,FALSE)</f>
        <v>1</v>
      </c>
      <c r="L491" s="19">
        <f>VLOOKUP(orders!D491,[1]products!$A$1:$G$49, 5,FALSE)</f>
        <v>15.85</v>
      </c>
      <c r="M491" s="13">
        <f>PRODUCT(orders!$E491,orders!$L491)</f>
        <v>95.1</v>
      </c>
      <c r="N491" s="18" t="str">
        <f t="shared" si="14"/>
        <v>July</v>
      </c>
      <c r="O491" s="18">
        <f t="shared" si="15"/>
        <v>2019</v>
      </c>
      <c r="P491" s="11" t="str">
        <f>TEXT(orders!$B491, "DDD")</f>
        <v>Mon</v>
      </c>
      <c r="Q491" s="11" t="str">
        <f>VLOOKUP(orders!C491,[1]customers!$A$1:$I$1001, 6,FALSE)</f>
        <v>El Paso</v>
      </c>
    </row>
    <row r="492" spans="1:17" x14ac:dyDescent="0.3">
      <c r="A492" s="7" t="s">
        <v>988</v>
      </c>
      <c r="B492" s="8">
        <v>43764</v>
      </c>
      <c r="C492" s="9" t="s">
        <v>989</v>
      </c>
      <c r="D492" s="10" t="s">
        <v>140</v>
      </c>
      <c r="E492" s="9">
        <v>2</v>
      </c>
      <c r="F492" s="9" t="str">
        <f>VLOOKUP(C492,[1]customers!$A$1:$I$1001, 2, FALSE)</f>
        <v>Bob Giannazzi</v>
      </c>
      <c r="G492" s="9" t="str">
        <f>VLOOKUP(orders!C492,[1]customers!$A$1:$I$1001, 3, FALSE)</f>
        <v>bgiannazzidm@apple.com</v>
      </c>
      <c r="H492" s="9" t="str">
        <f>VLOOKUP(C492, [1]customers!$A$1:$I$1001, 7, FALSE)</f>
        <v>United States</v>
      </c>
      <c r="I492" s="11" t="str">
        <f>VLOOKUP(orders!D492,[1]products!$A$1:$G$49, 2,FALSE)</f>
        <v>Lib</v>
      </c>
      <c r="J492" s="11" t="str">
        <f>VLOOKUP(orders!D492,[1]products!$A$1:$G$49, 3,FALSE)</f>
        <v>D</v>
      </c>
      <c r="K492" s="12">
        <f>VLOOKUP(orders!D492,[1]products!$A$1:$G$49, 4,FALSE)</f>
        <v>0.5</v>
      </c>
      <c r="L492" s="12">
        <f>VLOOKUP(orders!D492,[1]products!$A$1:$G$49, 5,FALSE)</f>
        <v>7.77</v>
      </c>
      <c r="M492" s="13">
        <f>PRODUCT(orders!$E492,orders!$L492)</f>
        <v>15.54</v>
      </c>
      <c r="N492" s="11" t="str">
        <f t="shared" si="14"/>
        <v>October</v>
      </c>
      <c r="O492" s="11">
        <f t="shared" si="15"/>
        <v>2019</v>
      </c>
      <c r="P492" s="11" t="str">
        <f>TEXT(orders!$B492, "DDD")</f>
        <v>Sat</v>
      </c>
      <c r="Q492" s="11" t="str">
        <f>VLOOKUP(orders!C492,[1]customers!$A$1:$I$1001, 6,FALSE)</f>
        <v>Fort Lauderdale</v>
      </c>
    </row>
    <row r="493" spans="1:17" x14ac:dyDescent="0.3">
      <c r="A493" s="14" t="s">
        <v>990</v>
      </c>
      <c r="B493" s="15">
        <v>44101</v>
      </c>
      <c r="C493" s="16" t="s">
        <v>991</v>
      </c>
      <c r="D493" s="17" t="s">
        <v>55</v>
      </c>
      <c r="E493" s="16">
        <v>6</v>
      </c>
      <c r="F493" s="9" t="str">
        <f>VLOOKUP(C493,[1]customers!$A$1:$I$1001, 2, FALSE)</f>
        <v>Kendra Backshell</v>
      </c>
      <c r="G493" s="16">
        <f>VLOOKUP(orders!C493,[1]customers!$A$1:$I$1001, 3, FALSE)</f>
        <v>0</v>
      </c>
      <c r="H493" s="16" t="str">
        <f>VLOOKUP(C493, [1]customers!$A$1:$I$1001, 7, FALSE)</f>
        <v>United States</v>
      </c>
      <c r="I493" s="18" t="str">
        <f>VLOOKUP(orders!D493,[1]products!$A$1:$G$49, 2,FALSE)</f>
        <v>Lib</v>
      </c>
      <c r="J493" s="18" t="str">
        <f>VLOOKUP(orders!D493,[1]products!$A$1:$G$49, 3,FALSE)</f>
        <v>D</v>
      </c>
      <c r="K493" s="19">
        <f>VLOOKUP(orders!D493,[1]products!$A$1:$G$49, 4,FALSE)</f>
        <v>0.2</v>
      </c>
      <c r="L493" s="19">
        <f>VLOOKUP(orders!D493,[1]products!$A$1:$G$49, 5,FALSE)</f>
        <v>3.8849999999999998</v>
      </c>
      <c r="M493" s="13">
        <f>PRODUCT(orders!$E493,orders!$L493)</f>
        <v>23.31</v>
      </c>
      <c r="N493" s="18" t="str">
        <f t="shared" si="14"/>
        <v>September</v>
      </c>
      <c r="O493" s="18">
        <f t="shared" si="15"/>
        <v>2020</v>
      </c>
      <c r="P493" s="11" t="str">
        <f>TEXT(orders!$B493, "DDD")</f>
        <v>Sun</v>
      </c>
      <c r="Q493" s="11" t="str">
        <f>VLOOKUP(orders!C493,[1]customers!$A$1:$I$1001, 6,FALSE)</f>
        <v>Indianapolis</v>
      </c>
    </row>
    <row r="494" spans="1:17" x14ac:dyDescent="0.3">
      <c r="A494" s="7" t="s">
        <v>992</v>
      </c>
      <c r="B494" s="8">
        <v>44620</v>
      </c>
      <c r="C494" s="9" t="s">
        <v>993</v>
      </c>
      <c r="D494" s="10" t="s">
        <v>81</v>
      </c>
      <c r="E494" s="9">
        <v>1</v>
      </c>
      <c r="F494" s="9" t="str">
        <f>VLOOKUP(C494,[1]customers!$A$1:$I$1001, 2, FALSE)</f>
        <v>Uriah Lethbrig</v>
      </c>
      <c r="G494" s="9" t="str">
        <f>VLOOKUP(orders!C494,[1]customers!$A$1:$I$1001, 3, FALSE)</f>
        <v>ulethbrigdo@hc360.com</v>
      </c>
      <c r="H494" s="9" t="str">
        <f>VLOOKUP(C494, [1]customers!$A$1:$I$1001, 7, FALSE)</f>
        <v>United States</v>
      </c>
      <c r="I494" s="11" t="str">
        <f>VLOOKUP(orders!D494,[1]products!$A$1:$G$49, 2,FALSE)</f>
        <v>Exc</v>
      </c>
      <c r="J494" s="11" t="str">
        <f>VLOOKUP(orders!D494,[1]products!$A$1:$G$49, 3,FALSE)</f>
        <v>M</v>
      </c>
      <c r="K494" s="12">
        <f>VLOOKUP(orders!D494,[1]products!$A$1:$G$49, 4,FALSE)</f>
        <v>0.2</v>
      </c>
      <c r="L494" s="12">
        <f>VLOOKUP(orders!D494,[1]products!$A$1:$G$49, 5,FALSE)</f>
        <v>4.125</v>
      </c>
      <c r="M494" s="13">
        <f>PRODUCT(orders!$E494,orders!$L494)</f>
        <v>4.125</v>
      </c>
      <c r="N494" s="11" t="str">
        <f t="shared" si="14"/>
        <v>February</v>
      </c>
      <c r="O494" s="11">
        <f t="shared" si="15"/>
        <v>2022</v>
      </c>
      <c r="P494" s="11" t="str">
        <f>TEXT(orders!$B494, "DDD")</f>
        <v>Mon</v>
      </c>
      <c r="Q494" s="11" t="str">
        <f>VLOOKUP(orders!C494,[1]customers!$A$1:$I$1001, 6,FALSE)</f>
        <v>Milwaukee</v>
      </c>
    </row>
    <row r="495" spans="1:17" x14ac:dyDescent="0.3">
      <c r="A495" s="14" t="s">
        <v>994</v>
      </c>
      <c r="B495" s="15">
        <v>44090</v>
      </c>
      <c r="C495" s="16" t="s">
        <v>995</v>
      </c>
      <c r="D495" s="17" t="s">
        <v>39</v>
      </c>
      <c r="E495" s="16">
        <v>6</v>
      </c>
      <c r="F495" s="9" t="str">
        <f>VLOOKUP(C495,[1]customers!$A$1:$I$1001, 2, FALSE)</f>
        <v>Sky Farnish</v>
      </c>
      <c r="G495" s="16" t="str">
        <f>VLOOKUP(orders!C495,[1]customers!$A$1:$I$1001, 3, FALSE)</f>
        <v>sfarnishdp@dmoz.org</v>
      </c>
      <c r="H495" s="16" t="str">
        <f>VLOOKUP(C495, [1]customers!$A$1:$I$1001, 7, FALSE)</f>
        <v>United Kingdom</v>
      </c>
      <c r="I495" s="18" t="str">
        <f>VLOOKUP(orders!D495,[1]products!$A$1:$G$49, 2,FALSE)</f>
        <v>Rob</v>
      </c>
      <c r="J495" s="18" t="str">
        <f>VLOOKUP(orders!D495,[1]products!$A$1:$G$49, 3,FALSE)</f>
        <v>M</v>
      </c>
      <c r="K495" s="19">
        <f>VLOOKUP(orders!D495,[1]products!$A$1:$G$49, 4,FALSE)</f>
        <v>0.5</v>
      </c>
      <c r="L495" s="19">
        <f>VLOOKUP(orders!D495,[1]products!$A$1:$G$49, 5,FALSE)</f>
        <v>5.97</v>
      </c>
      <c r="M495" s="13">
        <f>PRODUCT(orders!$E495,orders!$L495)</f>
        <v>35.82</v>
      </c>
      <c r="N495" s="18" t="str">
        <f t="shared" si="14"/>
        <v>September</v>
      </c>
      <c r="O495" s="18">
        <f t="shared" si="15"/>
        <v>2020</v>
      </c>
      <c r="P495" s="11" t="str">
        <f>TEXT(orders!$B495, "DDD")</f>
        <v>Wed</v>
      </c>
      <c r="Q495" s="11" t="str">
        <f>VLOOKUP(orders!C495,[1]customers!$A$1:$I$1001, 6,FALSE)</f>
        <v>Eaton</v>
      </c>
    </row>
    <row r="496" spans="1:17" x14ac:dyDescent="0.3">
      <c r="A496" s="7" t="s">
        <v>996</v>
      </c>
      <c r="B496" s="8">
        <v>44132</v>
      </c>
      <c r="C496" s="9" t="s">
        <v>997</v>
      </c>
      <c r="D496" s="10" t="s">
        <v>149</v>
      </c>
      <c r="E496" s="9">
        <v>2</v>
      </c>
      <c r="F496" s="9" t="str">
        <f>VLOOKUP(C496,[1]customers!$A$1:$I$1001, 2, FALSE)</f>
        <v>Felicia Jecock</v>
      </c>
      <c r="G496" s="9" t="str">
        <f>VLOOKUP(orders!C496,[1]customers!$A$1:$I$1001, 3, FALSE)</f>
        <v>fjecockdq@unicef.org</v>
      </c>
      <c r="H496" s="9" t="str">
        <f>VLOOKUP(C496, [1]customers!$A$1:$I$1001, 7, FALSE)</f>
        <v>United States</v>
      </c>
      <c r="I496" s="11" t="str">
        <f>VLOOKUP(orders!D496,[1]products!$A$1:$G$49, 2,FALSE)</f>
        <v>Lib</v>
      </c>
      <c r="J496" s="11" t="str">
        <f>VLOOKUP(orders!D496,[1]products!$A$1:$G$49, 3,FALSE)</f>
        <v>L</v>
      </c>
      <c r="K496" s="12">
        <f>VLOOKUP(orders!D496,[1]products!$A$1:$G$49, 4,FALSE)</f>
        <v>1</v>
      </c>
      <c r="L496" s="12">
        <f>VLOOKUP(orders!D496,[1]products!$A$1:$G$49, 5,FALSE)</f>
        <v>15.85</v>
      </c>
      <c r="M496" s="13">
        <f>PRODUCT(orders!$E496,orders!$L496)</f>
        <v>31.7</v>
      </c>
      <c r="N496" s="11" t="str">
        <f t="shared" si="14"/>
        <v>October</v>
      </c>
      <c r="O496" s="11">
        <f t="shared" si="15"/>
        <v>2020</v>
      </c>
      <c r="P496" s="11" t="str">
        <f>TEXT(orders!$B496, "DDD")</f>
        <v>Wed</v>
      </c>
      <c r="Q496" s="11" t="str">
        <f>VLOOKUP(orders!C496,[1]customers!$A$1:$I$1001, 6,FALSE)</f>
        <v>Baton Rouge</v>
      </c>
    </row>
    <row r="497" spans="1:17" x14ac:dyDescent="0.3">
      <c r="A497" s="14" t="s">
        <v>998</v>
      </c>
      <c r="B497" s="15">
        <v>43710</v>
      </c>
      <c r="C497" s="16" t="s">
        <v>999</v>
      </c>
      <c r="D497" s="17" t="s">
        <v>149</v>
      </c>
      <c r="E497" s="16">
        <v>5</v>
      </c>
      <c r="F497" s="9" t="str">
        <f>VLOOKUP(C497,[1]customers!$A$1:$I$1001, 2, FALSE)</f>
        <v>Currey MacAllister</v>
      </c>
      <c r="G497" s="16">
        <f>VLOOKUP(orders!C497,[1]customers!$A$1:$I$1001, 3, FALSE)</f>
        <v>0</v>
      </c>
      <c r="H497" s="16" t="str">
        <f>VLOOKUP(C497, [1]customers!$A$1:$I$1001, 7, FALSE)</f>
        <v>United States</v>
      </c>
      <c r="I497" s="18" t="str">
        <f>VLOOKUP(orders!D497,[1]products!$A$1:$G$49, 2,FALSE)</f>
        <v>Lib</v>
      </c>
      <c r="J497" s="18" t="str">
        <f>VLOOKUP(orders!D497,[1]products!$A$1:$G$49, 3,FALSE)</f>
        <v>L</v>
      </c>
      <c r="K497" s="19">
        <f>VLOOKUP(orders!D497,[1]products!$A$1:$G$49, 4,FALSE)</f>
        <v>1</v>
      </c>
      <c r="L497" s="19">
        <f>VLOOKUP(orders!D497,[1]products!$A$1:$G$49, 5,FALSE)</f>
        <v>15.85</v>
      </c>
      <c r="M497" s="13">
        <f>PRODUCT(orders!$E497,orders!$L497)</f>
        <v>79.25</v>
      </c>
      <c r="N497" s="18" t="str">
        <f t="shared" si="14"/>
        <v>September</v>
      </c>
      <c r="O497" s="18">
        <f t="shared" si="15"/>
        <v>2019</v>
      </c>
      <c r="P497" s="11" t="str">
        <f>TEXT(orders!$B497, "DDD")</f>
        <v>Mon</v>
      </c>
      <c r="Q497" s="11" t="str">
        <f>VLOOKUP(orders!C497,[1]customers!$A$1:$I$1001, 6,FALSE)</f>
        <v>Danbury</v>
      </c>
    </row>
    <row r="498" spans="1:17" x14ac:dyDescent="0.3">
      <c r="A498" s="7" t="s">
        <v>1000</v>
      </c>
      <c r="B498" s="8">
        <v>44438</v>
      </c>
      <c r="C498" s="9" t="s">
        <v>1001</v>
      </c>
      <c r="D498" s="10" t="s">
        <v>68</v>
      </c>
      <c r="E498" s="9">
        <v>3</v>
      </c>
      <c r="F498" s="9" t="str">
        <f>VLOOKUP(C498,[1]customers!$A$1:$I$1001, 2, FALSE)</f>
        <v>Hamlen Pallister</v>
      </c>
      <c r="G498" s="9" t="str">
        <f>VLOOKUP(orders!C498,[1]customers!$A$1:$I$1001, 3, FALSE)</f>
        <v>hpallisterds@ning.com</v>
      </c>
      <c r="H498" s="9" t="str">
        <f>VLOOKUP(C498, [1]customers!$A$1:$I$1001, 7, FALSE)</f>
        <v>United States</v>
      </c>
      <c r="I498" s="11" t="str">
        <f>VLOOKUP(orders!D498,[1]products!$A$1:$G$49, 2,FALSE)</f>
        <v>Exc</v>
      </c>
      <c r="J498" s="11" t="str">
        <f>VLOOKUP(orders!D498,[1]products!$A$1:$G$49, 3,FALSE)</f>
        <v>D</v>
      </c>
      <c r="K498" s="12">
        <f>VLOOKUP(orders!D498,[1]products!$A$1:$G$49, 4,FALSE)</f>
        <v>0.2</v>
      </c>
      <c r="L498" s="12">
        <f>VLOOKUP(orders!D498,[1]products!$A$1:$G$49, 5,FALSE)</f>
        <v>3.645</v>
      </c>
      <c r="M498" s="13">
        <f>PRODUCT(orders!$E498,orders!$L498)</f>
        <v>10.935</v>
      </c>
      <c r="N498" s="11" t="str">
        <f t="shared" si="14"/>
        <v>August</v>
      </c>
      <c r="O498" s="11">
        <f t="shared" si="15"/>
        <v>2021</v>
      </c>
      <c r="P498" s="11" t="str">
        <f>TEXT(orders!$B498, "DDD")</f>
        <v>Mon</v>
      </c>
      <c r="Q498" s="11" t="str">
        <f>VLOOKUP(orders!C498,[1]customers!$A$1:$I$1001, 6,FALSE)</f>
        <v>Pensacola</v>
      </c>
    </row>
    <row r="499" spans="1:17" x14ac:dyDescent="0.3">
      <c r="A499" s="14" t="s">
        <v>1002</v>
      </c>
      <c r="B499" s="15">
        <v>44351</v>
      </c>
      <c r="C499" s="16" t="s">
        <v>1003</v>
      </c>
      <c r="D499" s="17" t="s">
        <v>44</v>
      </c>
      <c r="E499" s="16">
        <v>4</v>
      </c>
      <c r="F499" s="9" t="str">
        <f>VLOOKUP(C499,[1]customers!$A$1:$I$1001, 2, FALSE)</f>
        <v>Chantal Mersh</v>
      </c>
      <c r="G499" s="16" t="str">
        <f>VLOOKUP(orders!C499,[1]customers!$A$1:$I$1001, 3, FALSE)</f>
        <v>cmershdt@drupal.org</v>
      </c>
      <c r="H499" s="16" t="str">
        <f>VLOOKUP(C499, [1]customers!$A$1:$I$1001, 7, FALSE)</f>
        <v>Ireland</v>
      </c>
      <c r="I499" s="18" t="str">
        <f>VLOOKUP(orders!D499,[1]products!$A$1:$G$49, 2,FALSE)</f>
        <v>Ara</v>
      </c>
      <c r="J499" s="18" t="str">
        <f>VLOOKUP(orders!D499,[1]products!$A$1:$G$49, 3,FALSE)</f>
        <v>D</v>
      </c>
      <c r="K499" s="19">
        <f>VLOOKUP(orders!D499,[1]products!$A$1:$G$49, 4,FALSE)</f>
        <v>1</v>
      </c>
      <c r="L499" s="19">
        <f>VLOOKUP(orders!D499,[1]products!$A$1:$G$49, 5,FALSE)</f>
        <v>9.9499999999999993</v>
      </c>
      <c r="M499" s="13">
        <f>PRODUCT(orders!$E499,orders!$L499)</f>
        <v>39.799999999999997</v>
      </c>
      <c r="N499" s="18" t="str">
        <f t="shared" si="14"/>
        <v>June</v>
      </c>
      <c r="O499" s="18">
        <f t="shared" si="15"/>
        <v>2021</v>
      </c>
      <c r="P499" s="11" t="str">
        <f>TEXT(orders!$B499, "DDD")</f>
        <v>Fri</v>
      </c>
      <c r="Q499" s="11" t="str">
        <f>VLOOKUP(orders!C499,[1]customers!$A$1:$I$1001, 6,FALSE)</f>
        <v>Milltown</v>
      </c>
    </row>
    <row r="500" spans="1:17" x14ac:dyDescent="0.3">
      <c r="A500" s="7" t="s">
        <v>1004</v>
      </c>
      <c r="B500" s="8">
        <v>44159</v>
      </c>
      <c r="C500" s="9" t="s">
        <v>1005</v>
      </c>
      <c r="D500" s="10" t="s">
        <v>19</v>
      </c>
      <c r="E500" s="9">
        <v>5</v>
      </c>
      <c r="F500" s="9" t="str">
        <f>VLOOKUP(C500,[1]customers!$A$1:$I$1001, 2, FALSE)</f>
        <v>Marja Urion</v>
      </c>
      <c r="G500" s="9" t="str">
        <f>VLOOKUP(orders!C500,[1]customers!$A$1:$I$1001, 3, FALSE)</f>
        <v>murione5@alexa.com</v>
      </c>
      <c r="H500" s="9" t="str">
        <f>VLOOKUP(C500, [1]customers!$A$1:$I$1001, 7, FALSE)</f>
        <v>Ireland</v>
      </c>
      <c r="I500" s="11" t="str">
        <f>VLOOKUP(orders!D500,[1]products!$A$1:$G$49, 2,FALSE)</f>
        <v>Rob</v>
      </c>
      <c r="J500" s="11" t="str">
        <f>VLOOKUP(orders!D500,[1]products!$A$1:$G$49, 3,FALSE)</f>
        <v>M</v>
      </c>
      <c r="K500" s="12">
        <f>VLOOKUP(orders!D500,[1]products!$A$1:$G$49, 4,FALSE)</f>
        <v>1</v>
      </c>
      <c r="L500" s="12">
        <f>VLOOKUP(orders!D500,[1]products!$A$1:$G$49, 5,FALSE)</f>
        <v>9.9499999999999993</v>
      </c>
      <c r="M500" s="13">
        <f>PRODUCT(orders!$E500,orders!$L500)</f>
        <v>49.75</v>
      </c>
      <c r="N500" s="11" t="str">
        <f t="shared" si="14"/>
        <v>November</v>
      </c>
      <c r="O500" s="11">
        <f t="shared" si="15"/>
        <v>2020</v>
      </c>
      <c r="P500" s="11" t="str">
        <f>TEXT(orders!$B500, "DDD")</f>
        <v>Tue</v>
      </c>
      <c r="Q500" s="11" t="str">
        <f>VLOOKUP(orders!C500,[1]customers!$A$1:$I$1001, 6,FALSE)</f>
        <v>Virginia</v>
      </c>
    </row>
    <row r="501" spans="1:17" x14ac:dyDescent="0.3">
      <c r="A501" s="14" t="s">
        <v>1006</v>
      </c>
      <c r="B501" s="15">
        <v>44003</v>
      </c>
      <c r="C501" s="16" t="s">
        <v>1007</v>
      </c>
      <c r="D501" s="17" t="s">
        <v>118</v>
      </c>
      <c r="E501" s="16">
        <v>3</v>
      </c>
      <c r="F501" s="9" t="str">
        <f>VLOOKUP(C501,[1]customers!$A$1:$I$1001, 2, FALSE)</f>
        <v>Malynda Purbrick</v>
      </c>
      <c r="G501" s="16">
        <f>VLOOKUP(orders!C501,[1]customers!$A$1:$I$1001, 3, FALSE)</f>
        <v>0</v>
      </c>
      <c r="H501" s="16" t="str">
        <f>VLOOKUP(C501, [1]customers!$A$1:$I$1001, 7, FALSE)</f>
        <v>Ireland</v>
      </c>
      <c r="I501" s="18" t="str">
        <f>VLOOKUP(orders!D501,[1]products!$A$1:$G$49, 2,FALSE)</f>
        <v>Rob</v>
      </c>
      <c r="J501" s="18" t="str">
        <f>VLOOKUP(orders!D501,[1]products!$A$1:$G$49, 3,FALSE)</f>
        <v>D</v>
      </c>
      <c r="K501" s="19">
        <f>VLOOKUP(orders!D501,[1]products!$A$1:$G$49, 4,FALSE)</f>
        <v>0.2</v>
      </c>
      <c r="L501" s="19">
        <f>VLOOKUP(orders!D501,[1]products!$A$1:$G$49, 5,FALSE)</f>
        <v>2.6849999999999996</v>
      </c>
      <c r="M501" s="13">
        <f>PRODUCT(orders!$E501,orders!$L501)</f>
        <v>8.0549999999999997</v>
      </c>
      <c r="N501" s="18" t="str">
        <f t="shared" si="14"/>
        <v>June</v>
      </c>
      <c r="O501" s="18">
        <f t="shared" si="15"/>
        <v>2020</v>
      </c>
      <c r="P501" s="11" t="str">
        <f>TEXT(orders!$B501, "DDD")</f>
        <v>Sun</v>
      </c>
      <c r="Q501" s="11" t="str">
        <f>VLOOKUP(orders!C501,[1]customers!$A$1:$I$1001, 6,FALSE)</f>
        <v>Balally</v>
      </c>
    </row>
    <row r="502" spans="1:17" x14ac:dyDescent="0.3">
      <c r="A502" s="7" t="s">
        <v>1008</v>
      </c>
      <c r="B502" s="8">
        <v>44025</v>
      </c>
      <c r="C502" s="9" t="s">
        <v>1009</v>
      </c>
      <c r="D502" s="10" t="s">
        <v>206</v>
      </c>
      <c r="E502" s="9">
        <v>4</v>
      </c>
      <c r="F502" s="9" t="str">
        <f>VLOOKUP(C502,[1]customers!$A$1:$I$1001, 2, FALSE)</f>
        <v>Alf Housaman</v>
      </c>
      <c r="G502" s="9">
        <f>VLOOKUP(orders!C502,[1]customers!$A$1:$I$1001, 3, FALSE)</f>
        <v>0</v>
      </c>
      <c r="H502" s="9" t="str">
        <f>VLOOKUP(C502, [1]customers!$A$1:$I$1001, 7, FALSE)</f>
        <v>United States</v>
      </c>
      <c r="I502" s="11" t="str">
        <f>VLOOKUP(orders!D502,[1]products!$A$1:$G$49, 2,FALSE)</f>
        <v>Rob</v>
      </c>
      <c r="J502" s="11" t="str">
        <f>VLOOKUP(orders!D502,[1]products!$A$1:$G$49, 3,FALSE)</f>
        <v>L</v>
      </c>
      <c r="K502" s="12">
        <f>VLOOKUP(orders!D502,[1]products!$A$1:$G$49, 4,FALSE)</f>
        <v>1</v>
      </c>
      <c r="L502" s="12">
        <f>VLOOKUP(orders!D502,[1]products!$A$1:$G$49, 5,FALSE)</f>
        <v>11.95</v>
      </c>
      <c r="M502" s="13">
        <f>PRODUCT(orders!$E502,orders!$L502)</f>
        <v>47.8</v>
      </c>
      <c r="N502" s="11" t="str">
        <f t="shared" si="14"/>
        <v>July</v>
      </c>
      <c r="O502" s="11">
        <f t="shared" si="15"/>
        <v>2020</v>
      </c>
      <c r="P502" s="11" t="str">
        <f>TEXT(orders!$B502, "DDD")</f>
        <v>Mon</v>
      </c>
      <c r="Q502" s="11" t="str">
        <f>VLOOKUP(orders!C502,[1]customers!$A$1:$I$1001, 6,FALSE)</f>
        <v>Grand Rapids</v>
      </c>
    </row>
    <row r="503" spans="1:17" x14ac:dyDescent="0.3">
      <c r="A503" s="14" t="s">
        <v>1010</v>
      </c>
      <c r="B503" s="15">
        <v>43467</v>
      </c>
      <c r="C503" s="16" t="s">
        <v>1011</v>
      </c>
      <c r="D503" s="17" t="s">
        <v>179</v>
      </c>
      <c r="E503" s="16">
        <v>4</v>
      </c>
      <c r="F503" s="9" t="str">
        <f>VLOOKUP(C503,[1]customers!$A$1:$I$1001, 2, FALSE)</f>
        <v>Gladi Ducker</v>
      </c>
      <c r="G503" s="16" t="str">
        <f>VLOOKUP(orders!C503,[1]customers!$A$1:$I$1001, 3, FALSE)</f>
        <v>gduckerdx@patch.com</v>
      </c>
      <c r="H503" s="16" t="str">
        <f>VLOOKUP(C503, [1]customers!$A$1:$I$1001, 7, FALSE)</f>
        <v>United Kingdom</v>
      </c>
      <c r="I503" s="18" t="str">
        <f>VLOOKUP(orders!D503,[1]products!$A$1:$G$49, 2,FALSE)</f>
        <v>Rob</v>
      </c>
      <c r="J503" s="18" t="str">
        <f>VLOOKUP(orders!D503,[1]products!$A$1:$G$49, 3,FALSE)</f>
        <v>M</v>
      </c>
      <c r="K503" s="19">
        <f>VLOOKUP(orders!D503,[1]products!$A$1:$G$49, 4,FALSE)</f>
        <v>0.2</v>
      </c>
      <c r="L503" s="19">
        <f>VLOOKUP(orders!D503,[1]products!$A$1:$G$49, 5,FALSE)</f>
        <v>2.9849999999999999</v>
      </c>
      <c r="M503" s="13">
        <f>PRODUCT(orders!$E503,orders!$L503)</f>
        <v>11.94</v>
      </c>
      <c r="N503" s="18" t="str">
        <f t="shared" si="14"/>
        <v>January</v>
      </c>
      <c r="O503" s="18">
        <f t="shared" si="15"/>
        <v>2019</v>
      </c>
      <c r="P503" s="11" t="str">
        <f>TEXT(orders!$B503, "DDD")</f>
        <v>Wed</v>
      </c>
      <c r="Q503" s="11" t="str">
        <f>VLOOKUP(orders!C503,[1]customers!$A$1:$I$1001, 6,FALSE)</f>
        <v>Belfast</v>
      </c>
    </row>
    <row r="504" spans="1:17" x14ac:dyDescent="0.3">
      <c r="A504" s="7" t="s">
        <v>1010</v>
      </c>
      <c r="B504" s="8">
        <v>43467</v>
      </c>
      <c r="C504" s="9" t="s">
        <v>1011</v>
      </c>
      <c r="D504" s="10" t="s">
        <v>81</v>
      </c>
      <c r="E504" s="9">
        <v>4</v>
      </c>
      <c r="F504" s="9" t="str">
        <f>VLOOKUP(C504,[1]customers!$A$1:$I$1001, 2, FALSE)</f>
        <v>Gladi Ducker</v>
      </c>
      <c r="G504" s="9" t="str">
        <f>VLOOKUP(orders!C504,[1]customers!$A$1:$I$1001, 3, FALSE)</f>
        <v>gduckerdx@patch.com</v>
      </c>
      <c r="H504" s="9" t="str">
        <f>VLOOKUP(C504, [1]customers!$A$1:$I$1001, 7, FALSE)</f>
        <v>United Kingdom</v>
      </c>
      <c r="I504" s="11" t="str">
        <f>VLOOKUP(orders!D504,[1]products!$A$1:$G$49, 2,FALSE)</f>
        <v>Exc</v>
      </c>
      <c r="J504" s="11" t="str">
        <f>VLOOKUP(orders!D504,[1]products!$A$1:$G$49, 3,FALSE)</f>
        <v>M</v>
      </c>
      <c r="K504" s="12">
        <f>VLOOKUP(orders!D504,[1]products!$A$1:$G$49, 4,FALSE)</f>
        <v>0.2</v>
      </c>
      <c r="L504" s="12">
        <f>VLOOKUP(orders!D504,[1]products!$A$1:$G$49, 5,FALSE)</f>
        <v>4.125</v>
      </c>
      <c r="M504" s="13">
        <f>PRODUCT(orders!$E504,orders!$L504)</f>
        <v>16.5</v>
      </c>
      <c r="N504" s="11" t="str">
        <f t="shared" si="14"/>
        <v>January</v>
      </c>
      <c r="O504" s="11">
        <f t="shared" si="15"/>
        <v>2019</v>
      </c>
      <c r="P504" s="11" t="str">
        <f>TEXT(orders!$B504, "DDD")</f>
        <v>Wed</v>
      </c>
      <c r="Q504" s="11" t="str">
        <f>VLOOKUP(orders!C504,[1]customers!$A$1:$I$1001, 6,FALSE)</f>
        <v>Belfast</v>
      </c>
    </row>
    <row r="505" spans="1:17" x14ac:dyDescent="0.3">
      <c r="A505" s="14" t="s">
        <v>1010</v>
      </c>
      <c r="B505" s="15">
        <v>43467</v>
      </c>
      <c r="C505" s="16" t="s">
        <v>1011</v>
      </c>
      <c r="D505" s="17" t="s">
        <v>30</v>
      </c>
      <c r="E505" s="16">
        <v>4</v>
      </c>
      <c r="F505" s="9" t="str">
        <f>VLOOKUP(C505,[1]customers!$A$1:$I$1001, 2, FALSE)</f>
        <v>Gladi Ducker</v>
      </c>
      <c r="G505" s="16" t="str">
        <f>VLOOKUP(orders!C505,[1]customers!$A$1:$I$1001, 3, FALSE)</f>
        <v>gduckerdx@patch.com</v>
      </c>
      <c r="H505" s="16" t="str">
        <f>VLOOKUP(C505, [1]customers!$A$1:$I$1001, 7, FALSE)</f>
        <v>United Kingdom</v>
      </c>
      <c r="I505" s="18" t="str">
        <f>VLOOKUP(orders!D505,[1]products!$A$1:$G$49, 2,FALSE)</f>
        <v>Lib</v>
      </c>
      <c r="J505" s="18" t="str">
        <f>VLOOKUP(orders!D505,[1]products!$A$1:$G$49, 3,FALSE)</f>
        <v>D</v>
      </c>
      <c r="K505" s="19">
        <f>VLOOKUP(orders!D505,[1]products!$A$1:$G$49, 4,FALSE)</f>
        <v>1</v>
      </c>
      <c r="L505" s="19">
        <f>VLOOKUP(orders!D505,[1]products!$A$1:$G$49, 5,FALSE)</f>
        <v>12.95</v>
      </c>
      <c r="M505" s="13">
        <f>PRODUCT(orders!$E505,orders!$L505)</f>
        <v>51.8</v>
      </c>
      <c r="N505" s="18" t="str">
        <f t="shared" si="14"/>
        <v>January</v>
      </c>
      <c r="O505" s="18">
        <f t="shared" si="15"/>
        <v>2019</v>
      </c>
      <c r="P505" s="11" t="str">
        <f>TEXT(orders!$B505, "DDD")</f>
        <v>Wed</v>
      </c>
      <c r="Q505" s="11" t="str">
        <f>VLOOKUP(orders!C505,[1]customers!$A$1:$I$1001, 6,FALSE)</f>
        <v>Belfast</v>
      </c>
    </row>
    <row r="506" spans="1:17" x14ac:dyDescent="0.3">
      <c r="A506" s="7" t="s">
        <v>1010</v>
      </c>
      <c r="B506" s="8">
        <v>43467</v>
      </c>
      <c r="C506" s="9" t="s">
        <v>1011</v>
      </c>
      <c r="D506" s="10" t="s">
        <v>36</v>
      </c>
      <c r="E506" s="9">
        <v>3</v>
      </c>
      <c r="F506" s="9" t="str">
        <f>VLOOKUP(C506,[1]customers!$A$1:$I$1001, 2, FALSE)</f>
        <v>Gladi Ducker</v>
      </c>
      <c r="G506" s="9" t="str">
        <f>VLOOKUP(orders!C506,[1]customers!$A$1:$I$1001, 3, FALSE)</f>
        <v>gduckerdx@patch.com</v>
      </c>
      <c r="H506" s="9" t="str">
        <f>VLOOKUP(C506, [1]customers!$A$1:$I$1001, 7, FALSE)</f>
        <v>United Kingdom</v>
      </c>
      <c r="I506" s="11" t="str">
        <f>VLOOKUP(orders!D506,[1]products!$A$1:$G$49, 2,FALSE)</f>
        <v>Lib</v>
      </c>
      <c r="J506" s="11" t="str">
        <f>VLOOKUP(orders!D506,[1]products!$A$1:$G$49, 3,FALSE)</f>
        <v>L</v>
      </c>
      <c r="K506" s="12">
        <f>VLOOKUP(orders!D506,[1]products!$A$1:$G$49, 4,FALSE)</f>
        <v>0.2</v>
      </c>
      <c r="L506" s="12">
        <f>VLOOKUP(orders!D506,[1]products!$A$1:$G$49, 5,FALSE)</f>
        <v>4.7549999999999999</v>
      </c>
      <c r="M506" s="13">
        <f>PRODUCT(orders!$E506,orders!$L506)</f>
        <v>14.265000000000001</v>
      </c>
      <c r="N506" s="11" t="str">
        <f t="shared" si="14"/>
        <v>January</v>
      </c>
      <c r="O506" s="11">
        <f t="shared" si="15"/>
        <v>2019</v>
      </c>
      <c r="P506" s="11" t="str">
        <f>TEXT(orders!$B506, "DDD")</f>
        <v>Wed</v>
      </c>
      <c r="Q506" s="11" t="str">
        <f>VLOOKUP(orders!C506,[1]customers!$A$1:$I$1001, 6,FALSE)</f>
        <v>Belfast</v>
      </c>
    </row>
    <row r="507" spans="1:17" x14ac:dyDescent="0.3">
      <c r="A507" s="14" t="s">
        <v>1012</v>
      </c>
      <c r="B507" s="15">
        <v>44609</v>
      </c>
      <c r="C507" s="16" t="s">
        <v>1013</v>
      </c>
      <c r="D507" s="17" t="s">
        <v>94</v>
      </c>
      <c r="E507" s="16">
        <v>6</v>
      </c>
      <c r="F507" s="9" t="str">
        <f>VLOOKUP(C507,[1]customers!$A$1:$I$1001, 2, FALSE)</f>
        <v>Wain Stearley</v>
      </c>
      <c r="G507" s="16" t="str">
        <f>VLOOKUP(orders!C507,[1]customers!$A$1:$I$1001, 3, FALSE)</f>
        <v>wstearleye1@census.gov</v>
      </c>
      <c r="H507" s="16" t="str">
        <f>VLOOKUP(C507, [1]customers!$A$1:$I$1001, 7, FALSE)</f>
        <v>United States</v>
      </c>
      <c r="I507" s="18" t="str">
        <f>VLOOKUP(orders!D507,[1]products!$A$1:$G$49, 2,FALSE)</f>
        <v>Lib</v>
      </c>
      <c r="J507" s="18" t="str">
        <f>VLOOKUP(orders!D507,[1]products!$A$1:$G$49, 3,FALSE)</f>
        <v>M</v>
      </c>
      <c r="K507" s="19">
        <f>VLOOKUP(orders!D507,[1]products!$A$1:$G$49, 4,FALSE)</f>
        <v>0.2</v>
      </c>
      <c r="L507" s="19">
        <f>VLOOKUP(orders!D507,[1]products!$A$1:$G$49, 5,FALSE)</f>
        <v>4.3650000000000002</v>
      </c>
      <c r="M507" s="13">
        <f>PRODUCT(orders!$E507,orders!$L507)</f>
        <v>26.19</v>
      </c>
      <c r="N507" s="18" t="str">
        <f t="shared" si="14"/>
        <v>February</v>
      </c>
      <c r="O507" s="18">
        <f t="shared" si="15"/>
        <v>2022</v>
      </c>
      <c r="P507" s="11" t="str">
        <f>TEXT(orders!$B507, "DDD")</f>
        <v>Thu</v>
      </c>
      <c r="Q507" s="11" t="str">
        <f>VLOOKUP(orders!C507,[1]customers!$A$1:$I$1001, 6,FALSE)</f>
        <v>High Point</v>
      </c>
    </row>
    <row r="508" spans="1:17" x14ac:dyDescent="0.3">
      <c r="A508" s="7" t="s">
        <v>1014</v>
      </c>
      <c r="B508" s="8">
        <v>44184</v>
      </c>
      <c r="C508" s="9" t="s">
        <v>1015</v>
      </c>
      <c r="D508" s="10" t="s">
        <v>23</v>
      </c>
      <c r="E508" s="9">
        <v>2</v>
      </c>
      <c r="F508" s="9" t="str">
        <f>VLOOKUP(C508,[1]customers!$A$1:$I$1001, 2, FALSE)</f>
        <v>Diane-marie Wincer</v>
      </c>
      <c r="G508" s="9" t="str">
        <f>VLOOKUP(orders!C508,[1]customers!$A$1:$I$1001, 3, FALSE)</f>
        <v>dwincere2@marriott.com</v>
      </c>
      <c r="H508" s="9" t="str">
        <f>VLOOKUP(C508, [1]customers!$A$1:$I$1001, 7, FALSE)</f>
        <v>United States</v>
      </c>
      <c r="I508" s="11" t="str">
        <f>VLOOKUP(orders!D508,[1]products!$A$1:$G$49, 2,FALSE)</f>
        <v>Ara</v>
      </c>
      <c r="J508" s="11" t="str">
        <f>VLOOKUP(orders!D508,[1]products!$A$1:$G$49, 3,FALSE)</f>
        <v>L</v>
      </c>
      <c r="K508" s="12">
        <f>VLOOKUP(orders!D508,[1]products!$A$1:$G$49, 4,FALSE)</f>
        <v>1</v>
      </c>
      <c r="L508" s="12">
        <f>VLOOKUP(orders!D508,[1]products!$A$1:$G$49, 5,FALSE)</f>
        <v>12.95</v>
      </c>
      <c r="M508" s="13">
        <f>PRODUCT(orders!$E508,orders!$L508)</f>
        <v>25.9</v>
      </c>
      <c r="N508" s="11" t="str">
        <f t="shared" si="14"/>
        <v>December</v>
      </c>
      <c r="O508" s="11">
        <f t="shared" si="15"/>
        <v>2020</v>
      </c>
      <c r="P508" s="11" t="str">
        <f>TEXT(orders!$B508, "DDD")</f>
        <v>Sat</v>
      </c>
      <c r="Q508" s="11" t="str">
        <f>VLOOKUP(orders!C508,[1]customers!$A$1:$I$1001, 6,FALSE)</f>
        <v>El Paso</v>
      </c>
    </row>
    <row r="509" spans="1:17" x14ac:dyDescent="0.3">
      <c r="A509" s="14" t="s">
        <v>1016</v>
      </c>
      <c r="B509" s="15">
        <v>43516</v>
      </c>
      <c r="C509" s="16" t="s">
        <v>1017</v>
      </c>
      <c r="D509" s="17" t="s">
        <v>221</v>
      </c>
      <c r="E509" s="16">
        <v>3</v>
      </c>
      <c r="F509" s="9" t="str">
        <f>VLOOKUP(C509,[1]customers!$A$1:$I$1001, 2, FALSE)</f>
        <v>Perry Lyfield</v>
      </c>
      <c r="G509" s="16" t="str">
        <f>VLOOKUP(orders!C509,[1]customers!$A$1:$I$1001, 3, FALSE)</f>
        <v>plyfielde3@baidu.com</v>
      </c>
      <c r="H509" s="16" t="str">
        <f>VLOOKUP(C509, [1]customers!$A$1:$I$1001, 7, FALSE)</f>
        <v>United States</v>
      </c>
      <c r="I509" s="18" t="str">
        <f>VLOOKUP(orders!D509,[1]products!$A$1:$G$49, 2,FALSE)</f>
        <v>Ara</v>
      </c>
      <c r="J509" s="18" t="str">
        <f>VLOOKUP(orders!D509,[1]products!$A$1:$G$49, 3,FALSE)</f>
        <v>L</v>
      </c>
      <c r="K509" s="19">
        <f>VLOOKUP(orders!D509,[1]products!$A$1:$G$49, 4,FALSE)</f>
        <v>2.5</v>
      </c>
      <c r="L509" s="19">
        <f>VLOOKUP(orders!D509,[1]products!$A$1:$G$49, 5,FALSE)</f>
        <v>29.784999999999997</v>
      </c>
      <c r="M509" s="13">
        <f>PRODUCT(orders!$E509,orders!$L509)</f>
        <v>89.35499999999999</v>
      </c>
      <c r="N509" s="18" t="str">
        <f t="shared" si="14"/>
        <v>February</v>
      </c>
      <c r="O509" s="18">
        <f t="shared" si="15"/>
        <v>2019</v>
      </c>
      <c r="P509" s="11" t="str">
        <f>TEXT(orders!$B509, "DDD")</f>
        <v>Wed</v>
      </c>
      <c r="Q509" s="11" t="str">
        <f>VLOOKUP(orders!C509,[1]customers!$A$1:$I$1001, 6,FALSE)</f>
        <v>Cleveland</v>
      </c>
    </row>
    <row r="510" spans="1:17" x14ac:dyDescent="0.3">
      <c r="A510" s="7" t="s">
        <v>1018</v>
      </c>
      <c r="B510" s="8">
        <v>44210</v>
      </c>
      <c r="C510" s="9" t="s">
        <v>1019</v>
      </c>
      <c r="D510" s="10" t="s">
        <v>140</v>
      </c>
      <c r="E510" s="9">
        <v>6</v>
      </c>
      <c r="F510" s="9" t="str">
        <f>VLOOKUP(C510,[1]customers!$A$1:$I$1001, 2, FALSE)</f>
        <v>Heall Perris</v>
      </c>
      <c r="G510" s="9" t="str">
        <f>VLOOKUP(orders!C510,[1]customers!$A$1:$I$1001, 3, FALSE)</f>
        <v>hperrise4@studiopress.com</v>
      </c>
      <c r="H510" s="9" t="str">
        <f>VLOOKUP(C510, [1]customers!$A$1:$I$1001, 7, FALSE)</f>
        <v>Ireland</v>
      </c>
      <c r="I510" s="11" t="str">
        <f>VLOOKUP(orders!D510,[1]products!$A$1:$G$49, 2,FALSE)</f>
        <v>Lib</v>
      </c>
      <c r="J510" s="11" t="str">
        <f>VLOOKUP(orders!D510,[1]products!$A$1:$G$49, 3,FALSE)</f>
        <v>D</v>
      </c>
      <c r="K510" s="12">
        <f>VLOOKUP(orders!D510,[1]products!$A$1:$G$49, 4,FALSE)</f>
        <v>0.5</v>
      </c>
      <c r="L510" s="12">
        <f>VLOOKUP(orders!D510,[1]products!$A$1:$G$49, 5,FALSE)</f>
        <v>7.77</v>
      </c>
      <c r="M510" s="13">
        <f>PRODUCT(orders!$E510,orders!$L510)</f>
        <v>46.62</v>
      </c>
      <c r="N510" s="11" t="str">
        <f t="shared" si="14"/>
        <v>January</v>
      </c>
      <c r="O510" s="11">
        <f t="shared" si="15"/>
        <v>2021</v>
      </c>
      <c r="P510" s="11" t="str">
        <f>TEXT(orders!$B510, "DDD")</f>
        <v>Thu</v>
      </c>
      <c r="Q510" s="11" t="str">
        <f>VLOOKUP(orders!C510,[1]customers!$A$1:$I$1001, 6,FALSE)</f>
        <v>Ballymahon</v>
      </c>
    </row>
    <row r="511" spans="1:17" x14ac:dyDescent="0.3">
      <c r="A511" s="14" t="s">
        <v>1020</v>
      </c>
      <c r="B511" s="15">
        <v>43785</v>
      </c>
      <c r="C511" s="16" t="s">
        <v>1005</v>
      </c>
      <c r="D511" s="17" t="s">
        <v>44</v>
      </c>
      <c r="E511" s="16">
        <v>3</v>
      </c>
      <c r="F511" s="9" t="str">
        <f>VLOOKUP(C511,[1]customers!$A$1:$I$1001, 2, FALSE)</f>
        <v>Marja Urion</v>
      </c>
      <c r="G511" s="16" t="str">
        <f>VLOOKUP(orders!C511,[1]customers!$A$1:$I$1001, 3, FALSE)</f>
        <v>murione5@alexa.com</v>
      </c>
      <c r="H511" s="16" t="str">
        <f>VLOOKUP(C511, [1]customers!$A$1:$I$1001, 7, FALSE)</f>
        <v>Ireland</v>
      </c>
      <c r="I511" s="18" t="str">
        <f>VLOOKUP(orders!D511,[1]products!$A$1:$G$49, 2,FALSE)</f>
        <v>Ara</v>
      </c>
      <c r="J511" s="18" t="str">
        <f>VLOOKUP(orders!D511,[1]products!$A$1:$G$49, 3,FALSE)</f>
        <v>D</v>
      </c>
      <c r="K511" s="19">
        <f>VLOOKUP(orders!D511,[1]products!$A$1:$G$49, 4,FALSE)</f>
        <v>1</v>
      </c>
      <c r="L511" s="19">
        <f>VLOOKUP(orders!D511,[1]products!$A$1:$G$49, 5,FALSE)</f>
        <v>9.9499999999999993</v>
      </c>
      <c r="M511" s="13">
        <f>PRODUCT(orders!$E511,orders!$L511)</f>
        <v>29.849999999999998</v>
      </c>
      <c r="N511" s="18" t="str">
        <f t="shared" si="14"/>
        <v>November</v>
      </c>
      <c r="O511" s="18">
        <f t="shared" si="15"/>
        <v>2019</v>
      </c>
      <c r="P511" s="11" t="str">
        <f>TEXT(orders!$B511, "DDD")</f>
        <v>Sat</v>
      </c>
      <c r="Q511" s="11" t="str">
        <f>VLOOKUP(orders!C511,[1]customers!$A$1:$I$1001, 6,FALSE)</f>
        <v>Virginia</v>
      </c>
    </row>
    <row r="512" spans="1:17" x14ac:dyDescent="0.3">
      <c r="A512" s="7" t="s">
        <v>1021</v>
      </c>
      <c r="B512" s="8">
        <v>43803</v>
      </c>
      <c r="C512" s="9" t="s">
        <v>1022</v>
      </c>
      <c r="D512" s="10" t="s">
        <v>199</v>
      </c>
      <c r="E512" s="9">
        <v>3</v>
      </c>
      <c r="F512" s="9" t="str">
        <f>VLOOKUP(C512,[1]customers!$A$1:$I$1001, 2, FALSE)</f>
        <v>Camellia Kid</v>
      </c>
      <c r="G512" s="9" t="str">
        <f>VLOOKUP(orders!C512,[1]customers!$A$1:$I$1001, 3, FALSE)</f>
        <v>ckide6@narod.ru</v>
      </c>
      <c r="H512" s="9" t="str">
        <f>VLOOKUP(C512, [1]customers!$A$1:$I$1001, 7, FALSE)</f>
        <v>Ireland</v>
      </c>
      <c r="I512" s="11" t="str">
        <f>VLOOKUP(orders!D512,[1]products!$A$1:$G$49, 2,FALSE)</f>
        <v>Rob</v>
      </c>
      <c r="J512" s="11" t="str">
        <f>VLOOKUP(orders!D512,[1]products!$A$1:$G$49, 3,FALSE)</f>
        <v>L</v>
      </c>
      <c r="K512" s="12">
        <f>VLOOKUP(orders!D512,[1]products!$A$1:$G$49, 4,FALSE)</f>
        <v>0.2</v>
      </c>
      <c r="L512" s="12">
        <f>VLOOKUP(orders!D512,[1]products!$A$1:$G$49, 5,FALSE)</f>
        <v>3.5849999999999995</v>
      </c>
      <c r="M512" s="13">
        <f>PRODUCT(orders!$E512,orders!$L512)</f>
        <v>10.754999999999999</v>
      </c>
      <c r="N512" s="11" t="str">
        <f t="shared" si="14"/>
        <v>December</v>
      </c>
      <c r="O512" s="11">
        <f t="shared" si="15"/>
        <v>2019</v>
      </c>
      <c r="P512" s="11" t="str">
        <f>TEXT(orders!$B512, "DDD")</f>
        <v>Wed</v>
      </c>
      <c r="Q512" s="11" t="str">
        <f>VLOOKUP(orders!C512,[1]customers!$A$1:$I$1001, 6,FALSE)</f>
        <v>Whitegate</v>
      </c>
    </row>
    <row r="513" spans="1:17" x14ac:dyDescent="0.3">
      <c r="A513" s="14" t="s">
        <v>1023</v>
      </c>
      <c r="B513" s="15">
        <v>44043</v>
      </c>
      <c r="C513" s="16" t="s">
        <v>1024</v>
      </c>
      <c r="D513" s="17" t="s">
        <v>61</v>
      </c>
      <c r="E513" s="16">
        <v>4</v>
      </c>
      <c r="F513" s="9" t="str">
        <f>VLOOKUP(C513,[1]customers!$A$1:$I$1001, 2, FALSE)</f>
        <v>Carolann Beine</v>
      </c>
      <c r="G513" s="16" t="str">
        <f>VLOOKUP(orders!C513,[1]customers!$A$1:$I$1001, 3, FALSE)</f>
        <v>cbeinee7@xinhuanet.com</v>
      </c>
      <c r="H513" s="16" t="str">
        <f>VLOOKUP(C513, [1]customers!$A$1:$I$1001, 7, FALSE)</f>
        <v>United States</v>
      </c>
      <c r="I513" s="18" t="str">
        <f>VLOOKUP(orders!D513,[1]products!$A$1:$G$49, 2,FALSE)</f>
        <v>Ara</v>
      </c>
      <c r="J513" s="18" t="str">
        <f>VLOOKUP(orders!D513,[1]products!$A$1:$G$49, 3,FALSE)</f>
        <v>M</v>
      </c>
      <c r="K513" s="19">
        <f>VLOOKUP(orders!D513,[1]products!$A$1:$G$49, 4,FALSE)</f>
        <v>0.2</v>
      </c>
      <c r="L513" s="19">
        <f>VLOOKUP(orders!D513,[1]products!$A$1:$G$49, 5,FALSE)</f>
        <v>3.375</v>
      </c>
      <c r="M513" s="13">
        <f>PRODUCT(orders!$E513,orders!$L513)</f>
        <v>13.5</v>
      </c>
      <c r="N513" s="18" t="str">
        <f t="shared" si="14"/>
        <v>July</v>
      </c>
      <c r="O513" s="18">
        <f t="shared" si="15"/>
        <v>2020</v>
      </c>
      <c r="P513" s="11" t="str">
        <f>TEXT(orders!$B513, "DDD")</f>
        <v>Fri</v>
      </c>
      <c r="Q513" s="11" t="str">
        <f>VLOOKUP(orders!C513,[1]customers!$A$1:$I$1001, 6,FALSE)</f>
        <v>Birmingham</v>
      </c>
    </row>
    <row r="514" spans="1:17" x14ac:dyDescent="0.3">
      <c r="A514" s="7" t="s">
        <v>1025</v>
      </c>
      <c r="B514" s="8">
        <v>43535</v>
      </c>
      <c r="C514" s="9" t="s">
        <v>1026</v>
      </c>
      <c r="D514" s="10" t="s">
        <v>149</v>
      </c>
      <c r="E514" s="9">
        <v>3</v>
      </c>
      <c r="F514" s="9" t="str">
        <f>VLOOKUP(C514,[1]customers!$A$1:$I$1001, 2, FALSE)</f>
        <v>Celia Bakeup</v>
      </c>
      <c r="G514" s="9" t="str">
        <f>VLOOKUP(orders!C514,[1]customers!$A$1:$I$1001, 3, FALSE)</f>
        <v>cbakeupe8@globo.com</v>
      </c>
      <c r="H514" s="9" t="str">
        <f>VLOOKUP(C514, [1]customers!$A$1:$I$1001, 7, FALSE)</f>
        <v>United States</v>
      </c>
      <c r="I514" s="11" t="str">
        <f>VLOOKUP(orders!D514,[1]products!$A$1:$G$49, 2,FALSE)</f>
        <v>Lib</v>
      </c>
      <c r="J514" s="11" t="str">
        <f>VLOOKUP(orders!D514,[1]products!$A$1:$G$49, 3,FALSE)</f>
        <v>L</v>
      </c>
      <c r="K514" s="12">
        <f>VLOOKUP(orders!D514,[1]products!$A$1:$G$49, 4,FALSE)</f>
        <v>1</v>
      </c>
      <c r="L514" s="12">
        <f>VLOOKUP(orders!D514,[1]products!$A$1:$G$49, 5,FALSE)</f>
        <v>15.85</v>
      </c>
      <c r="M514" s="13">
        <f>PRODUCT(orders!$E514,orders!$L514)</f>
        <v>47.55</v>
      </c>
      <c r="N514" s="11" t="str">
        <f t="shared" ref="N514:N577" si="16">TEXT(B514, "mmmm")</f>
        <v>March</v>
      </c>
      <c r="O514" s="11">
        <f t="shared" ref="O514:O577" si="17">YEAR(B514)</f>
        <v>2019</v>
      </c>
      <c r="P514" s="11" t="str">
        <f>TEXT(orders!$B514, "DDD")</f>
        <v>Mon</v>
      </c>
      <c r="Q514" s="11" t="str">
        <f>VLOOKUP(orders!C514,[1]customers!$A$1:$I$1001, 6,FALSE)</f>
        <v>Saint Cloud</v>
      </c>
    </row>
    <row r="515" spans="1:17" x14ac:dyDescent="0.3">
      <c r="A515" s="14" t="s">
        <v>1027</v>
      </c>
      <c r="B515" s="15">
        <v>44691</v>
      </c>
      <c r="C515" s="16" t="s">
        <v>1028</v>
      </c>
      <c r="D515" s="17" t="s">
        <v>149</v>
      </c>
      <c r="E515" s="16">
        <v>5</v>
      </c>
      <c r="F515" s="9" t="str">
        <f>VLOOKUP(C515,[1]customers!$A$1:$I$1001, 2, FALSE)</f>
        <v>Nataniel Helkin</v>
      </c>
      <c r="G515" s="16" t="str">
        <f>VLOOKUP(orders!C515,[1]customers!$A$1:$I$1001, 3, FALSE)</f>
        <v>nhelkine9@example.com</v>
      </c>
      <c r="H515" s="16" t="str">
        <f>VLOOKUP(C515, [1]customers!$A$1:$I$1001, 7, FALSE)</f>
        <v>United States</v>
      </c>
      <c r="I515" s="18" t="str">
        <f>VLOOKUP(orders!D515,[1]products!$A$1:$G$49, 2,FALSE)</f>
        <v>Lib</v>
      </c>
      <c r="J515" s="18" t="str">
        <f>VLOOKUP(orders!D515,[1]products!$A$1:$G$49, 3,FALSE)</f>
        <v>L</v>
      </c>
      <c r="K515" s="19">
        <f>VLOOKUP(orders!D515,[1]products!$A$1:$G$49, 4,FALSE)</f>
        <v>1</v>
      </c>
      <c r="L515" s="19">
        <f>VLOOKUP(orders!D515,[1]products!$A$1:$G$49, 5,FALSE)</f>
        <v>15.85</v>
      </c>
      <c r="M515" s="13">
        <f>PRODUCT(orders!$E515,orders!$L515)</f>
        <v>79.25</v>
      </c>
      <c r="N515" s="18" t="str">
        <f t="shared" si="16"/>
        <v>May</v>
      </c>
      <c r="O515" s="18">
        <f t="shared" si="17"/>
        <v>2022</v>
      </c>
      <c r="P515" s="11" t="str">
        <f>TEXT(orders!$B515, "DDD")</f>
        <v>Tue</v>
      </c>
      <c r="Q515" s="11" t="str">
        <f>VLOOKUP(orders!C515,[1]customers!$A$1:$I$1001, 6,FALSE)</f>
        <v>Philadelphia</v>
      </c>
    </row>
    <row r="516" spans="1:17" x14ac:dyDescent="0.3">
      <c r="A516" s="7" t="s">
        <v>1029</v>
      </c>
      <c r="B516" s="8">
        <v>44555</v>
      </c>
      <c r="C516" s="9" t="s">
        <v>1030</v>
      </c>
      <c r="D516" s="10" t="s">
        <v>94</v>
      </c>
      <c r="E516" s="9">
        <v>6</v>
      </c>
      <c r="F516" s="9" t="str">
        <f>VLOOKUP(C516,[1]customers!$A$1:$I$1001, 2, FALSE)</f>
        <v>Pippo Witherington</v>
      </c>
      <c r="G516" s="9" t="str">
        <f>VLOOKUP(orders!C516,[1]customers!$A$1:$I$1001, 3, FALSE)</f>
        <v>pwitheringtonea@networkadvertising.org</v>
      </c>
      <c r="H516" s="9" t="str">
        <f>VLOOKUP(C516, [1]customers!$A$1:$I$1001, 7, FALSE)</f>
        <v>United States</v>
      </c>
      <c r="I516" s="11" t="str">
        <f>VLOOKUP(orders!D516,[1]products!$A$1:$G$49, 2,FALSE)</f>
        <v>Lib</v>
      </c>
      <c r="J516" s="11" t="str">
        <f>VLOOKUP(orders!D516,[1]products!$A$1:$G$49, 3,FALSE)</f>
        <v>M</v>
      </c>
      <c r="K516" s="12">
        <f>VLOOKUP(orders!D516,[1]products!$A$1:$G$49, 4,FALSE)</f>
        <v>0.2</v>
      </c>
      <c r="L516" s="12">
        <f>VLOOKUP(orders!D516,[1]products!$A$1:$G$49, 5,FALSE)</f>
        <v>4.3650000000000002</v>
      </c>
      <c r="M516" s="13">
        <f>PRODUCT(orders!$E516,orders!$L516)</f>
        <v>26.19</v>
      </c>
      <c r="N516" s="11" t="str">
        <f t="shared" si="16"/>
        <v>December</v>
      </c>
      <c r="O516" s="11">
        <f t="shared" si="17"/>
        <v>2021</v>
      </c>
      <c r="P516" s="11" t="str">
        <f>TEXT(orders!$B516, "DDD")</f>
        <v>Sat</v>
      </c>
      <c r="Q516" s="11" t="str">
        <f>VLOOKUP(orders!C516,[1]customers!$A$1:$I$1001, 6,FALSE)</f>
        <v>Detroit</v>
      </c>
    </row>
    <row r="517" spans="1:17" x14ac:dyDescent="0.3">
      <c r="A517" s="14" t="s">
        <v>1031</v>
      </c>
      <c r="B517" s="15">
        <v>44673</v>
      </c>
      <c r="C517" s="16" t="s">
        <v>1032</v>
      </c>
      <c r="D517" s="17" t="s">
        <v>174</v>
      </c>
      <c r="E517" s="16">
        <v>3</v>
      </c>
      <c r="F517" s="9" t="str">
        <f>VLOOKUP(C517,[1]customers!$A$1:$I$1001, 2, FALSE)</f>
        <v>Tildie Tilzey</v>
      </c>
      <c r="G517" s="16" t="str">
        <f>VLOOKUP(orders!C517,[1]customers!$A$1:$I$1001, 3, FALSE)</f>
        <v>ttilzeyeb@hostgator.com</v>
      </c>
      <c r="H517" s="16" t="str">
        <f>VLOOKUP(C517, [1]customers!$A$1:$I$1001, 7, FALSE)</f>
        <v>United States</v>
      </c>
      <c r="I517" s="18" t="str">
        <f>VLOOKUP(orders!D517,[1]products!$A$1:$G$49, 2,FALSE)</f>
        <v>Rob</v>
      </c>
      <c r="J517" s="18" t="str">
        <f>VLOOKUP(orders!D517,[1]products!$A$1:$G$49, 3,FALSE)</f>
        <v>L</v>
      </c>
      <c r="K517" s="19">
        <f>VLOOKUP(orders!D517,[1]products!$A$1:$G$49, 4,FALSE)</f>
        <v>0.5</v>
      </c>
      <c r="L517" s="19">
        <f>VLOOKUP(orders!D517,[1]products!$A$1:$G$49, 5,FALSE)</f>
        <v>7.169999999999999</v>
      </c>
      <c r="M517" s="13">
        <f>PRODUCT(orders!$E517,orders!$L517)</f>
        <v>21.509999999999998</v>
      </c>
      <c r="N517" s="18" t="str">
        <f t="shared" si="16"/>
        <v>April</v>
      </c>
      <c r="O517" s="18">
        <f t="shared" si="17"/>
        <v>2022</v>
      </c>
      <c r="P517" s="11" t="str">
        <f>TEXT(orders!$B517, "DDD")</f>
        <v>Fri</v>
      </c>
      <c r="Q517" s="11" t="str">
        <f>VLOOKUP(orders!C517,[1]customers!$A$1:$I$1001, 6,FALSE)</f>
        <v>Saint Louis</v>
      </c>
    </row>
    <row r="518" spans="1:17" x14ac:dyDescent="0.3">
      <c r="A518" s="7" t="s">
        <v>1033</v>
      </c>
      <c r="B518" s="8">
        <v>44723</v>
      </c>
      <c r="C518" s="9" t="s">
        <v>1034</v>
      </c>
      <c r="D518" s="10" t="s">
        <v>52</v>
      </c>
      <c r="E518" s="9">
        <v>5</v>
      </c>
      <c r="F518" s="9" t="str">
        <f>VLOOKUP(C518,[1]customers!$A$1:$I$1001, 2, FALSE)</f>
        <v>Cindra Burling</v>
      </c>
      <c r="G518" s="9">
        <f>VLOOKUP(orders!C518,[1]customers!$A$1:$I$1001, 3, FALSE)</f>
        <v>0</v>
      </c>
      <c r="H518" s="9" t="str">
        <f>VLOOKUP(C518, [1]customers!$A$1:$I$1001, 7, FALSE)</f>
        <v>United States</v>
      </c>
      <c r="I518" s="11" t="str">
        <f>VLOOKUP(orders!D518,[1]products!$A$1:$G$49, 2,FALSE)</f>
        <v>Rob</v>
      </c>
      <c r="J518" s="11" t="str">
        <f>VLOOKUP(orders!D518,[1]products!$A$1:$G$49, 3,FALSE)</f>
        <v>D</v>
      </c>
      <c r="K518" s="12">
        <f>VLOOKUP(orders!D518,[1]products!$A$1:$G$49, 4,FALSE)</f>
        <v>2.5</v>
      </c>
      <c r="L518" s="12">
        <f>VLOOKUP(orders!D518,[1]products!$A$1:$G$49, 5,FALSE)</f>
        <v>20.584999999999997</v>
      </c>
      <c r="M518" s="13">
        <f>PRODUCT(orders!$E518,orders!$L518)</f>
        <v>102.92499999999998</v>
      </c>
      <c r="N518" s="11" t="str">
        <f t="shared" si="16"/>
        <v>June</v>
      </c>
      <c r="O518" s="11">
        <f t="shared" si="17"/>
        <v>2022</v>
      </c>
      <c r="P518" s="11" t="str">
        <f>TEXT(orders!$B518, "DDD")</f>
        <v>Sat</v>
      </c>
      <c r="Q518" s="11" t="str">
        <f>VLOOKUP(orders!C518,[1]customers!$A$1:$I$1001, 6,FALSE)</f>
        <v>Schenectady</v>
      </c>
    </row>
    <row r="519" spans="1:17" x14ac:dyDescent="0.3">
      <c r="A519" s="14" t="s">
        <v>1035</v>
      </c>
      <c r="B519" s="15">
        <v>44678</v>
      </c>
      <c r="C519" s="16" t="s">
        <v>1036</v>
      </c>
      <c r="D519" s="17" t="s">
        <v>55</v>
      </c>
      <c r="E519" s="16">
        <v>2</v>
      </c>
      <c r="F519" s="9" t="str">
        <f>VLOOKUP(C519,[1]customers!$A$1:$I$1001, 2, FALSE)</f>
        <v>Channa Belamy</v>
      </c>
      <c r="G519" s="16">
        <f>VLOOKUP(orders!C519,[1]customers!$A$1:$I$1001, 3, FALSE)</f>
        <v>0</v>
      </c>
      <c r="H519" s="16" t="str">
        <f>VLOOKUP(C519, [1]customers!$A$1:$I$1001, 7, FALSE)</f>
        <v>United States</v>
      </c>
      <c r="I519" s="18" t="str">
        <f>VLOOKUP(orders!D519,[1]products!$A$1:$G$49, 2,FALSE)</f>
        <v>Lib</v>
      </c>
      <c r="J519" s="18" t="str">
        <f>VLOOKUP(orders!D519,[1]products!$A$1:$G$49, 3,FALSE)</f>
        <v>D</v>
      </c>
      <c r="K519" s="19">
        <f>VLOOKUP(orders!D519,[1]products!$A$1:$G$49, 4,FALSE)</f>
        <v>0.2</v>
      </c>
      <c r="L519" s="19">
        <f>VLOOKUP(orders!D519,[1]products!$A$1:$G$49, 5,FALSE)</f>
        <v>3.8849999999999998</v>
      </c>
      <c r="M519" s="13">
        <f>PRODUCT(orders!$E519,orders!$L519)</f>
        <v>7.77</v>
      </c>
      <c r="N519" s="18" t="str">
        <f t="shared" si="16"/>
        <v>April</v>
      </c>
      <c r="O519" s="18">
        <f t="shared" si="17"/>
        <v>2022</v>
      </c>
      <c r="P519" s="11" t="str">
        <f>TEXT(orders!$B519, "DDD")</f>
        <v>Wed</v>
      </c>
      <c r="Q519" s="11" t="str">
        <f>VLOOKUP(orders!C519,[1]customers!$A$1:$I$1001, 6,FALSE)</f>
        <v>Lakeland</v>
      </c>
    </row>
    <row r="520" spans="1:17" x14ac:dyDescent="0.3">
      <c r="A520" s="7" t="s">
        <v>1037</v>
      </c>
      <c r="B520" s="8">
        <v>44194</v>
      </c>
      <c r="C520" s="9" t="s">
        <v>1038</v>
      </c>
      <c r="D520" s="10" t="s">
        <v>547</v>
      </c>
      <c r="E520" s="9">
        <v>5</v>
      </c>
      <c r="F520" s="9" t="str">
        <f>VLOOKUP(C520,[1]customers!$A$1:$I$1001, 2, FALSE)</f>
        <v>Karl Imorts</v>
      </c>
      <c r="G520" s="9" t="str">
        <f>VLOOKUP(orders!C520,[1]customers!$A$1:$I$1001, 3, FALSE)</f>
        <v>kimortsee@alexa.com</v>
      </c>
      <c r="H520" s="9" t="str">
        <f>VLOOKUP(C520, [1]customers!$A$1:$I$1001, 7, FALSE)</f>
        <v>United States</v>
      </c>
      <c r="I520" s="11" t="str">
        <f>VLOOKUP(orders!D520,[1]products!$A$1:$G$49, 2,FALSE)</f>
        <v>Exc</v>
      </c>
      <c r="J520" s="11" t="str">
        <f>VLOOKUP(orders!D520,[1]products!$A$1:$G$49, 3,FALSE)</f>
        <v>D</v>
      </c>
      <c r="K520" s="12">
        <f>VLOOKUP(orders!D520,[1]products!$A$1:$G$49, 4,FALSE)</f>
        <v>2.5</v>
      </c>
      <c r="L520" s="12">
        <f>VLOOKUP(orders!D520,[1]products!$A$1:$G$49, 5,FALSE)</f>
        <v>27.945</v>
      </c>
      <c r="M520" s="13">
        <f>PRODUCT(orders!$E520,orders!$L520)</f>
        <v>139.72499999999999</v>
      </c>
      <c r="N520" s="11" t="str">
        <f t="shared" si="16"/>
        <v>December</v>
      </c>
      <c r="O520" s="11">
        <f t="shared" si="17"/>
        <v>2020</v>
      </c>
      <c r="P520" s="11" t="str">
        <f>TEXT(orders!$B520, "DDD")</f>
        <v>Tue</v>
      </c>
      <c r="Q520" s="11" t="str">
        <f>VLOOKUP(orders!C520,[1]customers!$A$1:$I$1001, 6,FALSE)</f>
        <v>Melbourne</v>
      </c>
    </row>
    <row r="521" spans="1:17" x14ac:dyDescent="0.3">
      <c r="A521" s="14" t="s">
        <v>1039</v>
      </c>
      <c r="B521" s="15">
        <v>44026</v>
      </c>
      <c r="C521" s="16" t="s">
        <v>1005</v>
      </c>
      <c r="D521" s="17" t="s">
        <v>89</v>
      </c>
      <c r="E521" s="16">
        <v>2</v>
      </c>
      <c r="F521" s="9" t="str">
        <f>VLOOKUP(C521,[1]customers!$A$1:$I$1001, 2, FALSE)</f>
        <v>Marja Urion</v>
      </c>
      <c r="G521" s="16" t="str">
        <f>VLOOKUP(orders!C521,[1]customers!$A$1:$I$1001, 3, FALSE)</f>
        <v>murione5@alexa.com</v>
      </c>
      <c r="H521" s="16" t="str">
        <f>VLOOKUP(C521, [1]customers!$A$1:$I$1001, 7, FALSE)</f>
        <v>Ireland</v>
      </c>
      <c r="I521" s="18" t="str">
        <f>VLOOKUP(orders!D521,[1]products!$A$1:$G$49, 2,FALSE)</f>
        <v>Ara</v>
      </c>
      <c r="J521" s="18" t="str">
        <f>VLOOKUP(orders!D521,[1]products!$A$1:$G$49, 3,FALSE)</f>
        <v>D</v>
      </c>
      <c r="K521" s="19">
        <f>VLOOKUP(orders!D521,[1]products!$A$1:$G$49, 4,FALSE)</f>
        <v>0.5</v>
      </c>
      <c r="L521" s="19">
        <f>VLOOKUP(orders!D521,[1]products!$A$1:$G$49, 5,FALSE)</f>
        <v>5.97</v>
      </c>
      <c r="M521" s="13">
        <f>PRODUCT(orders!$E521,orders!$L521)</f>
        <v>11.94</v>
      </c>
      <c r="N521" s="18" t="str">
        <f t="shared" si="16"/>
        <v>July</v>
      </c>
      <c r="O521" s="18">
        <f t="shared" si="17"/>
        <v>2020</v>
      </c>
      <c r="P521" s="11" t="str">
        <f>TEXT(orders!$B521, "DDD")</f>
        <v>Tue</v>
      </c>
      <c r="Q521" s="11" t="str">
        <f>VLOOKUP(orders!C521,[1]customers!$A$1:$I$1001, 6,FALSE)</f>
        <v>Virginia</v>
      </c>
    </row>
    <row r="522" spans="1:17" x14ac:dyDescent="0.3">
      <c r="A522" s="7" t="s">
        <v>1040</v>
      </c>
      <c r="B522" s="8">
        <v>44446</v>
      </c>
      <c r="C522" s="9" t="s">
        <v>1041</v>
      </c>
      <c r="D522" s="10" t="s">
        <v>55</v>
      </c>
      <c r="E522" s="9">
        <v>1</v>
      </c>
      <c r="F522" s="9" t="str">
        <f>VLOOKUP(C522,[1]customers!$A$1:$I$1001, 2, FALSE)</f>
        <v>Mag Armistead</v>
      </c>
      <c r="G522" s="9" t="str">
        <f>VLOOKUP(orders!C522,[1]customers!$A$1:$I$1001, 3, FALSE)</f>
        <v>marmisteadeg@blogtalkradio.com</v>
      </c>
      <c r="H522" s="9" t="str">
        <f>VLOOKUP(C522, [1]customers!$A$1:$I$1001, 7, FALSE)</f>
        <v>United States</v>
      </c>
      <c r="I522" s="11" t="str">
        <f>VLOOKUP(orders!D522,[1]products!$A$1:$G$49, 2,FALSE)</f>
        <v>Lib</v>
      </c>
      <c r="J522" s="11" t="str">
        <f>VLOOKUP(orders!D522,[1]products!$A$1:$G$49, 3,FALSE)</f>
        <v>D</v>
      </c>
      <c r="K522" s="12">
        <f>VLOOKUP(orders!D522,[1]products!$A$1:$G$49, 4,FALSE)</f>
        <v>0.2</v>
      </c>
      <c r="L522" s="12">
        <f>VLOOKUP(orders!D522,[1]products!$A$1:$G$49, 5,FALSE)</f>
        <v>3.8849999999999998</v>
      </c>
      <c r="M522" s="13">
        <f>PRODUCT(orders!$E522,orders!$L522)</f>
        <v>3.8849999999999998</v>
      </c>
      <c r="N522" s="11" t="str">
        <f t="shared" si="16"/>
        <v>September</v>
      </c>
      <c r="O522" s="11">
        <f t="shared" si="17"/>
        <v>2021</v>
      </c>
      <c r="P522" s="11" t="str">
        <f>TEXT(orders!$B522, "DDD")</f>
        <v>Tue</v>
      </c>
      <c r="Q522" s="11" t="str">
        <f>VLOOKUP(orders!C522,[1]customers!$A$1:$I$1001, 6,FALSE)</f>
        <v>New Orleans</v>
      </c>
    </row>
    <row r="523" spans="1:17" x14ac:dyDescent="0.3">
      <c r="A523" s="14" t="s">
        <v>1040</v>
      </c>
      <c r="B523" s="15">
        <v>44446</v>
      </c>
      <c r="C523" s="16" t="s">
        <v>1041</v>
      </c>
      <c r="D523" s="17" t="s">
        <v>19</v>
      </c>
      <c r="E523" s="16">
        <v>4</v>
      </c>
      <c r="F523" s="9" t="str">
        <f>VLOOKUP(C523,[1]customers!$A$1:$I$1001, 2, FALSE)</f>
        <v>Mag Armistead</v>
      </c>
      <c r="G523" s="16" t="str">
        <f>VLOOKUP(orders!C523,[1]customers!$A$1:$I$1001, 3, FALSE)</f>
        <v>marmisteadeg@blogtalkradio.com</v>
      </c>
      <c r="H523" s="16" t="str">
        <f>VLOOKUP(C523, [1]customers!$A$1:$I$1001, 7, FALSE)</f>
        <v>United States</v>
      </c>
      <c r="I523" s="18" t="str">
        <f>VLOOKUP(orders!D523,[1]products!$A$1:$G$49, 2,FALSE)</f>
        <v>Rob</v>
      </c>
      <c r="J523" s="18" t="str">
        <f>VLOOKUP(orders!D523,[1]products!$A$1:$G$49, 3,FALSE)</f>
        <v>M</v>
      </c>
      <c r="K523" s="19">
        <f>VLOOKUP(orders!D523,[1]products!$A$1:$G$49, 4,FALSE)</f>
        <v>1</v>
      </c>
      <c r="L523" s="19">
        <f>VLOOKUP(orders!D523,[1]products!$A$1:$G$49, 5,FALSE)</f>
        <v>9.9499999999999993</v>
      </c>
      <c r="M523" s="13">
        <f>PRODUCT(orders!$E523,orders!$L523)</f>
        <v>39.799999999999997</v>
      </c>
      <c r="N523" s="18" t="str">
        <f t="shared" si="16"/>
        <v>September</v>
      </c>
      <c r="O523" s="18">
        <f t="shared" si="17"/>
        <v>2021</v>
      </c>
      <c r="P523" s="11" t="str">
        <f>TEXT(orders!$B523, "DDD")</f>
        <v>Tue</v>
      </c>
      <c r="Q523" s="11" t="str">
        <f>VLOOKUP(orders!C523,[1]customers!$A$1:$I$1001, 6,FALSE)</f>
        <v>New Orleans</v>
      </c>
    </row>
    <row r="524" spans="1:17" x14ac:dyDescent="0.3">
      <c r="A524" s="7" t="s">
        <v>1042</v>
      </c>
      <c r="B524" s="8">
        <v>43625</v>
      </c>
      <c r="C524" s="9" t="s">
        <v>1043</v>
      </c>
      <c r="D524" s="10" t="s">
        <v>39</v>
      </c>
      <c r="E524" s="9">
        <v>5</v>
      </c>
      <c r="F524" s="9" t="str">
        <f>VLOOKUP(C524,[1]customers!$A$1:$I$1001, 2, FALSE)</f>
        <v>Vasili Upstone</v>
      </c>
      <c r="G524" s="9" t="str">
        <f>VLOOKUP(orders!C524,[1]customers!$A$1:$I$1001, 3, FALSE)</f>
        <v>vupstoneei@google.pl</v>
      </c>
      <c r="H524" s="9" t="str">
        <f>VLOOKUP(C524, [1]customers!$A$1:$I$1001, 7, FALSE)</f>
        <v>United States</v>
      </c>
      <c r="I524" s="11" t="str">
        <f>VLOOKUP(orders!D524,[1]products!$A$1:$G$49, 2,FALSE)</f>
        <v>Rob</v>
      </c>
      <c r="J524" s="11" t="str">
        <f>VLOOKUP(orders!D524,[1]products!$A$1:$G$49, 3,FALSE)</f>
        <v>M</v>
      </c>
      <c r="K524" s="12">
        <f>VLOOKUP(orders!D524,[1]products!$A$1:$G$49, 4,FALSE)</f>
        <v>0.5</v>
      </c>
      <c r="L524" s="12">
        <f>VLOOKUP(orders!D524,[1]products!$A$1:$G$49, 5,FALSE)</f>
        <v>5.97</v>
      </c>
      <c r="M524" s="13">
        <f>PRODUCT(orders!$E524,orders!$L524)</f>
        <v>29.849999999999998</v>
      </c>
      <c r="N524" s="11" t="str">
        <f t="shared" si="16"/>
        <v>June</v>
      </c>
      <c r="O524" s="11">
        <f t="shared" si="17"/>
        <v>2019</v>
      </c>
      <c r="P524" s="11" t="str">
        <f>TEXT(orders!$B524, "DDD")</f>
        <v>Sun</v>
      </c>
      <c r="Q524" s="11" t="str">
        <f>VLOOKUP(orders!C524,[1]customers!$A$1:$I$1001, 6,FALSE)</f>
        <v>Topeka</v>
      </c>
    </row>
    <row r="525" spans="1:17" x14ac:dyDescent="0.3">
      <c r="A525" s="14" t="s">
        <v>1044</v>
      </c>
      <c r="B525" s="15">
        <v>44129</v>
      </c>
      <c r="C525" s="16" t="s">
        <v>1045</v>
      </c>
      <c r="D525" s="17" t="s">
        <v>126</v>
      </c>
      <c r="E525" s="16">
        <v>1</v>
      </c>
      <c r="F525" s="9" t="str">
        <f>VLOOKUP(C525,[1]customers!$A$1:$I$1001, 2, FALSE)</f>
        <v>Berty Beelby</v>
      </c>
      <c r="G525" s="16" t="str">
        <f>VLOOKUP(orders!C525,[1]customers!$A$1:$I$1001, 3, FALSE)</f>
        <v>bbeelbyej@rediff.com</v>
      </c>
      <c r="H525" s="16" t="str">
        <f>VLOOKUP(C525, [1]customers!$A$1:$I$1001, 7, FALSE)</f>
        <v>Ireland</v>
      </c>
      <c r="I525" s="18" t="str">
        <f>VLOOKUP(orders!D525,[1]products!$A$1:$G$49, 2,FALSE)</f>
        <v>Lib</v>
      </c>
      <c r="J525" s="18" t="str">
        <f>VLOOKUP(orders!D525,[1]products!$A$1:$G$49, 3,FALSE)</f>
        <v>D</v>
      </c>
      <c r="K525" s="19">
        <f>VLOOKUP(orders!D525,[1]products!$A$1:$G$49, 4,FALSE)</f>
        <v>2.5</v>
      </c>
      <c r="L525" s="19">
        <f>VLOOKUP(orders!D525,[1]products!$A$1:$G$49, 5,FALSE)</f>
        <v>29.784999999999997</v>
      </c>
      <c r="M525" s="13">
        <f>PRODUCT(orders!$E525,orders!$L525)</f>
        <v>29.784999999999997</v>
      </c>
      <c r="N525" s="18" t="str">
        <f t="shared" si="16"/>
        <v>October</v>
      </c>
      <c r="O525" s="18">
        <f t="shared" si="17"/>
        <v>2020</v>
      </c>
      <c r="P525" s="11" t="str">
        <f>TEXT(orders!$B525, "DDD")</f>
        <v>Sun</v>
      </c>
      <c r="Q525" s="11" t="str">
        <f>VLOOKUP(orders!C525,[1]customers!$A$1:$I$1001, 6,FALSE)</f>
        <v>Lucan</v>
      </c>
    </row>
    <row r="526" spans="1:17" x14ac:dyDescent="0.3">
      <c r="A526" s="7" t="s">
        <v>1046</v>
      </c>
      <c r="B526" s="8">
        <v>44255</v>
      </c>
      <c r="C526" s="9" t="s">
        <v>1047</v>
      </c>
      <c r="D526" s="10" t="s">
        <v>121</v>
      </c>
      <c r="E526" s="9">
        <v>2</v>
      </c>
      <c r="F526" s="9" t="str">
        <f>VLOOKUP(C526,[1]customers!$A$1:$I$1001, 2, FALSE)</f>
        <v>Erny Stenyng</v>
      </c>
      <c r="G526" s="9">
        <f>VLOOKUP(orders!C526,[1]customers!$A$1:$I$1001, 3, FALSE)</f>
        <v>0</v>
      </c>
      <c r="H526" s="9" t="str">
        <f>VLOOKUP(C526, [1]customers!$A$1:$I$1001, 7, FALSE)</f>
        <v>United States</v>
      </c>
      <c r="I526" s="11" t="str">
        <f>VLOOKUP(orders!D526,[1]products!$A$1:$G$49, 2,FALSE)</f>
        <v>Lib</v>
      </c>
      <c r="J526" s="11" t="str">
        <f>VLOOKUP(orders!D526,[1]products!$A$1:$G$49, 3,FALSE)</f>
        <v>L</v>
      </c>
      <c r="K526" s="12">
        <f>VLOOKUP(orders!D526,[1]products!$A$1:$G$49, 4,FALSE)</f>
        <v>2.5</v>
      </c>
      <c r="L526" s="12">
        <f>VLOOKUP(orders!D526,[1]products!$A$1:$G$49, 5,FALSE)</f>
        <v>36.454999999999998</v>
      </c>
      <c r="M526" s="13">
        <f>PRODUCT(orders!$E526,orders!$L526)</f>
        <v>72.91</v>
      </c>
      <c r="N526" s="11" t="str">
        <f t="shared" si="16"/>
        <v>February</v>
      </c>
      <c r="O526" s="11">
        <f t="shared" si="17"/>
        <v>2021</v>
      </c>
      <c r="P526" s="11" t="str">
        <f>TEXT(orders!$B526, "DDD")</f>
        <v>Sun</v>
      </c>
      <c r="Q526" s="11" t="str">
        <f>VLOOKUP(orders!C526,[1]customers!$A$1:$I$1001, 6,FALSE)</f>
        <v>Springfield</v>
      </c>
    </row>
    <row r="527" spans="1:17" x14ac:dyDescent="0.3">
      <c r="A527" s="14" t="s">
        <v>1048</v>
      </c>
      <c r="B527" s="15">
        <v>44038</v>
      </c>
      <c r="C527" s="16" t="s">
        <v>1049</v>
      </c>
      <c r="D527" s="17" t="s">
        <v>118</v>
      </c>
      <c r="E527" s="16">
        <v>5</v>
      </c>
      <c r="F527" s="9" t="str">
        <f>VLOOKUP(C527,[1]customers!$A$1:$I$1001, 2, FALSE)</f>
        <v>Edin Yantsurev</v>
      </c>
      <c r="G527" s="16">
        <f>VLOOKUP(orders!C527,[1]customers!$A$1:$I$1001, 3, FALSE)</f>
        <v>0</v>
      </c>
      <c r="H527" s="16" t="str">
        <f>VLOOKUP(C527, [1]customers!$A$1:$I$1001, 7, FALSE)</f>
        <v>United States</v>
      </c>
      <c r="I527" s="18" t="str">
        <f>VLOOKUP(orders!D527,[1]products!$A$1:$G$49, 2,FALSE)</f>
        <v>Rob</v>
      </c>
      <c r="J527" s="18" t="str">
        <f>VLOOKUP(orders!D527,[1]products!$A$1:$G$49, 3,FALSE)</f>
        <v>D</v>
      </c>
      <c r="K527" s="19">
        <f>VLOOKUP(orders!D527,[1]products!$A$1:$G$49, 4,FALSE)</f>
        <v>0.2</v>
      </c>
      <c r="L527" s="19">
        <f>VLOOKUP(orders!D527,[1]products!$A$1:$G$49, 5,FALSE)</f>
        <v>2.6849999999999996</v>
      </c>
      <c r="M527" s="13">
        <f>PRODUCT(orders!$E527,orders!$L527)</f>
        <v>13.424999999999997</v>
      </c>
      <c r="N527" s="18" t="str">
        <f t="shared" si="16"/>
        <v>July</v>
      </c>
      <c r="O527" s="18">
        <f t="shared" si="17"/>
        <v>2020</v>
      </c>
      <c r="P527" s="11" t="str">
        <f>TEXT(orders!$B527, "DDD")</f>
        <v>Sun</v>
      </c>
      <c r="Q527" s="11" t="str">
        <f>VLOOKUP(orders!C527,[1]customers!$A$1:$I$1001, 6,FALSE)</f>
        <v>Camden</v>
      </c>
    </row>
    <row r="528" spans="1:17" x14ac:dyDescent="0.3">
      <c r="A528" s="7" t="s">
        <v>1050</v>
      </c>
      <c r="B528" s="8">
        <v>44717</v>
      </c>
      <c r="C528" s="9" t="s">
        <v>1051</v>
      </c>
      <c r="D528" s="10" t="s">
        <v>129</v>
      </c>
      <c r="E528" s="9">
        <v>4</v>
      </c>
      <c r="F528" s="9" t="str">
        <f>VLOOKUP(C528,[1]customers!$A$1:$I$1001, 2, FALSE)</f>
        <v>Webb Speechly</v>
      </c>
      <c r="G528" s="9" t="str">
        <f>VLOOKUP(orders!C528,[1]customers!$A$1:$I$1001, 3, FALSE)</f>
        <v>wspeechlyem@amazon.com</v>
      </c>
      <c r="H528" s="9" t="str">
        <f>VLOOKUP(C528, [1]customers!$A$1:$I$1001, 7, FALSE)</f>
        <v>United States</v>
      </c>
      <c r="I528" s="11" t="str">
        <f>VLOOKUP(orders!D528,[1]products!$A$1:$G$49, 2,FALSE)</f>
        <v>Exc</v>
      </c>
      <c r="J528" s="11" t="str">
        <f>VLOOKUP(orders!D528,[1]products!$A$1:$G$49, 3,FALSE)</f>
        <v>M</v>
      </c>
      <c r="K528" s="12">
        <f>VLOOKUP(orders!D528,[1]products!$A$1:$G$49, 4,FALSE)</f>
        <v>2.5</v>
      </c>
      <c r="L528" s="12">
        <f>VLOOKUP(orders!D528,[1]products!$A$1:$G$49, 5,FALSE)</f>
        <v>31.624999999999996</v>
      </c>
      <c r="M528" s="13">
        <f>PRODUCT(orders!$E528,orders!$L528)</f>
        <v>126.49999999999999</v>
      </c>
      <c r="N528" s="11" t="str">
        <f t="shared" si="16"/>
        <v>June</v>
      </c>
      <c r="O528" s="11">
        <f t="shared" si="17"/>
        <v>2022</v>
      </c>
      <c r="P528" s="11" t="str">
        <f>TEXT(orders!$B528, "DDD")</f>
        <v>Sun</v>
      </c>
      <c r="Q528" s="11" t="str">
        <f>VLOOKUP(orders!C528,[1]customers!$A$1:$I$1001, 6,FALSE)</f>
        <v>Seattle</v>
      </c>
    </row>
    <row r="529" spans="1:17" x14ac:dyDescent="0.3">
      <c r="A529" s="14" t="s">
        <v>1052</v>
      </c>
      <c r="B529" s="15">
        <v>43517</v>
      </c>
      <c r="C529" s="16" t="s">
        <v>1053</v>
      </c>
      <c r="D529" s="17" t="s">
        <v>20</v>
      </c>
      <c r="E529" s="16">
        <v>5</v>
      </c>
      <c r="F529" s="9" t="str">
        <f>VLOOKUP(C529,[1]customers!$A$1:$I$1001, 2, FALSE)</f>
        <v>Irvine Phillpot</v>
      </c>
      <c r="G529" s="16" t="str">
        <f>VLOOKUP(orders!C529,[1]customers!$A$1:$I$1001, 3, FALSE)</f>
        <v>iphillpoten@buzzfeed.com</v>
      </c>
      <c r="H529" s="16" t="str">
        <f>VLOOKUP(C529, [1]customers!$A$1:$I$1001, 7, FALSE)</f>
        <v>United Kingdom</v>
      </c>
      <c r="I529" s="18" t="str">
        <f>VLOOKUP(orders!D529,[1]products!$A$1:$G$49, 2,FALSE)</f>
        <v>Exc</v>
      </c>
      <c r="J529" s="18" t="str">
        <f>VLOOKUP(orders!D529,[1]products!$A$1:$G$49, 3,FALSE)</f>
        <v>M</v>
      </c>
      <c r="K529" s="19">
        <f>VLOOKUP(orders!D529,[1]products!$A$1:$G$49, 4,FALSE)</f>
        <v>0.5</v>
      </c>
      <c r="L529" s="19">
        <f>VLOOKUP(orders!D529,[1]products!$A$1:$G$49, 5,FALSE)</f>
        <v>8.25</v>
      </c>
      <c r="M529" s="13">
        <f>PRODUCT(orders!$E529,orders!$L529)</f>
        <v>41.25</v>
      </c>
      <c r="N529" s="18" t="str">
        <f t="shared" si="16"/>
        <v>February</v>
      </c>
      <c r="O529" s="18">
        <f t="shared" si="17"/>
        <v>2019</v>
      </c>
      <c r="P529" s="11" t="str">
        <f>TEXT(orders!$B529, "DDD")</f>
        <v>Thu</v>
      </c>
      <c r="Q529" s="11" t="str">
        <f>VLOOKUP(orders!C529,[1]customers!$A$1:$I$1001, 6,FALSE)</f>
        <v>Wootton</v>
      </c>
    </row>
    <row r="530" spans="1:17" x14ac:dyDescent="0.3">
      <c r="A530" s="7" t="s">
        <v>1054</v>
      </c>
      <c r="B530" s="8">
        <v>43926</v>
      </c>
      <c r="C530" s="9" t="s">
        <v>1055</v>
      </c>
      <c r="D530" s="10" t="s">
        <v>193</v>
      </c>
      <c r="E530" s="9">
        <v>6</v>
      </c>
      <c r="F530" s="9" t="str">
        <f>VLOOKUP(C530,[1]customers!$A$1:$I$1001, 2, FALSE)</f>
        <v>Lem Pennacci</v>
      </c>
      <c r="G530" s="9" t="str">
        <f>VLOOKUP(orders!C530,[1]customers!$A$1:$I$1001, 3, FALSE)</f>
        <v>lpennaccieo@statcounter.com</v>
      </c>
      <c r="H530" s="9" t="str">
        <f>VLOOKUP(C530, [1]customers!$A$1:$I$1001, 7, FALSE)</f>
        <v>United States</v>
      </c>
      <c r="I530" s="11" t="str">
        <f>VLOOKUP(orders!D530,[1]products!$A$1:$G$49, 2,FALSE)</f>
        <v>Exc</v>
      </c>
      <c r="J530" s="11" t="str">
        <f>VLOOKUP(orders!D530,[1]products!$A$1:$G$49, 3,FALSE)</f>
        <v>L</v>
      </c>
      <c r="K530" s="12">
        <f>VLOOKUP(orders!D530,[1]products!$A$1:$G$49, 4,FALSE)</f>
        <v>0.5</v>
      </c>
      <c r="L530" s="12">
        <f>VLOOKUP(orders!D530,[1]products!$A$1:$G$49, 5,FALSE)</f>
        <v>8.91</v>
      </c>
      <c r="M530" s="13">
        <f>PRODUCT(orders!$E530,orders!$L530)</f>
        <v>53.46</v>
      </c>
      <c r="N530" s="11" t="str">
        <f t="shared" si="16"/>
        <v>April</v>
      </c>
      <c r="O530" s="11">
        <f t="shared" si="17"/>
        <v>2020</v>
      </c>
      <c r="P530" s="11" t="str">
        <f>TEXT(orders!$B530, "DDD")</f>
        <v>Sun</v>
      </c>
      <c r="Q530" s="11" t="str">
        <f>VLOOKUP(orders!C530,[1]customers!$A$1:$I$1001, 6,FALSE)</f>
        <v>Waco</v>
      </c>
    </row>
    <row r="531" spans="1:17" x14ac:dyDescent="0.3">
      <c r="A531" s="14" t="s">
        <v>1056</v>
      </c>
      <c r="B531" s="15">
        <v>43475</v>
      </c>
      <c r="C531" s="16" t="s">
        <v>1057</v>
      </c>
      <c r="D531" s="17" t="s">
        <v>19</v>
      </c>
      <c r="E531" s="16">
        <v>6</v>
      </c>
      <c r="F531" s="9" t="str">
        <f>VLOOKUP(C531,[1]customers!$A$1:$I$1001, 2, FALSE)</f>
        <v>Starr Arpin</v>
      </c>
      <c r="G531" s="16" t="str">
        <f>VLOOKUP(orders!C531,[1]customers!$A$1:$I$1001, 3, FALSE)</f>
        <v>sarpinep@moonfruit.com</v>
      </c>
      <c r="H531" s="16" t="str">
        <f>VLOOKUP(C531, [1]customers!$A$1:$I$1001, 7, FALSE)</f>
        <v>United States</v>
      </c>
      <c r="I531" s="18" t="str">
        <f>VLOOKUP(orders!D531,[1]products!$A$1:$G$49, 2,FALSE)</f>
        <v>Rob</v>
      </c>
      <c r="J531" s="18" t="str">
        <f>VLOOKUP(orders!D531,[1]products!$A$1:$G$49, 3,FALSE)</f>
        <v>M</v>
      </c>
      <c r="K531" s="19">
        <f>VLOOKUP(orders!D531,[1]products!$A$1:$G$49, 4,FALSE)</f>
        <v>1</v>
      </c>
      <c r="L531" s="19">
        <f>VLOOKUP(orders!D531,[1]products!$A$1:$G$49, 5,FALSE)</f>
        <v>9.9499999999999993</v>
      </c>
      <c r="M531" s="13">
        <f>PRODUCT(orders!$E531,orders!$L531)</f>
        <v>59.699999999999996</v>
      </c>
      <c r="N531" s="18" t="str">
        <f t="shared" si="16"/>
        <v>January</v>
      </c>
      <c r="O531" s="18">
        <f t="shared" si="17"/>
        <v>2019</v>
      </c>
      <c r="P531" s="11" t="str">
        <f>TEXT(orders!$B531, "DDD")</f>
        <v>Thu</v>
      </c>
      <c r="Q531" s="11" t="str">
        <f>VLOOKUP(orders!C531,[1]customers!$A$1:$I$1001, 6,FALSE)</f>
        <v>Richmond</v>
      </c>
    </row>
    <row r="532" spans="1:17" x14ac:dyDescent="0.3">
      <c r="A532" s="7" t="s">
        <v>1058</v>
      </c>
      <c r="B532" s="8">
        <v>44663</v>
      </c>
      <c r="C532" s="9" t="s">
        <v>1059</v>
      </c>
      <c r="D532" s="10" t="s">
        <v>19</v>
      </c>
      <c r="E532" s="9">
        <v>6</v>
      </c>
      <c r="F532" s="9" t="str">
        <f>VLOOKUP(C532,[1]customers!$A$1:$I$1001, 2, FALSE)</f>
        <v>Donny Fries</v>
      </c>
      <c r="G532" s="9" t="str">
        <f>VLOOKUP(orders!C532,[1]customers!$A$1:$I$1001, 3, FALSE)</f>
        <v>dfrieseq@cargocollective.com</v>
      </c>
      <c r="H532" s="9" t="str">
        <f>VLOOKUP(C532, [1]customers!$A$1:$I$1001, 7, FALSE)</f>
        <v>United States</v>
      </c>
      <c r="I532" s="11" t="str">
        <f>VLOOKUP(orders!D532,[1]products!$A$1:$G$49, 2,FALSE)</f>
        <v>Rob</v>
      </c>
      <c r="J532" s="11" t="str">
        <f>VLOOKUP(orders!D532,[1]products!$A$1:$G$49, 3,FALSE)</f>
        <v>M</v>
      </c>
      <c r="K532" s="12">
        <f>VLOOKUP(orders!D532,[1]products!$A$1:$G$49, 4,FALSE)</f>
        <v>1</v>
      </c>
      <c r="L532" s="12">
        <f>VLOOKUP(orders!D532,[1]products!$A$1:$G$49, 5,FALSE)</f>
        <v>9.9499999999999993</v>
      </c>
      <c r="M532" s="13">
        <f>PRODUCT(orders!$E532,orders!$L532)</f>
        <v>59.699999999999996</v>
      </c>
      <c r="N532" s="11" t="str">
        <f t="shared" si="16"/>
        <v>April</v>
      </c>
      <c r="O532" s="11">
        <f t="shared" si="17"/>
        <v>2022</v>
      </c>
      <c r="P532" s="11" t="str">
        <f>TEXT(orders!$B532, "DDD")</f>
        <v>Tue</v>
      </c>
      <c r="Q532" s="11" t="str">
        <f>VLOOKUP(orders!C532,[1]customers!$A$1:$I$1001, 6,FALSE)</f>
        <v>Toledo</v>
      </c>
    </row>
    <row r="533" spans="1:17" x14ac:dyDescent="0.3">
      <c r="A533" s="14" t="s">
        <v>1060</v>
      </c>
      <c r="B533" s="15">
        <v>44591</v>
      </c>
      <c r="C533" s="16" t="s">
        <v>1061</v>
      </c>
      <c r="D533" s="17" t="s">
        <v>196</v>
      </c>
      <c r="E533" s="16">
        <v>5</v>
      </c>
      <c r="F533" s="9" t="str">
        <f>VLOOKUP(C533,[1]customers!$A$1:$I$1001, 2, FALSE)</f>
        <v>Rana Sharer</v>
      </c>
      <c r="G533" s="16" t="str">
        <f>VLOOKUP(orders!C533,[1]customers!$A$1:$I$1001, 3, FALSE)</f>
        <v>rsharerer@flavors.me</v>
      </c>
      <c r="H533" s="16" t="str">
        <f>VLOOKUP(C533, [1]customers!$A$1:$I$1001, 7, FALSE)</f>
        <v>United States</v>
      </c>
      <c r="I533" s="18" t="str">
        <f>VLOOKUP(orders!D533,[1]products!$A$1:$G$49, 2,FALSE)</f>
        <v>Rob</v>
      </c>
      <c r="J533" s="18" t="str">
        <f>VLOOKUP(orders!D533,[1]products!$A$1:$G$49, 3,FALSE)</f>
        <v>D</v>
      </c>
      <c r="K533" s="19">
        <f>VLOOKUP(orders!D533,[1]products!$A$1:$G$49, 4,FALSE)</f>
        <v>1</v>
      </c>
      <c r="L533" s="19">
        <f>VLOOKUP(orders!D533,[1]products!$A$1:$G$49, 5,FALSE)</f>
        <v>8.9499999999999993</v>
      </c>
      <c r="M533" s="13">
        <f>PRODUCT(orders!$E533,orders!$L533)</f>
        <v>44.75</v>
      </c>
      <c r="N533" s="18" t="str">
        <f t="shared" si="16"/>
        <v>January</v>
      </c>
      <c r="O533" s="18">
        <f t="shared" si="17"/>
        <v>2022</v>
      </c>
      <c r="P533" s="11" t="str">
        <f>TEXT(orders!$B533, "DDD")</f>
        <v>Sun</v>
      </c>
      <c r="Q533" s="11" t="str">
        <f>VLOOKUP(orders!C533,[1]customers!$A$1:$I$1001, 6,FALSE)</f>
        <v>Huntington</v>
      </c>
    </row>
    <row r="534" spans="1:17" x14ac:dyDescent="0.3">
      <c r="A534" s="7" t="s">
        <v>1062</v>
      </c>
      <c r="B534" s="8">
        <v>44330</v>
      </c>
      <c r="C534" s="9" t="s">
        <v>1063</v>
      </c>
      <c r="D534" s="10" t="s">
        <v>20</v>
      </c>
      <c r="E534" s="9">
        <v>2</v>
      </c>
      <c r="F534" s="9" t="str">
        <f>VLOOKUP(C534,[1]customers!$A$1:$I$1001, 2, FALSE)</f>
        <v>Nannie Naseby</v>
      </c>
      <c r="G534" s="9" t="str">
        <f>VLOOKUP(orders!C534,[1]customers!$A$1:$I$1001, 3, FALSE)</f>
        <v>nnasebyes@umich.edu</v>
      </c>
      <c r="H534" s="9" t="str">
        <f>VLOOKUP(C534, [1]customers!$A$1:$I$1001, 7, FALSE)</f>
        <v>United States</v>
      </c>
      <c r="I534" s="11" t="str">
        <f>VLOOKUP(orders!D534,[1]products!$A$1:$G$49, 2,FALSE)</f>
        <v>Exc</v>
      </c>
      <c r="J534" s="11" t="str">
        <f>VLOOKUP(orders!D534,[1]products!$A$1:$G$49, 3,FALSE)</f>
        <v>M</v>
      </c>
      <c r="K534" s="12">
        <f>VLOOKUP(orders!D534,[1]products!$A$1:$G$49, 4,FALSE)</f>
        <v>0.5</v>
      </c>
      <c r="L534" s="12">
        <f>VLOOKUP(orders!D534,[1]products!$A$1:$G$49, 5,FALSE)</f>
        <v>8.25</v>
      </c>
      <c r="M534" s="13">
        <f>PRODUCT(orders!$E534,orders!$L534)</f>
        <v>16.5</v>
      </c>
      <c r="N534" s="11" t="str">
        <f t="shared" si="16"/>
        <v>May</v>
      </c>
      <c r="O534" s="11">
        <f t="shared" si="17"/>
        <v>2021</v>
      </c>
      <c r="P534" s="11" t="str">
        <f>TEXT(orders!$B534, "DDD")</f>
        <v>Fri</v>
      </c>
      <c r="Q534" s="11" t="str">
        <f>VLOOKUP(orders!C534,[1]customers!$A$1:$I$1001, 6,FALSE)</f>
        <v>Winter Haven</v>
      </c>
    </row>
    <row r="535" spans="1:17" x14ac:dyDescent="0.3">
      <c r="A535" s="14" t="s">
        <v>1064</v>
      </c>
      <c r="B535" s="15">
        <v>44724</v>
      </c>
      <c r="C535" s="16" t="s">
        <v>1065</v>
      </c>
      <c r="D535" s="17" t="s">
        <v>163</v>
      </c>
      <c r="E535" s="16">
        <v>4</v>
      </c>
      <c r="F535" s="9" t="str">
        <f>VLOOKUP(C535,[1]customers!$A$1:$I$1001, 2, FALSE)</f>
        <v>Rea Offell</v>
      </c>
      <c r="G535" s="16">
        <f>VLOOKUP(orders!C535,[1]customers!$A$1:$I$1001, 3, FALSE)</f>
        <v>0</v>
      </c>
      <c r="H535" s="16" t="str">
        <f>VLOOKUP(C535, [1]customers!$A$1:$I$1001, 7, FALSE)</f>
        <v>United States</v>
      </c>
      <c r="I535" s="18" t="str">
        <f>VLOOKUP(orders!D535,[1]products!$A$1:$G$49, 2,FALSE)</f>
        <v>Rob</v>
      </c>
      <c r="J535" s="18" t="str">
        <f>VLOOKUP(orders!D535,[1]products!$A$1:$G$49, 3,FALSE)</f>
        <v>D</v>
      </c>
      <c r="K535" s="19">
        <f>VLOOKUP(orders!D535,[1]products!$A$1:$G$49, 4,FALSE)</f>
        <v>0.5</v>
      </c>
      <c r="L535" s="19">
        <f>VLOOKUP(orders!D535,[1]products!$A$1:$G$49, 5,FALSE)</f>
        <v>5.3699999999999992</v>
      </c>
      <c r="M535" s="13">
        <f>PRODUCT(orders!$E535,orders!$L535)</f>
        <v>21.479999999999997</v>
      </c>
      <c r="N535" s="18" t="str">
        <f t="shared" si="16"/>
        <v>June</v>
      </c>
      <c r="O535" s="18">
        <f t="shared" si="17"/>
        <v>2022</v>
      </c>
      <c r="P535" s="11" t="str">
        <f>TEXT(orders!$B535, "DDD")</f>
        <v>Sun</v>
      </c>
      <c r="Q535" s="11" t="str">
        <f>VLOOKUP(orders!C535,[1]customers!$A$1:$I$1001, 6,FALSE)</f>
        <v>Dallas</v>
      </c>
    </row>
    <row r="536" spans="1:17" x14ac:dyDescent="0.3">
      <c r="A536" s="7" t="s">
        <v>1066</v>
      </c>
      <c r="B536" s="8">
        <v>44563</v>
      </c>
      <c r="C536" s="9" t="s">
        <v>1067</v>
      </c>
      <c r="D536" s="10" t="s">
        <v>58</v>
      </c>
      <c r="E536" s="9">
        <v>2</v>
      </c>
      <c r="F536" s="9" t="str">
        <f>VLOOKUP(C536,[1]customers!$A$1:$I$1001, 2, FALSE)</f>
        <v>Kris O'Cullen</v>
      </c>
      <c r="G536" s="9" t="str">
        <f>VLOOKUP(orders!C536,[1]customers!$A$1:$I$1001, 3, FALSE)</f>
        <v>koculleneu@ca.gov</v>
      </c>
      <c r="H536" s="9" t="str">
        <f>VLOOKUP(C536, [1]customers!$A$1:$I$1001, 7, FALSE)</f>
        <v>Ireland</v>
      </c>
      <c r="I536" s="11" t="str">
        <f>VLOOKUP(orders!D536,[1]products!$A$1:$G$49, 2,FALSE)</f>
        <v>Rob</v>
      </c>
      <c r="J536" s="11" t="str">
        <f>VLOOKUP(orders!D536,[1]products!$A$1:$G$49, 3,FALSE)</f>
        <v>M</v>
      </c>
      <c r="K536" s="12">
        <f>VLOOKUP(orders!D536,[1]products!$A$1:$G$49, 4,FALSE)</f>
        <v>2.5</v>
      </c>
      <c r="L536" s="12">
        <f>VLOOKUP(orders!D536,[1]products!$A$1:$G$49, 5,FALSE)</f>
        <v>22.884999999999998</v>
      </c>
      <c r="M536" s="13">
        <f>PRODUCT(orders!$E536,orders!$L536)</f>
        <v>45.769999999999996</v>
      </c>
      <c r="N536" s="11" t="str">
        <f t="shared" si="16"/>
        <v>January</v>
      </c>
      <c r="O536" s="11">
        <f t="shared" si="17"/>
        <v>2022</v>
      </c>
      <c r="P536" s="11" t="str">
        <f>TEXT(orders!$B536, "DDD")</f>
        <v>Sun</v>
      </c>
      <c r="Q536" s="11" t="str">
        <f>VLOOKUP(orders!C536,[1]customers!$A$1:$I$1001, 6,FALSE)</f>
        <v>Adare</v>
      </c>
    </row>
    <row r="537" spans="1:17" x14ac:dyDescent="0.3">
      <c r="A537" s="14" t="s">
        <v>1068</v>
      </c>
      <c r="B537" s="15">
        <v>44585</v>
      </c>
      <c r="C537" s="16" t="s">
        <v>1069</v>
      </c>
      <c r="D537" s="17" t="s">
        <v>36</v>
      </c>
      <c r="E537" s="16">
        <v>2</v>
      </c>
      <c r="F537" s="9" t="str">
        <f>VLOOKUP(C537,[1]customers!$A$1:$I$1001, 2, FALSE)</f>
        <v>Timoteo Glisane</v>
      </c>
      <c r="G537" s="16">
        <f>VLOOKUP(orders!C537,[1]customers!$A$1:$I$1001, 3, FALSE)</f>
        <v>0</v>
      </c>
      <c r="H537" s="16" t="str">
        <f>VLOOKUP(C537, [1]customers!$A$1:$I$1001, 7, FALSE)</f>
        <v>Ireland</v>
      </c>
      <c r="I537" s="18" t="str">
        <f>VLOOKUP(orders!D537,[1]products!$A$1:$G$49, 2,FALSE)</f>
        <v>Lib</v>
      </c>
      <c r="J537" s="18" t="str">
        <f>VLOOKUP(orders!D537,[1]products!$A$1:$G$49, 3,FALSE)</f>
        <v>L</v>
      </c>
      <c r="K537" s="19">
        <f>VLOOKUP(orders!D537,[1]products!$A$1:$G$49, 4,FALSE)</f>
        <v>0.2</v>
      </c>
      <c r="L537" s="19">
        <f>VLOOKUP(orders!D537,[1]products!$A$1:$G$49, 5,FALSE)</f>
        <v>4.7549999999999999</v>
      </c>
      <c r="M537" s="13">
        <f>PRODUCT(orders!$E537,orders!$L537)</f>
        <v>9.51</v>
      </c>
      <c r="N537" s="18" t="str">
        <f t="shared" si="16"/>
        <v>January</v>
      </c>
      <c r="O537" s="18">
        <f t="shared" si="17"/>
        <v>2022</v>
      </c>
      <c r="P537" s="11" t="str">
        <f>TEXT(orders!$B537, "DDD")</f>
        <v>Mon</v>
      </c>
      <c r="Q537" s="11" t="str">
        <f>VLOOKUP(orders!C537,[1]customers!$A$1:$I$1001, 6,FALSE)</f>
        <v>Ballivor</v>
      </c>
    </row>
    <row r="538" spans="1:17" x14ac:dyDescent="0.3">
      <c r="A538" s="7" t="s">
        <v>1070</v>
      </c>
      <c r="B538" s="8">
        <v>43544</v>
      </c>
      <c r="C538" s="9" t="s">
        <v>1005</v>
      </c>
      <c r="D538" s="10" t="s">
        <v>118</v>
      </c>
      <c r="E538" s="9">
        <v>3</v>
      </c>
      <c r="F538" s="9" t="str">
        <f>VLOOKUP(C538,[1]customers!$A$1:$I$1001, 2, FALSE)</f>
        <v>Marja Urion</v>
      </c>
      <c r="G538" s="9" t="str">
        <f>VLOOKUP(orders!C538,[1]customers!$A$1:$I$1001, 3, FALSE)</f>
        <v>murione5@alexa.com</v>
      </c>
      <c r="H538" s="9" t="str">
        <f>VLOOKUP(C538, [1]customers!$A$1:$I$1001, 7, FALSE)</f>
        <v>Ireland</v>
      </c>
      <c r="I538" s="11" t="str">
        <f>VLOOKUP(orders!D538,[1]products!$A$1:$G$49, 2,FALSE)</f>
        <v>Rob</v>
      </c>
      <c r="J538" s="11" t="str">
        <f>VLOOKUP(orders!D538,[1]products!$A$1:$G$49, 3,FALSE)</f>
        <v>D</v>
      </c>
      <c r="K538" s="12">
        <f>VLOOKUP(orders!D538,[1]products!$A$1:$G$49, 4,FALSE)</f>
        <v>0.2</v>
      </c>
      <c r="L538" s="12">
        <f>VLOOKUP(orders!D538,[1]products!$A$1:$G$49, 5,FALSE)</f>
        <v>2.6849999999999996</v>
      </c>
      <c r="M538" s="13">
        <f>PRODUCT(orders!$E538,orders!$L538)</f>
        <v>8.0549999999999997</v>
      </c>
      <c r="N538" s="11" t="str">
        <f t="shared" si="16"/>
        <v>March</v>
      </c>
      <c r="O538" s="11">
        <f t="shared" si="17"/>
        <v>2019</v>
      </c>
      <c r="P538" s="11" t="str">
        <f>TEXT(orders!$B538, "DDD")</f>
        <v>Wed</v>
      </c>
      <c r="Q538" s="11" t="str">
        <f>VLOOKUP(orders!C538,[1]customers!$A$1:$I$1001, 6,FALSE)</f>
        <v>Virginia</v>
      </c>
    </row>
    <row r="539" spans="1:17" x14ac:dyDescent="0.3">
      <c r="A539" s="14" t="s">
        <v>1071</v>
      </c>
      <c r="B539" s="15">
        <v>44156</v>
      </c>
      <c r="C539" s="16" t="s">
        <v>1072</v>
      </c>
      <c r="D539" s="17" t="s">
        <v>547</v>
      </c>
      <c r="E539" s="16">
        <v>4</v>
      </c>
      <c r="F539" s="9" t="str">
        <f>VLOOKUP(C539,[1]customers!$A$1:$I$1001, 2, FALSE)</f>
        <v>Hildegarde Brangan</v>
      </c>
      <c r="G539" s="16" t="str">
        <f>VLOOKUP(orders!C539,[1]customers!$A$1:$I$1001, 3, FALSE)</f>
        <v>hbranganex@woothemes.com</v>
      </c>
      <c r="H539" s="16" t="str">
        <f>VLOOKUP(C539, [1]customers!$A$1:$I$1001, 7, FALSE)</f>
        <v>United States</v>
      </c>
      <c r="I539" s="18" t="str">
        <f>VLOOKUP(orders!D539,[1]products!$A$1:$G$49, 2,FALSE)</f>
        <v>Exc</v>
      </c>
      <c r="J539" s="18" t="str">
        <f>VLOOKUP(orders!D539,[1]products!$A$1:$G$49, 3,FALSE)</f>
        <v>D</v>
      </c>
      <c r="K539" s="19">
        <f>VLOOKUP(orders!D539,[1]products!$A$1:$G$49, 4,FALSE)</f>
        <v>2.5</v>
      </c>
      <c r="L539" s="19">
        <f>VLOOKUP(orders!D539,[1]products!$A$1:$G$49, 5,FALSE)</f>
        <v>27.945</v>
      </c>
      <c r="M539" s="13">
        <f>PRODUCT(orders!$E539,orders!$L539)</f>
        <v>111.78</v>
      </c>
      <c r="N539" s="18" t="str">
        <f t="shared" si="16"/>
        <v>November</v>
      </c>
      <c r="O539" s="18">
        <f t="shared" si="17"/>
        <v>2020</v>
      </c>
      <c r="P539" s="11" t="str">
        <f>TEXT(orders!$B539, "DDD")</f>
        <v>Sat</v>
      </c>
      <c r="Q539" s="11" t="str">
        <f>VLOOKUP(orders!C539,[1]customers!$A$1:$I$1001, 6,FALSE)</f>
        <v>Evansville</v>
      </c>
    </row>
    <row r="540" spans="1:17" x14ac:dyDescent="0.3">
      <c r="A540" s="7" t="s">
        <v>1073</v>
      </c>
      <c r="B540" s="8">
        <v>44482</v>
      </c>
      <c r="C540" s="9" t="s">
        <v>1074</v>
      </c>
      <c r="D540" s="10" t="s">
        <v>118</v>
      </c>
      <c r="E540" s="9">
        <v>4</v>
      </c>
      <c r="F540" s="9" t="str">
        <f>VLOOKUP(C540,[1]customers!$A$1:$I$1001, 2, FALSE)</f>
        <v>Amii Gallyon</v>
      </c>
      <c r="G540" s="9" t="str">
        <f>VLOOKUP(orders!C540,[1]customers!$A$1:$I$1001, 3, FALSE)</f>
        <v>agallyoney@engadget.com</v>
      </c>
      <c r="H540" s="9" t="str">
        <f>VLOOKUP(C540, [1]customers!$A$1:$I$1001, 7, FALSE)</f>
        <v>United States</v>
      </c>
      <c r="I540" s="11" t="str">
        <f>VLOOKUP(orders!D540,[1]products!$A$1:$G$49, 2,FALSE)</f>
        <v>Rob</v>
      </c>
      <c r="J540" s="11" t="str">
        <f>VLOOKUP(orders!D540,[1]products!$A$1:$G$49, 3,FALSE)</f>
        <v>D</v>
      </c>
      <c r="K540" s="12">
        <f>VLOOKUP(orders!D540,[1]products!$A$1:$G$49, 4,FALSE)</f>
        <v>0.2</v>
      </c>
      <c r="L540" s="12">
        <f>VLOOKUP(orders!D540,[1]products!$A$1:$G$49, 5,FALSE)</f>
        <v>2.6849999999999996</v>
      </c>
      <c r="M540" s="13">
        <f>PRODUCT(orders!$E540,orders!$L540)</f>
        <v>10.739999999999998</v>
      </c>
      <c r="N540" s="11" t="str">
        <f t="shared" si="16"/>
        <v>October</v>
      </c>
      <c r="O540" s="11">
        <f t="shared" si="17"/>
        <v>2021</v>
      </c>
      <c r="P540" s="11" t="str">
        <f>TEXT(orders!$B540, "DDD")</f>
        <v>Wed</v>
      </c>
      <c r="Q540" s="11" t="str">
        <f>VLOOKUP(orders!C540,[1]customers!$A$1:$I$1001, 6,FALSE)</f>
        <v>Naperville</v>
      </c>
    </row>
    <row r="541" spans="1:17" x14ac:dyDescent="0.3">
      <c r="A541" s="14" t="s">
        <v>1075</v>
      </c>
      <c r="B541" s="15">
        <v>44488</v>
      </c>
      <c r="C541" s="16" t="s">
        <v>1076</v>
      </c>
      <c r="D541" s="17" t="s">
        <v>163</v>
      </c>
      <c r="E541" s="16">
        <v>5</v>
      </c>
      <c r="F541" s="9" t="str">
        <f>VLOOKUP(C541,[1]customers!$A$1:$I$1001, 2, FALSE)</f>
        <v>Birgit Domange</v>
      </c>
      <c r="G541" s="16" t="str">
        <f>VLOOKUP(orders!C541,[1]customers!$A$1:$I$1001, 3, FALSE)</f>
        <v>bdomangeez@yahoo.co.jp</v>
      </c>
      <c r="H541" s="16" t="str">
        <f>VLOOKUP(C541, [1]customers!$A$1:$I$1001, 7, FALSE)</f>
        <v>United States</v>
      </c>
      <c r="I541" s="18" t="str">
        <f>VLOOKUP(orders!D541,[1]products!$A$1:$G$49, 2,FALSE)</f>
        <v>Rob</v>
      </c>
      <c r="J541" s="18" t="str">
        <f>VLOOKUP(orders!D541,[1]products!$A$1:$G$49, 3,FALSE)</f>
        <v>D</v>
      </c>
      <c r="K541" s="19">
        <f>VLOOKUP(orders!D541,[1]products!$A$1:$G$49, 4,FALSE)</f>
        <v>0.5</v>
      </c>
      <c r="L541" s="19">
        <f>VLOOKUP(orders!D541,[1]products!$A$1:$G$49, 5,FALSE)</f>
        <v>5.3699999999999992</v>
      </c>
      <c r="M541" s="13">
        <f>PRODUCT(orders!$E541,orders!$L541)</f>
        <v>26.849999999999994</v>
      </c>
      <c r="N541" s="18" t="str">
        <f t="shared" si="16"/>
        <v>October</v>
      </c>
      <c r="O541" s="18">
        <f t="shared" si="17"/>
        <v>2021</v>
      </c>
      <c r="P541" s="11" t="str">
        <f>TEXT(orders!$B541, "DDD")</f>
        <v>Tue</v>
      </c>
      <c r="Q541" s="11" t="str">
        <f>VLOOKUP(orders!C541,[1]customers!$A$1:$I$1001, 6,FALSE)</f>
        <v>Charleston</v>
      </c>
    </row>
    <row r="542" spans="1:17" x14ac:dyDescent="0.3">
      <c r="A542" s="7" t="s">
        <v>1077</v>
      </c>
      <c r="B542" s="8">
        <v>43584</v>
      </c>
      <c r="C542" s="9" t="s">
        <v>1078</v>
      </c>
      <c r="D542" s="10" t="s">
        <v>149</v>
      </c>
      <c r="E542" s="9">
        <v>4</v>
      </c>
      <c r="F542" s="9" t="str">
        <f>VLOOKUP(C542,[1]customers!$A$1:$I$1001, 2, FALSE)</f>
        <v>Killian Osler</v>
      </c>
      <c r="G542" s="9" t="str">
        <f>VLOOKUP(orders!C542,[1]customers!$A$1:$I$1001, 3, FALSE)</f>
        <v>koslerf0@gmpg.org</v>
      </c>
      <c r="H542" s="9" t="str">
        <f>VLOOKUP(C542, [1]customers!$A$1:$I$1001, 7, FALSE)</f>
        <v>United States</v>
      </c>
      <c r="I542" s="11" t="str">
        <f>VLOOKUP(orders!D542,[1]products!$A$1:$G$49, 2,FALSE)</f>
        <v>Lib</v>
      </c>
      <c r="J542" s="11" t="str">
        <f>VLOOKUP(orders!D542,[1]products!$A$1:$G$49, 3,FALSE)</f>
        <v>L</v>
      </c>
      <c r="K542" s="12">
        <f>VLOOKUP(orders!D542,[1]products!$A$1:$G$49, 4,FALSE)</f>
        <v>1</v>
      </c>
      <c r="L542" s="12">
        <f>VLOOKUP(orders!D542,[1]products!$A$1:$G$49, 5,FALSE)</f>
        <v>15.85</v>
      </c>
      <c r="M542" s="13">
        <f>PRODUCT(orders!$E542,orders!$L542)</f>
        <v>63.4</v>
      </c>
      <c r="N542" s="11" t="str">
        <f t="shared" si="16"/>
        <v>April</v>
      </c>
      <c r="O542" s="11">
        <f t="shared" si="17"/>
        <v>2019</v>
      </c>
      <c r="P542" s="11" t="str">
        <f>TEXT(orders!$B542, "DDD")</f>
        <v>Mon</v>
      </c>
      <c r="Q542" s="11" t="str">
        <f>VLOOKUP(orders!C542,[1]customers!$A$1:$I$1001, 6,FALSE)</f>
        <v>Lansing</v>
      </c>
    </row>
    <row r="543" spans="1:17" x14ac:dyDescent="0.3">
      <c r="A543" s="14" t="s">
        <v>1079</v>
      </c>
      <c r="B543" s="15">
        <v>43750</v>
      </c>
      <c r="C543" s="16" t="s">
        <v>1080</v>
      </c>
      <c r="D543" s="17" t="s">
        <v>135</v>
      </c>
      <c r="E543" s="16">
        <v>1</v>
      </c>
      <c r="F543" s="9" t="str">
        <f>VLOOKUP(C543,[1]customers!$A$1:$I$1001, 2, FALSE)</f>
        <v>Lora Dukes</v>
      </c>
      <c r="G543" s="16">
        <f>VLOOKUP(orders!C543,[1]customers!$A$1:$I$1001, 3, FALSE)</f>
        <v>0</v>
      </c>
      <c r="H543" s="16" t="str">
        <f>VLOOKUP(C543, [1]customers!$A$1:$I$1001, 7, FALSE)</f>
        <v>Ireland</v>
      </c>
      <c r="I543" s="18" t="str">
        <f>VLOOKUP(orders!D543,[1]products!$A$1:$G$49, 2,FALSE)</f>
        <v>Ara</v>
      </c>
      <c r="J543" s="18" t="str">
        <f>VLOOKUP(orders!D543,[1]products!$A$1:$G$49, 3,FALSE)</f>
        <v>D</v>
      </c>
      <c r="K543" s="19">
        <f>VLOOKUP(orders!D543,[1]products!$A$1:$G$49, 4,FALSE)</f>
        <v>2.5</v>
      </c>
      <c r="L543" s="19">
        <f>VLOOKUP(orders!D543,[1]products!$A$1:$G$49, 5,FALSE)</f>
        <v>22.884999999999998</v>
      </c>
      <c r="M543" s="13">
        <f>PRODUCT(orders!$E543,orders!$L543)</f>
        <v>22.884999999999998</v>
      </c>
      <c r="N543" s="18" t="str">
        <f t="shared" si="16"/>
        <v>October</v>
      </c>
      <c r="O543" s="18">
        <f t="shared" si="17"/>
        <v>2019</v>
      </c>
      <c r="P543" s="11" t="str">
        <f>TEXT(orders!$B543, "DDD")</f>
        <v>Sat</v>
      </c>
      <c r="Q543" s="11" t="str">
        <f>VLOOKUP(orders!C543,[1]customers!$A$1:$I$1001, 6,FALSE)</f>
        <v>Boyle</v>
      </c>
    </row>
    <row r="544" spans="1:17" x14ac:dyDescent="0.3">
      <c r="A544" s="7" t="s">
        <v>1081</v>
      </c>
      <c r="B544" s="8">
        <v>44335</v>
      </c>
      <c r="C544" s="9" t="s">
        <v>1082</v>
      </c>
      <c r="D544" s="10" t="s">
        <v>188</v>
      </c>
      <c r="E544" s="9">
        <v>4</v>
      </c>
      <c r="F544" s="9" t="str">
        <f>VLOOKUP(C544,[1]customers!$A$1:$I$1001, 2, FALSE)</f>
        <v>Zack Pellett</v>
      </c>
      <c r="G544" s="9" t="str">
        <f>VLOOKUP(orders!C544,[1]customers!$A$1:$I$1001, 3, FALSE)</f>
        <v>zpellettf2@dailymotion.com</v>
      </c>
      <c r="H544" s="9" t="str">
        <f>VLOOKUP(C544, [1]customers!$A$1:$I$1001, 7, FALSE)</f>
        <v>United States</v>
      </c>
      <c r="I544" s="11" t="str">
        <f>VLOOKUP(orders!D544,[1]products!$A$1:$G$49, 2,FALSE)</f>
        <v>Ara</v>
      </c>
      <c r="J544" s="11" t="str">
        <f>VLOOKUP(orders!D544,[1]products!$A$1:$G$49, 3,FALSE)</f>
        <v>M</v>
      </c>
      <c r="K544" s="12">
        <f>VLOOKUP(orders!D544,[1]products!$A$1:$G$49, 4,FALSE)</f>
        <v>2.5</v>
      </c>
      <c r="L544" s="12">
        <f>VLOOKUP(orders!D544,[1]products!$A$1:$G$49, 5,FALSE)</f>
        <v>25.874999999999996</v>
      </c>
      <c r="M544" s="13">
        <f>PRODUCT(orders!$E544,orders!$L544)</f>
        <v>103.49999999999999</v>
      </c>
      <c r="N544" s="11" t="str">
        <f t="shared" si="16"/>
        <v>May</v>
      </c>
      <c r="O544" s="11">
        <f t="shared" si="17"/>
        <v>2021</v>
      </c>
      <c r="P544" s="11" t="str">
        <f>TEXT(orders!$B544, "DDD")</f>
        <v>Wed</v>
      </c>
      <c r="Q544" s="11" t="str">
        <f>VLOOKUP(orders!C544,[1]customers!$A$1:$I$1001, 6,FALSE)</f>
        <v>Shreveport</v>
      </c>
    </row>
    <row r="545" spans="1:17" x14ac:dyDescent="0.3">
      <c r="A545" s="14" t="s">
        <v>1083</v>
      </c>
      <c r="B545" s="15">
        <v>44380</v>
      </c>
      <c r="C545" s="16" t="s">
        <v>1084</v>
      </c>
      <c r="D545" s="17" t="s">
        <v>27</v>
      </c>
      <c r="E545" s="16">
        <v>2</v>
      </c>
      <c r="F545" s="9" t="str">
        <f>VLOOKUP(C545,[1]customers!$A$1:$I$1001, 2, FALSE)</f>
        <v>Ilaire Sprakes</v>
      </c>
      <c r="G545" s="16" t="str">
        <f>VLOOKUP(orders!C545,[1]customers!$A$1:$I$1001, 3, FALSE)</f>
        <v>isprakesf3@spiegel.de</v>
      </c>
      <c r="H545" s="16" t="str">
        <f>VLOOKUP(C545, [1]customers!$A$1:$I$1001, 7, FALSE)</f>
        <v>United States</v>
      </c>
      <c r="I545" s="18" t="str">
        <f>VLOOKUP(orders!D545,[1]products!$A$1:$G$49, 2,FALSE)</f>
        <v>Rob</v>
      </c>
      <c r="J545" s="18" t="str">
        <f>VLOOKUP(orders!D545,[1]products!$A$1:$G$49, 3,FALSE)</f>
        <v>L</v>
      </c>
      <c r="K545" s="19">
        <f>VLOOKUP(orders!D545,[1]products!$A$1:$G$49, 4,FALSE)</f>
        <v>2.5</v>
      </c>
      <c r="L545" s="19">
        <f>VLOOKUP(orders!D545,[1]products!$A$1:$G$49, 5,FALSE)</f>
        <v>27.484999999999996</v>
      </c>
      <c r="M545" s="13">
        <f>PRODUCT(orders!$E545,orders!$L545)</f>
        <v>54.969999999999992</v>
      </c>
      <c r="N545" s="18" t="str">
        <f t="shared" si="16"/>
        <v>July</v>
      </c>
      <c r="O545" s="18">
        <f t="shared" si="17"/>
        <v>2021</v>
      </c>
      <c r="P545" s="11" t="str">
        <f>TEXT(orders!$B545, "DDD")</f>
        <v>Sat</v>
      </c>
      <c r="Q545" s="11" t="str">
        <f>VLOOKUP(orders!C545,[1]customers!$A$1:$I$1001, 6,FALSE)</f>
        <v>San Jose</v>
      </c>
    </row>
    <row r="546" spans="1:17" x14ac:dyDescent="0.3">
      <c r="A546" s="7" t="s">
        <v>1085</v>
      </c>
      <c r="B546" s="8">
        <v>43869</v>
      </c>
      <c r="C546" s="9" t="s">
        <v>1086</v>
      </c>
      <c r="D546" s="10" t="s">
        <v>209</v>
      </c>
      <c r="E546" s="9">
        <v>2</v>
      </c>
      <c r="F546" s="9" t="str">
        <f>VLOOKUP(C546,[1]customers!$A$1:$I$1001, 2, FALSE)</f>
        <v>Heda Fromant</v>
      </c>
      <c r="G546" s="9" t="str">
        <f>VLOOKUP(orders!C546,[1]customers!$A$1:$I$1001, 3, FALSE)</f>
        <v>hfromantf4@ucsd.edu</v>
      </c>
      <c r="H546" s="9" t="str">
        <f>VLOOKUP(C546, [1]customers!$A$1:$I$1001, 7, FALSE)</f>
        <v>United States</v>
      </c>
      <c r="I546" s="11" t="str">
        <f>VLOOKUP(orders!D546,[1]products!$A$1:$G$49, 2,FALSE)</f>
        <v>Ara</v>
      </c>
      <c r="J546" s="11" t="str">
        <f>VLOOKUP(orders!D546,[1]products!$A$1:$G$49, 3,FALSE)</f>
        <v>L</v>
      </c>
      <c r="K546" s="12">
        <f>VLOOKUP(orders!D546,[1]products!$A$1:$G$49, 4,FALSE)</f>
        <v>0.5</v>
      </c>
      <c r="L546" s="12">
        <f>VLOOKUP(orders!D546,[1]products!$A$1:$G$49, 5,FALSE)</f>
        <v>7.77</v>
      </c>
      <c r="M546" s="13">
        <f>PRODUCT(orders!$E546,orders!$L546)</f>
        <v>15.54</v>
      </c>
      <c r="N546" s="11" t="str">
        <f t="shared" si="16"/>
        <v>February</v>
      </c>
      <c r="O546" s="11">
        <f t="shared" si="17"/>
        <v>2020</v>
      </c>
      <c r="P546" s="11" t="str">
        <f>TEXT(orders!$B546, "DDD")</f>
        <v>Sat</v>
      </c>
      <c r="Q546" s="11" t="str">
        <f>VLOOKUP(orders!C546,[1]customers!$A$1:$I$1001, 6,FALSE)</f>
        <v>Philadelphia</v>
      </c>
    </row>
    <row r="547" spans="1:17" x14ac:dyDescent="0.3">
      <c r="A547" s="14" t="s">
        <v>1087</v>
      </c>
      <c r="B547" s="15">
        <v>44120</v>
      </c>
      <c r="C547" s="16" t="s">
        <v>1088</v>
      </c>
      <c r="D547" s="17" t="s">
        <v>55</v>
      </c>
      <c r="E547" s="16">
        <v>4</v>
      </c>
      <c r="F547" s="9" t="str">
        <f>VLOOKUP(C547,[1]customers!$A$1:$I$1001, 2, FALSE)</f>
        <v>Rufus Flear</v>
      </c>
      <c r="G547" s="16" t="str">
        <f>VLOOKUP(orders!C547,[1]customers!$A$1:$I$1001, 3, FALSE)</f>
        <v>rflearf5@artisteer.com</v>
      </c>
      <c r="H547" s="16" t="str">
        <f>VLOOKUP(C547, [1]customers!$A$1:$I$1001, 7, FALSE)</f>
        <v>United Kingdom</v>
      </c>
      <c r="I547" s="18" t="str">
        <f>VLOOKUP(orders!D547,[1]products!$A$1:$G$49, 2,FALSE)</f>
        <v>Lib</v>
      </c>
      <c r="J547" s="18" t="str">
        <f>VLOOKUP(orders!D547,[1]products!$A$1:$G$49, 3,FALSE)</f>
        <v>D</v>
      </c>
      <c r="K547" s="19">
        <f>VLOOKUP(orders!D547,[1]products!$A$1:$G$49, 4,FALSE)</f>
        <v>0.2</v>
      </c>
      <c r="L547" s="19">
        <f>VLOOKUP(orders!D547,[1]products!$A$1:$G$49, 5,FALSE)</f>
        <v>3.8849999999999998</v>
      </c>
      <c r="M547" s="13">
        <f>PRODUCT(orders!$E547,orders!$L547)</f>
        <v>15.54</v>
      </c>
      <c r="N547" s="18" t="str">
        <f t="shared" si="16"/>
        <v>October</v>
      </c>
      <c r="O547" s="18">
        <f t="shared" si="17"/>
        <v>2020</v>
      </c>
      <c r="P547" s="11" t="str">
        <f>TEXT(orders!$B547, "DDD")</f>
        <v>Fri</v>
      </c>
      <c r="Q547" s="11" t="str">
        <f>VLOOKUP(orders!C547,[1]customers!$A$1:$I$1001, 6,FALSE)</f>
        <v>Sheffield</v>
      </c>
    </row>
    <row r="548" spans="1:17" x14ac:dyDescent="0.3">
      <c r="A548" s="7" t="s">
        <v>1089</v>
      </c>
      <c r="B548" s="8">
        <v>44127</v>
      </c>
      <c r="C548" s="9" t="s">
        <v>1090</v>
      </c>
      <c r="D548" s="10" t="s">
        <v>547</v>
      </c>
      <c r="E548" s="9">
        <v>3</v>
      </c>
      <c r="F548" s="9" t="str">
        <f>VLOOKUP(C548,[1]customers!$A$1:$I$1001, 2, FALSE)</f>
        <v>Dom Milella</v>
      </c>
      <c r="G548" s="9">
        <f>VLOOKUP(orders!C548,[1]customers!$A$1:$I$1001, 3, FALSE)</f>
        <v>0</v>
      </c>
      <c r="H548" s="9" t="str">
        <f>VLOOKUP(C548, [1]customers!$A$1:$I$1001, 7, FALSE)</f>
        <v>Ireland</v>
      </c>
      <c r="I548" s="11" t="str">
        <f>VLOOKUP(orders!D548,[1]products!$A$1:$G$49, 2,FALSE)</f>
        <v>Exc</v>
      </c>
      <c r="J548" s="11" t="str">
        <f>VLOOKUP(orders!D548,[1]products!$A$1:$G$49, 3,FALSE)</f>
        <v>D</v>
      </c>
      <c r="K548" s="12">
        <f>VLOOKUP(orders!D548,[1]products!$A$1:$G$49, 4,FALSE)</f>
        <v>2.5</v>
      </c>
      <c r="L548" s="12">
        <f>VLOOKUP(orders!D548,[1]products!$A$1:$G$49, 5,FALSE)</f>
        <v>27.945</v>
      </c>
      <c r="M548" s="13">
        <f>PRODUCT(orders!$E548,orders!$L548)</f>
        <v>83.835000000000008</v>
      </c>
      <c r="N548" s="11" t="str">
        <f t="shared" si="16"/>
        <v>October</v>
      </c>
      <c r="O548" s="11">
        <f t="shared" si="17"/>
        <v>2020</v>
      </c>
      <c r="P548" s="11" t="str">
        <f>TEXT(orders!$B548, "DDD")</f>
        <v>Fri</v>
      </c>
      <c r="Q548" s="11" t="str">
        <f>VLOOKUP(orders!C548,[1]customers!$A$1:$I$1001, 6,FALSE)</f>
        <v>Manorhamilton</v>
      </c>
    </row>
    <row r="549" spans="1:17" x14ac:dyDescent="0.3">
      <c r="A549" s="14" t="s">
        <v>1091</v>
      </c>
      <c r="B549" s="15">
        <v>44265</v>
      </c>
      <c r="C549" s="16" t="s">
        <v>1092</v>
      </c>
      <c r="D549" s="17" t="s">
        <v>199</v>
      </c>
      <c r="E549" s="16">
        <v>3</v>
      </c>
      <c r="F549" s="9" t="str">
        <f>VLOOKUP(C549,[1]customers!$A$1:$I$1001, 2, FALSE)</f>
        <v>Wilek Lightollers</v>
      </c>
      <c r="G549" s="16" t="str">
        <f>VLOOKUP(orders!C549,[1]customers!$A$1:$I$1001, 3, FALSE)</f>
        <v>wlightollersf9@baidu.com</v>
      </c>
      <c r="H549" s="16" t="str">
        <f>VLOOKUP(C549, [1]customers!$A$1:$I$1001, 7, FALSE)</f>
        <v>United States</v>
      </c>
      <c r="I549" s="18" t="str">
        <f>VLOOKUP(orders!D549,[1]products!$A$1:$G$49, 2,FALSE)</f>
        <v>Rob</v>
      </c>
      <c r="J549" s="18" t="str">
        <f>VLOOKUP(orders!D549,[1]products!$A$1:$G$49, 3,FALSE)</f>
        <v>L</v>
      </c>
      <c r="K549" s="19">
        <f>VLOOKUP(orders!D549,[1]products!$A$1:$G$49, 4,FALSE)</f>
        <v>0.2</v>
      </c>
      <c r="L549" s="19">
        <f>VLOOKUP(orders!D549,[1]products!$A$1:$G$49, 5,FALSE)</f>
        <v>3.5849999999999995</v>
      </c>
      <c r="M549" s="13">
        <f>PRODUCT(orders!$E549,orders!$L549)</f>
        <v>10.754999999999999</v>
      </c>
      <c r="N549" s="18" t="str">
        <f t="shared" si="16"/>
        <v>March</v>
      </c>
      <c r="O549" s="18">
        <f t="shared" si="17"/>
        <v>2021</v>
      </c>
      <c r="P549" s="11" t="str">
        <f>TEXT(orders!$B549, "DDD")</f>
        <v>Wed</v>
      </c>
      <c r="Q549" s="11" t="str">
        <f>VLOOKUP(orders!C549,[1]customers!$A$1:$I$1001, 6,FALSE)</f>
        <v>New York City</v>
      </c>
    </row>
    <row r="550" spans="1:17" x14ac:dyDescent="0.3">
      <c r="A550" s="7" t="s">
        <v>1093</v>
      </c>
      <c r="B550" s="8">
        <v>44384</v>
      </c>
      <c r="C550" s="9" t="s">
        <v>1094</v>
      </c>
      <c r="D550" s="10" t="s">
        <v>271</v>
      </c>
      <c r="E550" s="9">
        <v>3</v>
      </c>
      <c r="F550" s="9" t="str">
        <f>VLOOKUP(C550,[1]customers!$A$1:$I$1001, 2, FALSE)</f>
        <v>Bette-ann Munden</v>
      </c>
      <c r="G550" s="9" t="str">
        <f>VLOOKUP(orders!C550,[1]customers!$A$1:$I$1001, 3, FALSE)</f>
        <v>bmundenf8@elpais.com</v>
      </c>
      <c r="H550" s="9" t="str">
        <f>VLOOKUP(C550, [1]customers!$A$1:$I$1001, 7, FALSE)</f>
        <v>United States</v>
      </c>
      <c r="I550" s="11" t="str">
        <f>VLOOKUP(orders!D550,[1]products!$A$1:$G$49, 2,FALSE)</f>
        <v>Exc</v>
      </c>
      <c r="J550" s="11" t="str">
        <f>VLOOKUP(orders!D550,[1]products!$A$1:$G$49, 3,FALSE)</f>
        <v>L</v>
      </c>
      <c r="K550" s="12">
        <f>VLOOKUP(orders!D550,[1]products!$A$1:$G$49, 4,FALSE)</f>
        <v>0.2</v>
      </c>
      <c r="L550" s="12">
        <f>VLOOKUP(orders!D550,[1]products!$A$1:$G$49, 5,FALSE)</f>
        <v>4.4550000000000001</v>
      </c>
      <c r="M550" s="13">
        <f>PRODUCT(orders!$E550,orders!$L550)</f>
        <v>13.365</v>
      </c>
      <c r="N550" s="11" t="str">
        <f t="shared" si="16"/>
        <v>July</v>
      </c>
      <c r="O550" s="11">
        <f t="shared" si="17"/>
        <v>2021</v>
      </c>
      <c r="P550" s="11" t="str">
        <f>TEXT(orders!$B550, "DDD")</f>
        <v>Wed</v>
      </c>
      <c r="Q550" s="11" t="str">
        <f>VLOOKUP(orders!C550,[1]customers!$A$1:$I$1001, 6,FALSE)</f>
        <v>Oklahoma City</v>
      </c>
    </row>
    <row r="551" spans="1:17" x14ac:dyDescent="0.3">
      <c r="A551" s="14" t="s">
        <v>1095</v>
      </c>
      <c r="B551" s="15">
        <v>44232</v>
      </c>
      <c r="C551" s="16" t="s">
        <v>1092</v>
      </c>
      <c r="D551" s="17" t="s">
        <v>271</v>
      </c>
      <c r="E551" s="16">
        <v>4</v>
      </c>
      <c r="F551" s="9" t="str">
        <f>VLOOKUP(C551,[1]customers!$A$1:$I$1001, 2, FALSE)</f>
        <v>Wilek Lightollers</v>
      </c>
      <c r="G551" s="16" t="str">
        <f>VLOOKUP(orders!C551,[1]customers!$A$1:$I$1001, 3, FALSE)</f>
        <v>wlightollersf9@baidu.com</v>
      </c>
      <c r="H551" s="16" t="str">
        <f>VLOOKUP(C551, [1]customers!$A$1:$I$1001, 7, FALSE)</f>
        <v>United States</v>
      </c>
      <c r="I551" s="18" t="str">
        <f>VLOOKUP(orders!D551,[1]products!$A$1:$G$49, 2,FALSE)</f>
        <v>Exc</v>
      </c>
      <c r="J551" s="18" t="str">
        <f>VLOOKUP(orders!D551,[1]products!$A$1:$G$49, 3,FALSE)</f>
        <v>L</v>
      </c>
      <c r="K551" s="19">
        <f>VLOOKUP(orders!D551,[1]products!$A$1:$G$49, 4,FALSE)</f>
        <v>0.2</v>
      </c>
      <c r="L551" s="19">
        <f>VLOOKUP(orders!D551,[1]products!$A$1:$G$49, 5,FALSE)</f>
        <v>4.4550000000000001</v>
      </c>
      <c r="M551" s="13">
        <f>PRODUCT(orders!$E551,orders!$L551)</f>
        <v>17.82</v>
      </c>
      <c r="N551" s="18" t="str">
        <f t="shared" si="16"/>
        <v>February</v>
      </c>
      <c r="O551" s="18">
        <f t="shared" si="17"/>
        <v>2021</v>
      </c>
      <c r="P551" s="11" t="str">
        <f>TEXT(orders!$B551, "DDD")</f>
        <v>Fri</v>
      </c>
      <c r="Q551" s="11" t="str">
        <f>VLOOKUP(orders!C551,[1]customers!$A$1:$I$1001, 6,FALSE)</f>
        <v>New York City</v>
      </c>
    </row>
    <row r="552" spans="1:17" x14ac:dyDescent="0.3">
      <c r="A552" s="7" t="s">
        <v>1096</v>
      </c>
      <c r="B552" s="8">
        <v>44176</v>
      </c>
      <c r="C552" s="9" t="s">
        <v>1097</v>
      </c>
      <c r="D552" s="10" t="s">
        <v>55</v>
      </c>
      <c r="E552" s="9">
        <v>6</v>
      </c>
      <c r="F552" s="9" t="str">
        <f>VLOOKUP(C552,[1]customers!$A$1:$I$1001, 2, FALSE)</f>
        <v>Nick Brakespear</v>
      </c>
      <c r="G552" s="9" t="str">
        <f>VLOOKUP(orders!C552,[1]customers!$A$1:$I$1001, 3, FALSE)</f>
        <v>nbrakespearfa@rediff.com</v>
      </c>
      <c r="H552" s="9" t="str">
        <f>VLOOKUP(C552, [1]customers!$A$1:$I$1001, 7, FALSE)</f>
        <v>United States</v>
      </c>
      <c r="I552" s="11" t="str">
        <f>VLOOKUP(orders!D552,[1]products!$A$1:$G$49, 2,FALSE)</f>
        <v>Lib</v>
      </c>
      <c r="J552" s="11" t="str">
        <f>VLOOKUP(orders!D552,[1]products!$A$1:$G$49, 3,FALSE)</f>
        <v>D</v>
      </c>
      <c r="K552" s="12">
        <f>VLOOKUP(orders!D552,[1]products!$A$1:$G$49, 4,FALSE)</f>
        <v>0.2</v>
      </c>
      <c r="L552" s="12">
        <f>VLOOKUP(orders!D552,[1]products!$A$1:$G$49, 5,FALSE)</f>
        <v>3.8849999999999998</v>
      </c>
      <c r="M552" s="13">
        <f>PRODUCT(orders!$E552,orders!$L552)</f>
        <v>23.31</v>
      </c>
      <c r="N552" s="11" t="str">
        <f t="shared" si="16"/>
        <v>December</v>
      </c>
      <c r="O552" s="11">
        <f t="shared" si="17"/>
        <v>2020</v>
      </c>
      <c r="P552" s="11" t="str">
        <f>TEXT(orders!$B552, "DDD")</f>
        <v>Fri</v>
      </c>
      <c r="Q552" s="11" t="str">
        <f>VLOOKUP(orders!C552,[1]customers!$A$1:$I$1001, 6,FALSE)</f>
        <v>Newark</v>
      </c>
    </row>
    <row r="553" spans="1:17" x14ac:dyDescent="0.3">
      <c r="A553" s="14" t="s">
        <v>1098</v>
      </c>
      <c r="B553" s="15">
        <v>44694</v>
      </c>
      <c r="C553" s="16" t="s">
        <v>1099</v>
      </c>
      <c r="D553" s="17" t="s">
        <v>68</v>
      </c>
      <c r="E553" s="16">
        <v>2</v>
      </c>
      <c r="F553" s="9" t="str">
        <f>VLOOKUP(C553,[1]customers!$A$1:$I$1001, 2, FALSE)</f>
        <v>Malynda Glawsop</v>
      </c>
      <c r="G553" s="16" t="str">
        <f>VLOOKUP(orders!C553,[1]customers!$A$1:$I$1001, 3, FALSE)</f>
        <v>mglawsopfb@reverbnation.com</v>
      </c>
      <c r="H553" s="16" t="str">
        <f>VLOOKUP(C553, [1]customers!$A$1:$I$1001, 7, FALSE)</f>
        <v>United States</v>
      </c>
      <c r="I553" s="18" t="str">
        <f>VLOOKUP(orders!D553,[1]products!$A$1:$G$49, 2,FALSE)</f>
        <v>Exc</v>
      </c>
      <c r="J553" s="18" t="str">
        <f>VLOOKUP(orders!D553,[1]products!$A$1:$G$49, 3,FALSE)</f>
        <v>D</v>
      </c>
      <c r="K553" s="19">
        <f>VLOOKUP(orders!D553,[1]products!$A$1:$G$49, 4,FALSE)</f>
        <v>0.2</v>
      </c>
      <c r="L553" s="19">
        <f>VLOOKUP(orders!D553,[1]products!$A$1:$G$49, 5,FALSE)</f>
        <v>3.645</v>
      </c>
      <c r="M553" s="13">
        <f>PRODUCT(orders!$E553,orders!$L553)</f>
        <v>7.29</v>
      </c>
      <c r="N553" s="18" t="str">
        <f t="shared" si="16"/>
        <v>May</v>
      </c>
      <c r="O553" s="18">
        <f t="shared" si="17"/>
        <v>2022</v>
      </c>
      <c r="P553" s="11" t="str">
        <f>TEXT(orders!$B553, "DDD")</f>
        <v>Fri</v>
      </c>
      <c r="Q553" s="11" t="str">
        <f>VLOOKUP(orders!C553,[1]customers!$A$1:$I$1001, 6,FALSE)</f>
        <v>New Haven</v>
      </c>
    </row>
    <row r="554" spans="1:17" x14ac:dyDescent="0.3">
      <c r="A554" s="7" t="s">
        <v>1100</v>
      </c>
      <c r="B554" s="8">
        <v>43761</v>
      </c>
      <c r="C554" s="9" t="s">
        <v>1101</v>
      </c>
      <c r="D554" s="10" t="s">
        <v>271</v>
      </c>
      <c r="E554" s="9">
        <v>4</v>
      </c>
      <c r="F554" s="9" t="str">
        <f>VLOOKUP(C554,[1]customers!$A$1:$I$1001, 2, FALSE)</f>
        <v>Granville Alberts</v>
      </c>
      <c r="G554" s="9" t="str">
        <f>VLOOKUP(orders!C554,[1]customers!$A$1:$I$1001, 3, FALSE)</f>
        <v>galbertsfc@etsy.com</v>
      </c>
      <c r="H554" s="9" t="str">
        <f>VLOOKUP(C554, [1]customers!$A$1:$I$1001, 7, FALSE)</f>
        <v>United Kingdom</v>
      </c>
      <c r="I554" s="11" t="str">
        <f>VLOOKUP(orders!D554,[1]products!$A$1:$G$49, 2,FALSE)</f>
        <v>Exc</v>
      </c>
      <c r="J554" s="11" t="str">
        <f>VLOOKUP(orders!D554,[1]products!$A$1:$G$49, 3,FALSE)</f>
        <v>L</v>
      </c>
      <c r="K554" s="12">
        <f>VLOOKUP(orders!D554,[1]products!$A$1:$G$49, 4,FALSE)</f>
        <v>0.2</v>
      </c>
      <c r="L554" s="12">
        <f>VLOOKUP(orders!D554,[1]products!$A$1:$G$49, 5,FALSE)</f>
        <v>4.4550000000000001</v>
      </c>
      <c r="M554" s="13">
        <f>PRODUCT(orders!$E554,orders!$L554)</f>
        <v>17.82</v>
      </c>
      <c r="N554" s="11" t="str">
        <f t="shared" si="16"/>
        <v>October</v>
      </c>
      <c r="O554" s="11">
        <f t="shared" si="17"/>
        <v>2019</v>
      </c>
      <c r="P554" s="11" t="str">
        <f>TEXT(orders!$B554, "DDD")</f>
        <v>Wed</v>
      </c>
      <c r="Q554" s="11" t="str">
        <f>VLOOKUP(orders!C554,[1]customers!$A$1:$I$1001, 6,FALSE)</f>
        <v>Belfast</v>
      </c>
    </row>
    <row r="555" spans="1:17" x14ac:dyDescent="0.3">
      <c r="A555" s="14" t="s">
        <v>1102</v>
      </c>
      <c r="B555" s="15">
        <v>44085</v>
      </c>
      <c r="C555" s="16" t="s">
        <v>1103</v>
      </c>
      <c r="D555" s="17" t="s">
        <v>26</v>
      </c>
      <c r="E555" s="16">
        <v>5</v>
      </c>
      <c r="F555" s="9" t="str">
        <f>VLOOKUP(C555,[1]customers!$A$1:$I$1001, 2, FALSE)</f>
        <v>Vasily Polglase</v>
      </c>
      <c r="G555" s="16" t="str">
        <f>VLOOKUP(orders!C555,[1]customers!$A$1:$I$1001, 3, FALSE)</f>
        <v>vpolglasefd@about.me</v>
      </c>
      <c r="H555" s="16" t="str">
        <f>VLOOKUP(C555, [1]customers!$A$1:$I$1001, 7, FALSE)</f>
        <v>United States</v>
      </c>
      <c r="I555" s="18" t="str">
        <f>VLOOKUP(orders!D555,[1]products!$A$1:$G$49, 2,FALSE)</f>
        <v>Exc</v>
      </c>
      <c r="J555" s="18" t="str">
        <f>VLOOKUP(orders!D555,[1]products!$A$1:$G$49, 3,FALSE)</f>
        <v>M</v>
      </c>
      <c r="K555" s="19">
        <f>VLOOKUP(orders!D555,[1]products!$A$1:$G$49, 4,FALSE)</f>
        <v>1</v>
      </c>
      <c r="L555" s="19">
        <f>VLOOKUP(orders!D555,[1]products!$A$1:$G$49, 5,FALSE)</f>
        <v>13.75</v>
      </c>
      <c r="M555" s="13">
        <f>PRODUCT(orders!$E555,orders!$L555)</f>
        <v>68.75</v>
      </c>
      <c r="N555" s="18" t="str">
        <f t="shared" si="16"/>
        <v>September</v>
      </c>
      <c r="O555" s="18">
        <f t="shared" si="17"/>
        <v>2020</v>
      </c>
      <c r="P555" s="11" t="str">
        <f>TEXT(orders!$B555, "DDD")</f>
        <v>Fri</v>
      </c>
      <c r="Q555" s="11" t="str">
        <f>VLOOKUP(orders!C555,[1]customers!$A$1:$I$1001, 6,FALSE)</f>
        <v>Toledo</v>
      </c>
    </row>
    <row r="556" spans="1:17" x14ac:dyDescent="0.3">
      <c r="A556" s="7" t="s">
        <v>1104</v>
      </c>
      <c r="B556" s="8">
        <v>43737</v>
      </c>
      <c r="C556" s="9" t="s">
        <v>1105</v>
      </c>
      <c r="D556" s="10" t="s">
        <v>27</v>
      </c>
      <c r="E556" s="9">
        <v>2</v>
      </c>
      <c r="F556" s="9" t="str">
        <f>VLOOKUP(C556,[1]customers!$A$1:$I$1001, 2, FALSE)</f>
        <v>Madelaine Sharples</v>
      </c>
      <c r="G556" s="9">
        <f>VLOOKUP(orders!C556,[1]customers!$A$1:$I$1001, 3, FALSE)</f>
        <v>0</v>
      </c>
      <c r="H556" s="9" t="str">
        <f>VLOOKUP(C556, [1]customers!$A$1:$I$1001, 7, FALSE)</f>
        <v>United Kingdom</v>
      </c>
      <c r="I556" s="11" t="str">
        <f>VLOOKUP(orders!D556,[1]products!$A$1:$G$49, 2,FALSE)</f>
        <v>Rob</v>
      </c>
      <c r="J556" s="11" t="str">
        <f>VLOOKUP(orders!D556,[1]products!$A$1:$G$49, 3,FALSE)</f>
        <v>L</v>
      </c>
      <c r="K556" s="12">
        <f>VLOOKUP(orders!D556,[1]products!$A$1:$G$49, 4,FALSE)</f>
        <v>2.5</v>
      </c>
      <c r="L556" s="12">
        <f>VLOOKUP(orders!D556,[1]products!$A$1:$G$49, 5,FALSE)</f>
        <v>27.484999999999996</v>
      </c>
      <c r="M556" s="13">
        <f>PRODUCT(orders!$E556,orders!$L556)</f>
        <v>54.969999999999992</v>
      </c>
      <c r="N556" s="11" t="str">
        <f t="shared" si="16"/>
        <v>September</v>
      </c>
      <c r="O556" s="11">
        <f t="shared" si="17"/>
        <v>2019</v>
      </c>
      <c r="P556" s="11" t="str">
        <f>TEXT(orders!$B556, "DDD")</f>
        <v>Sun</v>
      </c>
      <c r="Q556" s="11" t="str">
        <f>VLOOKUP(orders!C556,[1]customers!$A$1:$I$1001, 6,FALSE)</f>
        <v>Newton</v>
      </c>
    </row>
    <row r="557" spans="1:17" x14ac:dyDescent="0.3">
      <c r="A557" s="14" t="s">
        <v>1106</v>
      </c>
      <c r="B557" s="15">
        <v>44258</v>
      </c>
      <c r="C557" s="16" t="s">
        <v>1107</v>
      </c>
      <c r="D557" s="17" t="s">
        <v>26</v>
      </c>
      <c r="E557" s="16">
        <v>6</v>
      </c>
      <c r="F557" s="9" t="str">
        <f>VLOOKUP(C557,[1]customers!$A$1:$I$1001, 2, FALSE)</f>
        <v>Sigfrid Busch</v>
      </c>
      <c r="G557" s="16" t="str">
        <f>VLOOKUP(orders!C557,[1]customers!$A$1:$I$1001, 3, FALSE)</f>
        <v>sbuschff@so-net.ne.jp</v>
      </c>
      <c r="H557" s="16" t="str">
        <f>VLOOKUP(C557, [1]customers!$A$1:$I$1001, 7, FALSE)</f>
        <v>Ireland</v>
      </c>
      <c r="I557" s="18" t="str">
        <f>VLOOKUP(orders!D557,[1]products!$A$1:$G$49, 2,FALSE)</f>
        <v>Exc</v>
      </c>
      <c r="J557" s="18" t="str">
        <f>VLOOKUP(orders!D557,[1]products!$A$1:$G$49, 3,FALSE)</f>
        <v>M</v>
      </c>
      <c r="K557" s="19">
        <f>VLOOKUP(orders!D557,[1]products!$A$1:$G$49, 4,FALSE)</f>
        <v>1</v>
      </c>
      <c r="L557" s="19">
        <f>VLOOKUP(orders!D557,[1]products!$A$1:$G$49, 5,FALSE)</f>
        <v>13.75</v>
      </c>
      <c r="M557" s="13">
        <f>PRODUCT(orders!$E557,orders!$L557)</f>
        <v>82.5</v>
      </c>
      <c r="N557" s="18" t="str">
        <f t="shared" si="16"/>
        <v>March</v>
      </c>
      <c r="O557" s="18">
        <f t="shared" si="17"/>
        <v>2021</v>
      </c>
      <c r="P557" s="11" t="str">
        <f>TEXT(orders!$B557, "DDD")</f>
        <v>Wed</v>
      </c>
      <c r="Q557" s="11" t="str">
        <f>VLOOKUP(orders!C557,[1]customers!$A$1:$I$1001, 6,FALSE)</f>
        <v>Bantry</v>
      </c>
    </row>
    <row r="558" spans="1:17" x14ac:dyDescent="0.3">
      <c r="A558" s="7" t="s">
        <v>1108</v>
      </c>
      <c r="B558" s="8">
        <v>44523</v>
      </c>
      <c r="C558" s="9" t="s">
        <v>1109</v>
      </c>
      <c r="D558" s="10" t="s">
        <v>94</v>
      </c>
      <c r="E558" s="9">
        <v>2</v>
      </c>
      <c r="F558" s="9" t="str">
        <f>VLOOKUP(C558,[1]customers!$A$1:$I$1001, 2, FALSE)</f>
        <v>Cissiee Raisbeck</v>
      </c>
      <c r="G558" s="9" t="str">
        <f>VLOOKUP(orders!C558,[1]customers!$A$1:$I$1001, 3, FALSE)</f>
        <v>craisbeckfg@webnode.com</v>
      </c>
      <c r="H558" s="9" t="str">
        <f>VLOOKUP(C558, [1]customers!$A$1:$I$1001, 7, FALSE)</f>
        <v>United States</v>
      </c>
      <c r="I558" s="11" t="str">
        <f>VLOOKUP(orders!D558,[1]products!$A$1:$G$49, 2,FALSE)</f>
        <v>Lib</v>
      </c>
      <c r="J558" s="11" t="str">
        <f>VLOOKUP(orders!D558,[1]products!$A$1:$G$49, 3,FALSE)</f>
        <v>M</v>
      </c>
      <c r="K558" s="12">
        <f>VLOOKUP(orders!D558,[1]products!$A$1:$G$49, 4,FALSE)</f>
        <v>0.2</v>
      </c>
      <c r="L558" s="12">
        <f>VLOOKUP(orders!D558,[1]products!$A$1:$G$49, 5,FALSE)</f>
        <v>4.3650000000000002</v>
      </c>
      <c r="M558" s="13">
        <f>PRODUCT(orders!$E558,orders!$L558)</f>
        <v>8.73</v>
      </c>
      <c r="N558" s="11" t="str">
        <f t="shared" si="16"/>
        <v>November</v>
      </c>
      <c r="O558" s="11">
        <f t="shared" si="17"/>
        <v>2021</v>
      </c>
      <c r="P558" s="11" t="str">
        <f>TEXT(orders!$B558, "DDD")</f>
        <v>Tue</v>
      </c>
      <c r="Q558" s="11" t="str">
        <f>VLOOKUP(orders!C558,[1]customers!$A$1:$I$1001, 6,FALSE)</f>
        <v>Shreveport</v>
      </c>
    </row>
    <row r="559" spans="1:17" x14ac:dyDescent="0.3">
      <c r="A559" s="14" t="s">
        <v>1110</v>
      </c>
      <c r="B559" s="15">
        <v>44506</v>
      </c>
      <c r="C559" s="16" t="s">
        <v>1005</v>
      </c>
      <c r="D559" s="17" t="s">
        <v>154</v>
      </c>
      <c r="E559" s="16">
        <v>4</v>
      </c>
      <c r="F559" s="9" t="str">
        <f>VLOOKUP(C559,[1]customers!$A$1:$I$1001, 2, FALSE)</f>
        <v>Marja Urion</v>
      </c>
      <c r="G559" s="16" t="str">
        <f>VLOOKUP(orders!C559,[1]customers!$A$1:$I$1001, 3, FALSE)</f>
        <v>murione5@alexa.com</v>
      </c>
      <c r="H559" s="16" t="str">
        <f>VLOOKUP(C559, [1]customers!$A$1:$I$1001, 7, FALSE)</f>
        <v>Ireland</v>
      </c>
      <c r="I559" s="18" t="str">
        <f>VLOOKUP(orders!D559,[1]products!$A$1:$G$49, 2,FALSE)</f>
        <v>Exc</v>
      </c>
      <c r="J559" s="18" t="str">
        <f>VLOOKUP(orders!D559,[1]products!$A$1:$G$49, 3,FALSE)</f>
        <v>L</v>
      </c>
      <c r="K559" s="19">
        <f>VLOOKUP(orders!D559,[1]products!$A$1:$G$49, 4,FALSE)</f>
        <v>1</v>
      </c>
      <c r="L559" s="19">
        <f>VLOOKUP(orders!D559,[1]products!$A$1:$G$49, 5,FALSE)</f>
        <v>14.85</v>
      </c>
      <c r="M559" s="13">
        <f>PRODUCT(orders!$E559,orders!$L559)</f>
        <v>59.4</v>
      </c>
      <c r="N559" s="18" t="str">
        <f t="shared" si="16"/>
        <v>November</v>
      </c>
      <c r="O559" s="18">
        <f t="shared" si="17"/>
        <v>2021</v>
      </c>
      <c r="P559" s="11" t="str">
        <f>TEXT(orders!$B559, "DDD")</f>
        <v>Sat</v>
      </c>
      <c r="Q559" s="11" t="str">
        <f>VLOOKUP(orders!C559,[1]customers!$A$1:$I$1001, 6,FALSE)</f>
        <v>Virginia</v>
      </c>
    </row>
    <row r="560" spans="1:17" x14ac:dyDescent="0.3">
      <c r="A560" s="7" t="s">
        <v>1111</v>
      </c>
      <c r="B560" s="8">
        <v>44225</v>
      </c>
      <c r="C560" s="9" t="s">
        <v>1112</v>
      </c>
      <c r="D560" s="10" t="s">
        <v>55</v>
      </c>
      <c r="E560" s="9">
        <v>4</v>
      </c>
      <c r="F560" s="9" t="str">
        <f>VLOOKUP(C560,[1]customers!$A$1:$I$1001, 2, FALSE)</f>
        <v>Kenton Wetherick</v>
      </c>
      <c r="G560" s="9">
        <f>VLOOKUP(orders!C560,[1]customers!$A$1:$I$1001, 3, FALSE)</f>
        <v>0</v>
      </c>
      <c r="H560" s="9" t="str">
        <f>VLOOKUP(C560, [1]customers!$A$1:$I$1001, 7, FALSE)</f>
        <v>United States</v>
      </c>
      <c r="I560" s="11" t="str">
        <f>VLOOKUP(orders!D560,[1]products!$A$1:$G$49, 2,FALSE)</f>
        <v>Lib</v>
      </c>
      <c r="J560" s="11" t="str">
        <f>VLOOKUP(orders!D560,[1]products!$A$1:$G$49, 3,FALSE)</f>
        <v>D</v>
      </c>
      <c r="K560" s="12">
        <f>VLOOKUP(orders!D560,[1]products!$A$1:$G$49, 4,FALSE)</f>
        <v>0.2</v>
      </c>
      <c r="L560" s="12">
        <f>VLOOKUP(orders!D560,[1]products!$A$1:$G$49, 5,FALSE)</f>
        <v>3.8849999999999998</v>
      </c>
      <c r="M560" s="13">
        <f>PRODUCT(orders!$E560,orders!$L560)</f>
        <v>15.54</v>
      </c>
      <c r="N560" s="11" t="str">
        <f t="shared" si="16"/>
        <v>January</v>
      </c>
      <c r="O560" s="11">
        <f t="shared" si="17"/>
        <v>2021</v>
      </c>
      <c r="P560" s="11" t="str">
        <f>TEXT(orders!$B560, "DDD")</f>
        <v>Fri</v>
      </c>
      <c r="Q560" s="11" t="str">
        <f>VLOOKUP(orders!C560,[1]customers!$A$1:$I$1001, 6,FALSE)</f>
        <v>Lexington</v>
      </c>
    </row>
    <row r="561" spans="1:17" x14ac:dyDescent="0.3">
      <c r="A561" s="14" t="s">
        <v>1113</v>
      </c>
      <c r="B561" s="15">
        <v>44667</v>
      </c>
      <c r="C561" s="16" t="s">
        <v>1114</v>
      </c>
      <c r="D561" s="17" t="s">
        <v>23</v>
      </c>
      <c r="E561" s="16">
        <v>3</v>
      </c>
      <c r="F561" s="9" t="str">
        <f>VLOOKUP(C561,[1]customers!$A$1:$I$1001, 2, FALSE)</f>
        <v>Reamonn Aynold</v>
      </c>
      <c r="G561" s="16" t="str">
        <f>VLOOKUP(orders!C561,[1]customers!$A$1:$I$1001, 3, FALSE)</f>
        <v>raynoldfj@ustream.tv</v>
      </c>
      <c r="H561" s="16" t="str">
        <f>VLOOKUP(C561, [1]customers!$A$1:$I$1001, 7, FALSE)</f>
        <v>United States</v>
      </c>
      <c r="I561" s="18" t="str">
        <f>VLOOKUP(orders!D561,[1]products!$A$1:$G$49, 2,FALSE)</f>
        <v>Ara</v>
      </c>
      <c r="J561" s="18" t="str">
        <f>VLOOKUP(orders!D561,[1]products!$A$1:$G$49, 3,FALSE)</f>
        <v>L</v>
      </c>
      <c r="K561" s="19">
        <f>VLOOKUP(orders!D561,[1]products!$A$1:$G$49, 4,FALSE)</f>
        <v>1</v>
      </c>
      <c r="L561" s="19">
        <f>VLOOKUP(orders!D561,[1]products!$A$1:$G$49, 5,FALSE)</f>
        <v>12.95</v>
      </c>
      <c r="M561" s="13">
        <f>PRODUCT(orders!$E561,orders!$L561)</f>
        <v>38.849999999999994</v>
      </c>
      <c r="N561" s="18" t="str">
        <f t="shared" si="16"/>
        <v>April</v>
      </c>
      <c r="O561" s="18">
        <f t="shared" si="17"/>
        <v>2022</v>
      </c>
      <c r="P561" s="11" t="str">
        <f>TEXT(orders!$B561, "DDD")</f>
        <v>Sat</v>
      </c>
      <c r="Q561" s="11" t="str">
        <f>VLOOKUP(orders!C561,[1]customers!$A$1:$I$1001, 6,FALSE)</f>
        <v>Milwaukee</v>
      </c>
    </row>
    <row r="562" spans="1:17" x14ac:dyDescent="0.3">
      <c r="A562" s="7" t="s">
        <v>1115</v>
      </c>
      <c r="B562" s="8">
        <v>44401</v>
      </c>
      <c r="C562" s="9" t="s">
        <v>1116</v>
      </c>
      <c r="D562" s="10" t="s">
        <v>129</v>
      </c>
      <c r="E562" s="9">
        <v>6</v>
      </c>
      <c r="F562" s="9" t="str">
        <f>VLOOKUP(C562,[1]customers!$A$1:$I$1001, 2, FALSE)</f>
        <v>Hatty Dovydenas</v>
      </c>
      <c r="G562" s="9">
        <f>VLOOKUP(orders!C562,[1]customers!$A$1:$I$1001, 3, FALSE)</f>
        <v>0</v>
      </c>
      <c r="H562" s="9" t="str">
        <f>VLOOKUP(C562, [1]customers!$A$1:$I$1001, 7, FALSE)</f>
        <v>United States</v>
      </c>
      <c r="I562" s="11" t="str">
        <f>VLOOKUP(orders!D562,[1]products!$A$1:$G$49, 2,FALSE)</f>
        <v>Exc</v>
      </c>
      <c r="J562" s="11" t="str">
        <f>VLOOKUP(orders!D562,[1]products!$A$1:$G$49, 3,FALSE)</f>
        <v>M</v>
      </c>
      <c r="K562" s="12">
        <f>VLOOKUP(orders!D562,[1]products!$A$1:$G$49, 4,FALSE)</f>
        <v>2.5</v>
      </c>
      <c r="L562" s="12">
        <f>VLOOKUP(orders!D562,[1]products!$A$1:$G$49, 5,FALSE)</f>
        <v>31.624999999999996</v>
      </c>
      <c r="M562" s="13">
        <f>PRODUCT(orders!$E562,orders!$L562)</f>
        <v>189.74999999999997</v>
      </c>
      <c r="N562" s="11" t="str">
        <f t="shared" si="16"/>
        <v>July</v>
      </c>
      <c r="O562" s="11">
        <f t="shared" si="17"/>
        <v>2021</v>
      </c>
      <c r="P562" s="11" t="str">
        <f>TEXT(orders!$B562, "DDD")</f>
        <v>Sat</v>
      </c>
      <c r="Q562" s="11" t="str">
        <f>VLOOKUP(orders!C562,[1]customers!$A$1:$I$1001, 6,FALSE)</f>
        <v>Amarillo</v>
      </c>
    </row>
    <row r="563" spans="1:17" x14ac:dyDescent="0.3">
      <c r="A563" s="14" t="s">
        <v>1117</v>
      </c>
      <c r="B563" s="15">
        <v>43688</v>
      </c>
      <c r="C563" s="16" t="s">
        <v>1118</v>
      </c>
      <c r="D563" s="17" t="s">
        <v>71</v>
      </c>
      <c r="E563" s="16">
        <v>6</v>
      </c>
      <c r="F563" s="9" t="str">
        <f>VLOOKUP(C563,[1]customers!$A$1:$I$1001, 2, FALSE)</f>
        <v>Nathaniel Bloxland</v>
      </c>
      <c r="G563" s="16">
        <f>VLOOKUP(orders!C563,[1]customers!$A$1:$I$1001, 3, FALSE)</f>
        <v>0</v>
      </c>
      <c r="H563" s="16" t="str">
        <f>VLOOKUP(C563, [1]customers!$A$1:$I$1001, 7, FALSE)</f>
        <v>Ireland</v>
      </c>
      <c r="I563" s="18" t="str">
        <f>VLOOKUP(orders!D563,[1]products!$A$1:$G$49, 2,FALSE)</f>
        <v>Ara</v>
      </c>
      <c r="J563" s="18" t="str">
        <f>VLOOKUP(orders!D563,[1]products!$A$1:$G$49, 3,FALSE)</f>
        <v>D</v>
      </c>
      <c r="K563" s="19">
        <f>VLOOKUP(orders!D563,[1]products!$A$1:$G$49, 4,FALSE)</f>
        <v>0.2</v>
      </c>
      <c r="L563" s="19">
        <f>VLOOKUP(orders!D563,[1]products!$A$1:$G$49, 5,FALSE)</f>
        <v>2.9849999999999999</v>
      </c>
      <c r="M563" s="13">
        <f>PRODUCT(orders!$E563,orders!$L563)</f>
        <v>17.91</v>
      </c>
      <c r="N563" s="18" t="str">
        <f t="shared" si="16"/>
        <v>August</v>
      </c>
      <c r="O563" s="18">
        <f t="shared" si="17"/>
        <v>2019</v>
      </c>
      <c r="P563" s="11" t="str">
        <f>TEXT(orders!$B563, "DDD")</f>
        <v>Sun</v>
      </c>
      <c r="Q563" s="11" t="str">
        <f>VLOOKUP(orders!C563,[1]customers!$A$1:$I$1001, 6,FALSE)</f>
        <v>Daingean</v>
      </c>
    </row>
    <row r="564" spans="1:17" x14ac:dyDescent="0.3">
      <c r="A564" s="7" t="s">
        <v>1119</v>
      </c>
      <c r="B564" s="8">
        <v>43669</v>
      </c>
      <c r="C564" s="9" t="s">
        <v>1120</v>
      </c>
      <c r="D564" s="10" t="s">
        <v>36</v>
      </c>
      <c r="E564" s="9">
        <v>6</v>
      </c>
      <c r="F564" s="9" t="str">
        <f>VLOOKUP(C564,[1]customers!$A$1:$I$1001, 2, FALSE)</f>
        <v>Brendan Grece</v>
      </c>
      <c r="G564" s="9" t="str">
        <f>VLOOKUP(orders!C564,[1]customers!$A$1:$I$1001, 3, FALSE)</f>
        <v>bgrecefm@naver.com</v>
      </c>
      <c r="H564" s="9" t="str">
        <f>VLOOKUP(C564, [1]customers!$A$1:$I$1001, 7, FALSE)</f>
        <v>United Kingdom</v>
      </c>
      <c r="I564" s="11" t="str">
        <f>VLOOKUP(orders!D564,[1]products!$A$1:$G$49, 2,FALSE)</f>
        <v>Lib</v>
      </c>
      <c r="J564" s="11" t="str">
        <f>VLOOKUP(orders!D564,[1]products!$A$1:$G$49, 3,FALSE)</f>
        <v>L</v>
      </c>
      <c r="K564" s="12">
        <f>VLOOKUP(orders!D564,[1]products!$A$1:$G$49, 4,FALSE)</f>
        <v>0.2</v>
      </c>
      <c r="L564" s="12">
        <f>VLOOKUP(orders!D564,[1]products!$A$1:$G$49, 5,FALSE)</f>
        <v>4.7549999999999999</v>
      </c>
      <c r="M564" s="13">
        <f>PRODUCT(orders!$E564,orders!$L564)</f>
        <v>28.53</v>
      </c>
      <c r="N564" s="11" t="str">
        <f t="shared" si="16"/>
        <v>July</v>
      </c>
      <c r="O564" s="11">
        <f t="shared" si="17"/>
        <v>2019</v>
      </c>
      <c r="P564" s="11" t="str">
        <f>TEXT(orders!$B564, "DDD")</f>
        <v>Tue</v>
      </c>
      <c r="Q564" s="11" t="str">
        <f>VLOOKUP(orders!C564,[1]customers!$A$1:$I$1001, 6,FALSE)</f>
        <v>Halton</v>
      </c>
    </row>
    <row r="565" spans="1:17" x14ac:dyDescent="0.3">
      <c r="A565" s="14" t="s">
        <v>1121</v>
      </c>
      <c r="B565" s="15">
        <v>43991</v>
      </c>
      <c r="C565" s="16" t="s">
        <v>1122</v>
      </c>
      <c r="D565" s="17" t="s">
        <v>26</v>
      </c>
      <c r="E565" s="16">
        <v>6</v>
      </c>
      <c r="F565" s="9" t="str">
        <f>VLOOKUP(C565,[1]customers!$A$1:$I$1001, 2, FALSE)</f>
        <v>Don Flintiff</v>
      </c>
      <c r="G565" s="16" t="str">
        <f>VLOOKUP(orders!C565,[1]customers!$A$1:$I$1001, 3, FALSE)</f>
        <v>dflintiffg1@e-recht24.de</v>
      </c>
      <c r="H565" s="16" t="str">
        <f>VLOOKUP(C565, [1]customers!$A$1:$I$1001, 7, FALSE)</f>
        <v>United Kingdom</v>
      </c>
      <c r="I565" s="18" t="str">
        <f>VLOOKUP(orders!D565,[1]products!$A$1:$G$49, 2,FALSE)</f>
        <v>Exc</v>
      </c>
      <c r="J565" s="18" t="str">
        <f>VLOOKUP(orders!D565,[1]products!$A$1:$G$49, 3,FALSE)</f>
        <v>M</v>
      </c>
      <c r="K565" s="19">
        <f>VLOOKUP(orders!D565,[1]products!$A$1:$G$49, 4,FALSE)</f>
        <v>1</v>
      </c>
      <c r="L565" s="19">
        <f>VLOOKUP(orders!D565,[1]products!$A$1:$G$49, 5,FALSE)</f>
        <v>13.75</v>
      </c>
      <c r="M565" s="13">
        <f>PRODUCT(orders!$E565,orders!$L565)</f>
        <v>82.5</v>
      </c>
      <c r="N565" s="18" t="str">
        <f t="shared" si="16"/>
        <v>June</v>
      </c>
      <c r="O565" s="18">
        <f t="shared" si="17"/>
        <v>2020</v>
      </c>
      <c r="P565" s="11" t="str">
        <f>TEXT(orders!$B565, "DDD")</f>
        <v>Tue</v>
      </c>
      <c r="Q565" s="11" t="str">
        <f>VLOOKUP(orders!C565,[1]customers!$A$1:$I$1001, 6,FALSE)</f>
        <v>London</v>
      </c>
    </row>
    <row r="566" spans="1:17" x14ac:dyDescent="0.3">
      <c r="A566" s="7" t="s">
        <v>1123</v>
      </c>
      <c r="B566" s="8">
        <v>43883</v>
      </c>
      <c r="C566" s="9" t="s">
        <v>1124</v>
      </c>
      <c r="D566" s="10" t="s">
        <v>174</v>
      </c>
      <c r="E566" s="9">
        <v>2</v>
      </c>
      <c r="F566" s="9" t="str">
        <f>VLOOKUP(C566,[1]customers!$A$1:$I$1001, 2, FALSE)</f>
        <v>Abbe Thys</v>
      </c>
      <c r="G566" s="9" t="str">
        <f>VLOOKUP(orders!C566,[1]customers!$A$1:$I$1001, 3, FALSE)</f>
        <v>athysfo@cdc.gov</v>
      </c>
      <c r="H566" s="9" t="str">
        <f>VLOOKUP(C566, [1]customers!$A$1:$I$1001, 7, FALSE)</f>
        <v>United States</v>
      </c>
      <c r="I566" s="11" t="str">
        <f>VLOOKUP(orders!D566,[1]products!$A$1:$G$49, 2,FALSE)</f>
        <v>Rob</v>
      </c>
      <c r="J566" s="11" t="str">
        <f>VLOOKUP(orders!D566,[1]products!$A$1:$G$49, 3,FALSE)</f>
        <v>L</v>
      </c>
      <c r="K566" s="12">
        <f>VLOOKUP(orders!D566,[1]products!$A$1:$G$49, 4,FALSE)</f>
        <v>0.5</v>
      </c>
      <c r="L566" s="12">
        <f>VLOOKUP(orders!D566,[1]products!$A$1:$G$49, 5,FALSE)</f>
        <v>7.169999999999999</v>
      </c>
      <c r="M566" s="13">
        <f>PRODUCT(orders!$E566,orders!$L566)</f>
        <v>14.339999999999998</v>
      </c>
      <c r="N566" s="11" t="str">
        <f t="shared" si="16"/>
        <v>February</v>
      </c>
      <c r="O566" s="11">
        <f t="shared" si="17"/>
        <v>2020</v>
      </c>
      <c r="P566" s="11" t="str">
        <f>TEXT(orders!$B566, "DDD")</f>
        <v>Sat</v>
      </c>
      <c r="Q566" s="11" t="str">
        <f>VLOOKUP(orders!C566,[1]customers!$A$1:$I$1001, 6,FALSE)</f>
        <v>Knoxville</v>
      </c>
    </row>
    <row r="567" spans="1:17" x14ac:dyDescent="0.3">
      <c r="A567" s="14" t="s">
        <v>1125</v>
      </c>
      <c r="B567" s="15">
        <v>44031</v>
      </c>
      <c r="C567" s="16" t="s">
        <v>1126</v>
      </c>
      <c r="D567" s="17" t="s">
        <v>52</v>
      </c>
      <c r="E567" s="16">
        <v>4</v>
      </c>
      <c r="F567" s="9" t="str">
        <f>VLOOKUP(C567,[1]customers!$A$1:$I$1001, 2, FALSE)</f>
        <v>Jackquelin Chugg</v>
      </c>
      <c r="G567" s="16" t="str">
        <f>VLOOKUP(orders!C567,[1]customers!$A$1:$I$1001, 3, FALSE)</f>
        <v>jchuggfp@about.me</v>
      </c>
      <c r="H567" s="16" t="str">
        <f>VLOOKUP(C567, [1]customers!$A$1:$I$1001, 7, FALSE)</f>
        <v>United States</v>
      </c>
      <c r="I567" s="18" t="str">
        <f>VLOOKUP(orders!D567,[1]products!$A$1:$G$49, 2,FALSE)</f>
        <v>Rob</v>
      </c>
      <c r="J567" s="18" t="str">
        <f>VLOOKUP(orders!D567,[1]products!$A$1:$G$49, 3,FALSE)</f>
        <v>D</v>
      </c>
      <c r="K567" s="19">
        <f>VLOOKUP(orders!D567,[1]products!$A$1:$G$49, 4,FALSE)</f>
        <v>2.5</v>
      </c>
      <c r="L567" s="19">
        <f>VLOOKUP(orders!D567,[1]products!$A$1:$G$49, 5,FALSE)</f>
        <v>20.584999999999997</v>
      </c>
      <c r="M567" s="13">
        <f>PRODUCT(orders!$E567,orders!$L567)</f>
        <v>82.339999999999989</v>
      </c>
      <c r="N567" s="18" t="str">
        <f t="shared" si="16"/>
        <v>July</v>
      </c>
      <c r="O567" s="18">
        <f t="shared" si="17"/>
        <v>2020</v>
      </c>
      <c r="P567" s="11" t="str">
        <f>TEXT(orders!$B567, "DDD")</f>
        <v>Sun</v>
      </c>
      <c r="Q567" s="11" t="str">
        <f>VLOOKUP(orders!C567,[1]customers!$A$1:$I$1001, 6,FALSE)</f>
        <v>Shawnee Mission</v>
      </c>
    </row>
    <row r="568" spans="1:17" x14ac:dyDescent="0.3">
      <c r="A568" s="7" t="s">
        <v>1127</v>
      </c>
      <c r="B568" s="8">
        <v>44459</v>
      </c>
      <c r="C568" s="9" t="s">
        <v>1128</v>
      </c>
      <c r="D568" s="10" t="s">
        <v>61</v>
      </c>
      <c r="E568" s="9">
        <v>6</v>
      </c>
      <c r="F568" s="9" t="str">
        <f>VLOOKUP(C568,[1]customers!$A$1:$I$1001, 2, FALSE)</f>
        <v>Audra Kelston</v>
      </c>
      <c r="G568" s="9" t="str">
        <f>VLOOKUP(orders!C568,[1]customers!$A$1:$I$1001, 3, FALSE)</f>
        <v>akelstonfq@sakura.ne.jp</v>
      </c>
      <c r="H568" s="9" t="str">
        <f>VLOOKUP(C568, [1]customers!$A$1:$I$1001, 7, FALSE)</f>
        <v>United States</v>
      </c>
      <c r="I568" s="11" t="str">
        <f>VLOOKUP(orders!D568,[1]products!$A$1:$G$49, 2,FALSE)</f>
        <v>Ara</v>
      </c>
      <c r="J568" s="11" t="str">
        <f>VLOOKUP(orders!D568,[1]products!$A$1:$G$49, 3,FALSE)</f>
        <v>M</v>
      </c>
      <c r="K568" s="12">
        <f>VLOOKUP(orders!D568,[1]products!$A$1:$G$49, 4,FALSE)</f>
        <v>0.2</v>
      </c>
      <c r="L568" s="12">
        <f>VLOOKUP(orders!D568,[1]products!$A$1:$G$49, 5,FALSE)</f>
        <v>3.375</v>
      </c>
      <c r="M568" s="13">
        <f>PRODUCT(orders!$E568,orders!$L568)</f>
        <v>20.25</v>
      </c>
      <c r="N568" s="11" t="str">
        <f t="shared" si="16"/>
        <v>September</v>
      </c>
      <c r="O568" s="11">
        <f t="shared" si="17"/>
        <v>2021</v>
      </c>
      <c r="P568" s="11" t="str">
        <f>TEXT(orders!$B568, "DDD")</f>
        <v>Mon</v>
      </c>
      <c r="Q568" s="11" t="str">
        <f>VLOOKUP(orders!C568,[1]customers!$A$1:$I$1001, 6,FALSE)</f>
        <v>Fort Lauderdale</v>
      </c>
    </row>
    <row r="569" spans="1:17" x14ac:dyDescent="0.3">
      <c r="A569" s="14" t="s">
        <v>1129</v>
      </c>
      <c r="B569" s="15">
        <v>44318</v>
      </c>
      <c r="C569" s="16" t="s">
        <v>1130</v>
      </c>
      <c r="D569" s="17" t="s">
        <v>27</v>
      </c>
      <c r="E569" s="16">
        <v>6</v>
      </c>
      <c r="F569" s="9" t="str">
        <f>VLOOKUP(C569,[1]customers!$A$1:$I$1001, 2, FALSE)</f>
        <v>Elvina Angel</v>
      </c>
      <c r="G569" s="16">
        <f>VLOOKUP(orders!C569,[1]customers!$A$1:$I$1001, 3, FALSE)</f>
        <v>0</v>
      </c>
      <c r="H569" s="16" t="str">
        <f>VLOOKUP(C569, [1]customers!$A$1:$I$1001, 7, FALSE)</f>
        <v>Ireland</v>
      </c>
      <c r="I569" s="18" t="str">
        <f>VLOOKUP(orders!D569,[1]products!$A$1:$G$49, 2,FALSE)</f>
        <v>Rob</v>
      </c>
      <c r="J569" s="18" t="str">
        <f>VLOOKUP(orders!D569,[1]products!$A$1:$G$49, 3,FALSE)</f>
        <v>L</v>
      </c>
      <c r="K569" s="19">
        <f>VLOOKUP(orders!D569,[1]products!$A$1:$G$49, 4,FALSE)</f>
        <v>2.5</v>
      </c>
      <c r="L569" s="19">
        <f>VLOOKUP(orders!D569,[1]products!$A$1:$G$49, 5,FALSE)</f>
        <v>27.484999999999996</v>
      </c>
      <c r="M569" s="13">
        <f>PRODUCT(orders!$E569,orders!$L569)</f>
        <v>164.90999999999997</v>
      </c>
      <c r="N569" s="18" t="str">
        <f t="shared" si="16"/>
        <v>May</v>
      </c>
      <c r="O569" s="18">
        <f t="shared" si="17"/>
        <v>2021</v>
      </c>
      <c r="P569" s="11" t="str">
        <f>TEXT(orders!$B569, "DDD")</f>
        <v>Sun</v>
      </c>
      <c r="Q569" s="11" t="str">
        <f>VLOOKUP(orders!C569,[1]customers!$A$1:$I$1001, 6,FALSE)</f>
        <v>Tralee</v>
      </c>
    </row>
    <row r="570" spans="1:17" x14ac:dyDescent="0.3">
      <c r="A570" s="7" t="s">
        <v>1131</v>
      </c>
      <c r="B570" s="8">
        <v>44526</v>
      </c>
      <c r="C570" s="9" t="s">
        <v>1132</v>
      </c>
      <c r="D570" s="10" t="s">
        <v>36</v>
      </c>
      <c r="E570" s="9">
        <v>4</v>
      </c>
      <c r="F570" s="9" t="str">
        <f>VLOOKUP(C570,[1]customers!$A$1:$I$1001, 2, FALSE)</f>
        <v>Claiborne Mottram</v>
      </c>
      <c r="G570" s="9" t="str">
        <f>VLOOKUP(orders!C570,[1]customers!$A$1:$I$1001, 3, FALSE)</f>
        <v>cmottramfs@harvard.edu</v>
      </c>
      <c r="H570" s="9" t="str">
        <f>VLOOKUP(C570, [1]customers!$A$1:$I$1001, 7, FALSE)</f>
        <v>United States</v>
      </c>
      <c r="I570" s="11" t="str">
        <f>VLOOKUP(orders!D570,[1]products!$A$1:$G$49, 2,FALSE)</f>
        <v>Lib</v>
      </c>
      <c r="J570" s="11" t="str">
        <f>VLOOKUP(orders!D570,[1]products!$A$1:$G$49, 3,FALSE)</f>
        <v>L</v>
      </c>
      <c r="K570" s="12">
        <f>VLOOKUP(orders!D570,[1]products!$A$1:$G$49, 4,FALSE)</f>
        <v>0.2</v>
      </c>
      <c r="L570" s="12">
        <f>VLOOKUP(orders!D570,[1]products!$A$1:$G$49, 5,FALSE)</f>
        <v>4.7549999999999999</v>
      </c>
      <c r="M570" s="13">
        <f>PRODUCT(orders!$E570,orders!$L570)</f>
        <v>19.02</v>
      </c>
      <c r="N570" s="11" t="str">
        <f t="shared" si="16"/>
        <v>November</v>
      </c>
      <c r="O570" s="11">
        <f t="shared" si="17"/>
        <v>2021</v>
      </c>
      <c r="P570" s="11" t="str">
        <f>TEXT(orders!$B570, "DDD")</f>
        <v>Fri</v>
      </c>
      <c r="Q570" s="11" t="str">
        <f>VLOOKUP(orders!C570,[1]customers!$A$1:$I$1001, 6,FALSE)</f>
        <v>Austin</v>
      </c>
    </row>
    <row r="571" spans="1:17" x14ac:dyDescent="0.3">
      <c r="A571" s="14" t="s">
        <v>1133</v>
      </c>
      <c r="B571" s="15">
        <v>43879</v>
      </c>
      <c r="C571" s="16" t="s">
        <v>1122</v>
      </c>
      <c r="D571" s="17" t="s">
        <v>135</v>
      </c>
      <c r="E571" s="16">
        <v>6</v>
      </c>
      <c r="F571" s="9" t="str">
        <f>VLOOKUP(C571,[1]customers!$A$1:$I$1001, 2, FALSE)</f>
        <v>Don Flintiff</v>
      </c>
      <c r="G571" s="16" t="str">
        <f>VLOOKUP(orders!C571,[1]customers!$A$1:$I$1001, 3, FALSE)</f>
        <v>dflintiffg1@e-recht24.de</v>
      </c>
      <c r="H571" s="16" t="str">
        <f>VLOOKUP(C571, [1]customers!$A$1:$I$1001, 7, FALSE)</f>
        <v>United Kingdom</v>
      </c>
      <c r="I571" s="18" t="str">
        <f>VLOOKUP(orders!D571,[1]products!$A$1:$G$49, 2,FALSE)</f>
        <v>Ara</v>
      </c>
      <c r="J571" s="18" t="str">
        <f>VLOOKUP(orders!D571,[1]products!$A$1:$G$49, 3,FALSE)</f>
        <v>D</v>
      </c>
      <c r="K571" s="19">
        <f>VLOOKUP(orders!D571,[1]products!$A$1:$G$49, 4,FALSE)</f>
        <v>2.5</v>
      </c>
      <c r="L571" s="19">
        <f>VLOOKUP(orders!D571,[1]products!$A$1:$G$49, 5,FALSE)</f>
        <v>22.884999999999998</v>
      </c>
      <c r="M571" s="13">
        <f>PRODUCT(orders!$E571,orders!$L571)</f>
        <v>137.31</v>
      </c>
      <c r="N571" s="18" t="str">
        <f t="shared" si="16"/>
        <v>February</v>
      </c>
      <c r="O571" s="18">
        <f t="shared" si="17"/>
        <v>2020</v>
      </c>
      <c r="P571" s="11" t="str">
        <f>TEXT(orders!$B571, "DDD")</f>
        <v>Tue</v>
      </c>
      <c r="Q571" s="11" t="str">
        <f>VLOOKUP(orders!C571,[1]customers!$A$1:$I$1001, 6,FALSE)</f>
        <v>London</v>
      </c>
    </row>
    <row r="572" spans="1:17" x14ac:dyDescent="0.3">
      <c r="A572" s="7" t="s">
        <v>1134</v>
      </c>
      <c r="B572" s="8">
        <v>43928</v>
      </c>
      <c r="C572" s="9" t="s">
        <v>1135</v>
      </c>
      <c r="D572" s="10" t="s">
        <v>84</v>
      </c>
      <c r="E572" s="9">
        <v>4</v>
      </c>
      <c r="F572" s="9" t="str">
        <f>VLOOKUP(C572,[1]customers!$A$1:$I$1001, 2, FALSE)</f>
        <v>Donalt Sangwin</v>
      </c>
      <c r="G572" s="9" t="str">
        <f>VLOOKUP(orders!C572,[1]customers!$A$1:$I$1001, 3, FALSE)</f>
        <v>dsangwinfu@weebly.com</v>
      </c>
      <c r="H572" s="9" t="str">
        <f>VLOOKUP(C572, [1]customers!$A$1:$I$1001, 7, FALSE)</f>
        <v>United States</v>
      </c>
      <c r="I572" s="11" t="str">
        <f>VLOOKUP(orders!D572,[1]products!$A$1:$G$49, 2,FALSE)</f>
        <v>Ara</v>
      </c>
      <c r="J572" s="11" t="str">
        <f>VLOOKUP(orders!D572,[1]products!$A$1:$G$49, 3,FALSE)</f>
        <v>M</v>
      </c>
      <c r="K572" s="12">
        <f>VLOOKUP(orders!D572,[1]products!$A$1:$G$49, 4,FALSE)</f>
        <v>0.5</v>
      </c>
      <c r="L572" s="12">
        <f>VLOOKUP(orders!D572,[1]products!$A$1:$G$49, 5,FALSE)</f>
        <v>6.75</v>
      </c>
      <c r="M572" s="13">
        <f>PRODUCT(orders!$E572,orders!$L572)</f>
        <v>27</v>
      </c>
      <c r="N572" s="11" t="str">
        <f t="shared" si="16"/>
        <v>April</v>
      </c>
      <c r="O572" s="11">
        <f t="shared" si="17"/>
        <v>2020</v>
      </c>
      <c r="P572" s="11" t="str">
        <f>TEXT(orders!$B572, "DDD")</f>
        <v>Tue</v>
      </c>
      <c r="Q572" s="11" t="str">
        <f>VLOOKUP(orders!C572,[1]customers!$A$1:$I$1001, 6,FALSE)</f>
        <v>Hyattsville</v>
      </c>
    </row>
    <row r="573" spans="1:17" x14ac:dyDescent="0.3">
      <c r="A573" s="14" t="s">
        <v>1136</v>
      </c>
      <c r="B573" s="15">
        <v>44592</v>
      </c>
      <c r="C573" s="16" t="s">
        <v>1137</v>
      </c>
      <c r="D573" s="17" t="s">
        <v>193</v>
      </c>
      <c r="E573" s="16">
        <v>4</v>
      </c>
      <c r="F573" s="9" t="str">
        <f>VLOOKUP(C573,[1]customers!$A$1:$I$1001, 2, FALSE)</f>
        <v>Elizabet Aizikowitz</v>
      </c>
      <c r="G573" s="16" t="str">
        <f>VLOOKUP(orders!C573,[1]customers!$A$1:$I$1001, 3, FALSE)</f>
        <v>eaizikowitzfv@virginia.edu</v>
      </c>
      <c r="H573" s="16" t="str">
        <f>VLOOKUP(C573, [1]customers!$A$1:$I$1001, 7, FALSE)</f>
        <v>United Kingdom</v>
      </c>
      <c r="I573" s="18" t="str">
        <f>VLOOKUP(orders!D573,[1]products!$A$1:$G$49, 2,FALSE)</f>
        <v>Exc</v>
      </c>
      <c r="J573" s="18" t="str">
        <f>VLOOKUP(orders!D573,[1]products!$A$1:$G$49, 3,FALSE)</f>
        <v>L</v>
      </c>
      <c r="K573" s="19">
        <f>VLOOKUP(orders!D573,[1]products!$A$1:$G$49, 4,FALSE)</f>
        <v>0.5</v>
      </c>
      <c r="L573" s="19">
        <f>VLOOKUP(orders!D573,[1]products!$A$1:$G$49, 5,FALSE)</f>
        <v>8.91</v>
      </c>
      <c r="M573" s="13">
        <f>PRODUCT(orders!$E573,orders!$L573)</f>
        <v>35.64</v>
      </c>
      <c r="N573" s="18" t="str">
        <f t="shared" si="16"/>
        <v>January</v>
      </c>
      <c r="O573" s="18">
        <f t="shared" si="17"/>
        <v>2022</v>
      </c>
      <c r="P573" s="11" t="str">
        <f>TEXT(orders!$B573, "DDD")</f>
        <v>Mon</v>
      </c>
      <c r="Q573" s="11" t="str">
        <f>VLOOKUP(orders!C573,[1]customers!$A$1:$I$1001, 6,FALSE)</f>
        <v>Ashley</v>
      </c>
    </row>
    <row r="574" spans="1:17" x14ac:dyDescent="0.3">
      <c r="A574" s="7" t="s">
        <v>1138</v>
      </c>
      <c r="B574" s="8">
        <v>43515</v>
      </c>
      <c r="C574" s="9" t="s">
        <v>1139</v>
      </c>
      <c r="D574" s="10" t="s">
        <v>71</v>
      </c>
      <c r="E574" s="9">
        <v>2</v>
      </c>
      <c r="F574" s="9" t="str">
        <f>VLOOKUP(C574,[1]customers!$A$1:$I$1001, 2, FALSE)</f>
        <v>Herbie Peppard</v>
      </c>
      <c r="G574" s="9">
        <f>VLOOKUP(orders!C574,[1]customers!$A$1:$I$1001, 3, FALSE)</f>
        <v>0</v>
      </c>
      <c r="H574" s="9" t="str">
        <f>VLOOKUP(C574, [1]customers!$A$1:$I$1001, 7, FALSE)</f>
        <v>United States</v>
      </c>
      <c r="I574" s="11" t="str">
        <f>VLOOKUP(orders!D574,[1]products!$A$1:$G$49, 2,FALSE)</f>
        <v>Ara</v>
      </c>
      <c r="J574" s="11" t="str">
        <f>VLOOKUP(orders!D574,[1]products!$A$1:$G$49, 3,FALSE)</f>
        <v>D</v>
      </c>
      <c r="K574" s="12">
        <f>VLOOKUP(orders!D574,[1]products!$A$1:$G$49, 4,FALSE)</f>
        <v>0.2</v>
      </c>
      <c r="L574" s="12">
        <f>VLOOKUP(orders!D574,[1]products!$A$1:$G$49, 5,FALSE)</f>
        <v>2.9849999999999999</v>
      </c>
      <c r="M574" s="13">
        <f>PRODUCT(orders!$E574,orders!$L574)</f>
        <v>5.97</v>
      </c>
      <c r="N574" s="11" t="str">
        <f t="shared" si="16"/>
        <v>February</v>
      </c>
      <c r="O574" s="11">
        <f t="shared" si="17"/>
        <v>2019</v>
      </c>
      <c r="P574" s="11" t="str">
        <f>TEXT(orders!$B574, "DDD")</f>
        <v>Tue</v>
      </c>
      <c r="Q574" s="11" t="str">
        <f>VLOOKUP(orders!C574,[1]customers!$A$1:$I$1001, 6,FALSE)</f>
        <v>Pasadena</v>
      </c>
    </row>
    <row r="575" spans="1:17" x14ac:dyDescent="0.3">
      <c r="A575" s="14" t="s">
        <v>1140</v>
      </c>
      <c r="B575" s="15">
        <v>43781</v>
      </c>
      <c r="C575" s="16" t="s">
        <v>1141</v>
      </c>
      <c r="D575" s="17" t="s">
        <v>78</v>
      </c>
      <c r="E575" s="16">
        <v>6</v>
      </c>
      <c r="F575" s="9" t="str">
        <f>VLOOKUP(C575,[1]customers!$A$1:$I$1001, 2, FALSE)</f>
        <v>Cornie Venour</v>
      </c>
      <c r="G575" s="16" t="str">
        <f>VLOOKUP(orders!C575,[1]customers!$A$1:$I$1001, 3, FALSE)</f>
        <v>cvenourfx@ask.com</v>
      </c>
      <c r="H575" s="16" t="str">
        <f>VLOOKUP(C575, [1]customers!$A$1:$I$1001, 7, FALSE)</f>
        <v>United States</v>
      </c>
      <c r="I575" s="18" t="str">
        <f>VLOOKUP(orders!D575,[1]products!$A$1:$G$49, 2,FALSE)</f>
        <v>Ara</v>
      </c>
      <c r="J575" s="18" t="str">
        <f>VLOOKUP(orders!D575,[1]products!$A$1:$G$49, 3,FALSE)</f>
        <v>M</v>
      </c>
      <c r="K575" s="19">
        <f>VLOOKUP(orders!D575,[1]products!$A$1:$G$49, 4,FALSE)</f>
        <v>1</v>
      </c>
      <c r="L575" s="19">
        <f>VLOOKUP(orders!D575,[1]products!$A$1:$G$49, 5,FALSE)</f>
        <v>11.25</v>
      </c>
      <c r="M575" s="13">
        <f>PRODUCT(orders!$E575,orders!$L575)</f>
        <v>67.5</v>
      </c>
      <c r="N575" s="18" t="str">
        <f t="shared" si="16"/>
        <v>November</v>
      </c>
      <c r="O575" s="18">
        <f t="shared" si="17"/>
        <v>2019</v>
      </c>
      <c r="P575" s="11" t="str">
        <f>TEXT(orders!$B575, "DDD")</f>
        <v>Tue</v>
      </c>
      <c r="Q575" s="11" t="str">
        <f>VLOOKUP(orders!C575,[1]customers!$A$1:$I$1001, 6,FALSE)</f>
        <v>Shreveport</v>
      </c>
    </row>
    <row r="576" spans="1:17" x14ac:dyDescent="0.3">
      <c r="A576" s="7" t="s">
        <v>1142</v>
      </c>
      <c r="B576" s="8">
        <v>44697</v>
      </c>
      <c r="C576" s="9" t="s">
        <v>1143</v>
      </c>
      <c r="D576" s="10" t="s">
        <v>199</v>
      </c>
      <c r="E576" s="9">
        <v>6</v>
      </c>
      <c r="F576" s="9" t="str">
        <f>VLOOKUP(C576,[1]customers!$A$1:$I$1001, 2, FALSE)</f>
        <v>Maggy Harby</v>
      </c>
      <c r="G576" s="9" t="str">
        <f>VLOOKUP(orders!C576,[1]customers!$A$1:$I$1001, 3, FALSE)</f>
        <v>mharbyfy@163.com</v>
      </c>
      <c r="H576" s="9" t="str">
        <f>VLOOKUP(C576, [1]customers!$A$1:$I$1001, 7, FALSE)</f>
        <v>United States</v>
      </c>
      <c r="I576" s="11" t="str">
        <f>VLOOKUP(orders!D576,[1]products!$A$1:$G$49, 2,FALSE)</f>
        <v>Rob</v>
      </c>
      <c r="J576" s="11" t="str">
        <f>VLOOKUP(orders!D576,[1]products!$A$1:$G$49, 3,FALSE)</f>
        <v>L</v>
      </c>
      <c r="K576" s="12">
        <f>VLOOKUP(orders!D576,[1]products!$A$1:$G$49, 4,FALSE)</f>
        <v>0.2</v>
      </c>
      <c r="L576" s="12">
        <f>VLOOKUP(orders!D576,[1]products!$A$1:$G$49, 5,FALSE)</f>
        <v>3.5849999999999995</v>
      </c>
      <c r="M576" s="13">
        <f>PRODUCT(orders!$E576,orders!$L576)</f>
        <v>21.509999999999998</v>
      </c>
      <c r="N576" s="11" t="str">
        <f t="shared" si="16"/>
        <v>May</v>
      </c>
      <c r="O576" s="11">
        <f t="shared" si="17"/>
        <v>2022</v>
      </c>
      <c r="P576" s="11" t="str">
        <f>TEXT(orders!$B576, "DDD")</f>
        <v>Mon</v>
      </c>
      <c r="Q576" s="11" t="str">
        <f>VLOOKUP(orders!C576,[1]customers!$A$1:$I$1001, 6,FALSE)</f>
        <v>Pensacola</v>
      </c>
    </row>
    <row r="577" spans="1:17" x14ac:dyDescent="0.3">
      <c r="A577" s="14" t="s">
        <v>1144</v>
      </c>
      <c r="B577" s="15">
        <v>44239</v>
      </c>
      <c r="C577" s="16" t="s">
        <v>1145</v>
      </c>
      <c r="D577" s="17" t="s">
        <v>214</v>
      </c>
      <c r="E577" s="16">
        <v>2</v>
      </c>
      <c r="F577" s="9" t="str">
        <f>VLOOKUP(C577,[1]customers!$A$1:$I$1001, 2, FALSE)</f>
        <v>Reggie Thickpenny</v>
      </c>
      <c r="G577" s="16" t="str">
        <f>VLOOKUP(orders!C577,[1]customers!$A$1:$I$1001, 3, FALSE)</f>
        <v>rthickpennyfz@cafepress.com</v>
      </c>
      <c r="H577" s="16" t="str">
        <f>VLOOKUP(C577, [1]customers!$A$1:$I$1001, 7, FALSE)</f>
        <v>United States</v>
      </c>
      <c r="I577" s="18" t="str">
        <f>VLOOKUP(orders!D577,[1]products!$A$1:$G$49, 2,FALSE)</f>
        <v>Lib</v>
      </c>
      <c r="J577" s="18" t="str">
        <f>VLOOKUP(orders!D577,[1]products!$A$1:$G$49, 3,FALSE)</f>
        <v>M</v>
      </c>
      <c r="K577" s="19">
        <f>VLOOKUP(orders!D577,[1]products!$A$1:$G$49, 4,FALSE)</f>
        <v>2.5</v>
      </c>
      <c r="L577" s="19">
        <f>VLOOKUP(orders!D577,[1]products!$A$1:$G$49, 5,FALSE)</f>
        <v>33.464999999999996</v>
      </c>
      <c r="M577" s="13">
        <f>PRODUCT(orders!$E577,orders!$L577)</f>
        <v>66.929999999999993</v>
      </c>
      <c r="N577" s="18" t="str">
        <f t="shared" si="16"/>
        <v>February</v>
      </c>
      <c r="O577" s="18">
        <f t="shared" si="17"/>
        <v>2021</v>
      </c>
      <c r="P577" s="11" t="str">
        <f>TEXT(orders!$B577, "DDD")</f>
        <v>Fri</v>
      </c>
      <c r="Q577" s="11" t="str">
        <f>VLOOKUP(orders!C577,[1]customers!$A$1:$I$1001, 6,FALSE)</f>
        <v>Los Angeles</v>
      </c>
    </row>
    <row r="578" spans="1:17" x14ac:dyDescent="0.3">
      <c r="A578" s="7" t="s">
        <v>1146</v>
      </c>
      <c r="B578" s="8">
        <v>44290</v>
      </c>
      <c r="C578" s="9" t="s">
        <v>1147</v>
      </c>
      <c r="D578" s="10" t="s">
        <v>71</v>
      </c>
      <c r="E578" s="9">
        <v>6</v>
      </c>
      <c r="F578" s="9" t="str">
        <f>VLOOKUP(C578,[1]customers!$A$1:$I$1001, 2, FALSE)</f>
        <v>Phyllys Ormerod</v>
      </c>
      <c r="G578" s="9" t="str">
        <f>VLOOKUP(orders!C578,[1]customers!$A$1:$I$1001, 3, FALSE)</f>
        <v>pormerodg0@redcross.org</v>
      </c>
      <c r="H578" s="9" t="str">
        <f>VLOOKUP(C578, [1]customers!$A$1:$I$1001, 7, FALSE)</f>
        <v>United States</v>
      </c>
      <c r="I578" s="11" t="str">
        <f>VLOOKUP(orders!D578,[1]products!$A$1:$G$49, 2,FALSE)</f>
        <v>Ara</v>
      </c>
      <c r="J578" s="11" t="str">
        <f>VLOOKUP(orders!D578,[1]products!$A$1:$G$49, 3,FALSE)</f>
        <v>D</v>
      </c>
      <c r="K578" s="12">
        <f>VLOOKUP(orders!D578,[1]products!$A$1:$G$49, 4,FALSE)</f>
        <v>0.2</v>
      </c>
      <c r="L578" s="12">
        <f>VLOOKUP(orders!D578,[1]products!$A$1:$G$49, 5,FALSE)</f>
        <v>2.9849999999999999</v>
      </c>
      <c r="M578" s="13">
        <f>PRODUCT(orders!$E578,orders!$L578)</f>
        <v>17.91</v>
      </c>
      <c r="N578" s="11" t="str">
        <f t="shared" ref="N578:N641" si="18">TEXT(B578, "mmmm")</f>
        <v>April</v>
      </c>
      <c r="O578" s="11">
        <f t="shared" ref="O578:O641" si="19">YEAR(B578)</f>
        <v>2021</v>
      </c>
      <c r="P578" s="11" t="str">
        <f>TEXT(orders!$B578, "DDD")</f>
        <v>Sun</v>
      </c>
      <c r="Q578" s="11" t="str">
        <f>VLOOKUP(orders!C578,[1]customers!$A$1:$I$1001, 6,FALSE)</f>
        <v>Durham</v>
      </c>
    </row>
    <row r="579" spans="1:17" x14ac:dyDescent="0.3">
      <c r="A579" s="14" t="s">
        <v>1148</v>
      </c>
      <c r="B579" s="15">
        <v>44410</v>
      </c>
      <c r="C579" s="16" t="s">
        <v>1122</v>
      </c>
      <c r="D579" s="17" t="s">
        <v>113</v>
      </c>
      <c r="E579" s="16">
        <v>4</v>
      </c>
      <c r="F579" s="9" t="str">
        <f>VLOOKUP(C579,[1]customers!$A$1:$I$1001, 2, FALSE)</f>
        <v>Don Flintiff</v>
      </c>
      <c r="G579" s="16" t="str">
        <f>VLOOKUP(orders!C579,[1]customers!$A$1:$I$1001, 3, FALSE)</f>
        <v>dflintiffg1@e-recht24.de</v>
      </c>
      <c r="H579" s="16" t="str">
        <f>VLOOKUP(C579, [1]customers!$A$1:$I$1001, 7, FALSE)</f>
        <v>United Kingdom</v>
      </c>
      <c r="I579" s="18" t="str">
        <f>VLOOKUP(orders!D579,[1]products!$A$1:$G$49, 2,FALSE)</f>
        <v>Lib</v>
      </c>
      <c r="J579" s="18" t="str">
        <f>VLOOKUP(orders!D579,[1]products!$A$1:$G$49, 3,FALSE)</f>
        <v>M</v>
      </c>
      <c r="K579" s="19">
        <f>VLOOKUP(orders!D579,[1]products!$A$1:$G$49, 4,FALSE)</f>
        <v>1</v>
      </c>
      <c r="L579" s="19">
        <f>VLOOKUP(orders!D579,[1]products!$A$1:$G$49, 5,FALSE)</f>
        <v>14.55</v>
      </c>
      <c r="M579" s="13">
        <f>PRODUCT(orders!$E579,orders!$L579)</f>
        <v>58.2</v>
      </c>
      <c r="N579" s="18" t="str">
        <f t="shared" si="18"/>
        <v>August</v>
      </c>
      <c r="O579" s="18">
        <f t="shared" si="19"/>
        <v>2021</v>
      </c>
      <c r="P579" s="11" t="str">
        <f>TEXT(orders!$B579, "DDD")</f>
        <v>Mon</v>
      </c>
      <c r="Q579" s="11" t="str">
        <f>VLOOKUP(orders!C579,[1]customers!$A$1:$I$1001, 6,FALSE)</f>
        <v>London</v>
      </c>
    </row>
    <row r="580" spans="1:17" x14ac:dyDescent="0.3">
      <c r="A580" s="7" t="s">
        <v>1149</v>
      </c>
      <c r="B580" s="8">
        <v>44720</v>
      </c>
      <c r="C580" s="9" t="s">
        <v>1150</v>
      </c>
      <c r="D580" s="10" t="s">
        <v>271</v>
      </c>
      <c r="E580" s="9">
        <v>3</v>
      </c>
      <c r="F580" s="9" t="str">
        <f>VLOOKUP(C580,[1]customers!$A$1:$I$1001, 2, FALSE)</f>
        <v>Tymon Zanetti</v>
      </c>
      <c r="G580" s="9" t="str">
        <f>VLOOKUP(orders!C580,[1]customers!$A$1:$I$1001, 3, FALSE)</f>
        <v>tzanettig2@gravatar.com</v>
      </c>
      <c r="H580" s="9" t="str">
        <f>VLOOKUP(C580, [1]customers!$A$1:$I$1001, 7, FALSE)</f>
        <v>Ireland</v>
      </c>
      <c r="I580" s="11" t="str">
        <f>VLOOKUP(orders!D580,[1]products!$A$1:$G$49, 2,FALSE)</f>
        <v>Exc</v>
      </c>
      <c r="J580" s="11" t="str">
        <f>VLOOKUP(orders!D580,[1]products!$A$1:$G$49, 3,FALSE)</f>
        <v>L</v>
      </c>
      <c r="K580" s="12">
        <f>VLOOKUP(orders!D580,[1]products!$A$1:$G$49, 4,FALSE)</f>
        <v>0.2</v>
      </c>
      <c r="L580" s="12">
        <f>VLOOKUP(orders!D580,[1]products!$A$1:$G$49, 5,FALSE)</f>
        <v>4.4550000000000001</v>
      </c>
      <c r="M580" s="13">
        <f>PRODUCT(orders!$E580,orders!$L580)</f>
        <v>13.365</v>
      </c>
      <c r="N580" s="11" t="str">
        <f t="shared" si="18"/>
        <v>June</v>
      </c>
      <c r="O580" s="11">
        <f t="shared" si="19"/>
        <v>2022</v>
      </c>
      <c r="P580" s="11" t="str">
        <f>TEXT(orders!$B580, "DDD")</f>
        <v>Wed</v>
      </c>
      <c r="Q580" s="11" t="str">
        <f>VLOOKUP(orders!C580,[1]customers!$A$1:$I$1001, 6,FALSE)</f>
        <v>Loughrea</v>
      </c>
    </row>
    <row r="581" spans="1:17" x14ac:dyDescent="0.3">
      <c r="A581" s="14" t="s">
        <v>1149</v>
      </c>
      <c r="B581" s="15">
        <v>44720</v>
      </c>
      <c r="C581" s="16" t="s">
        <v>1150</v>
      </c>
      <c r="D581" s="17" t="s">
        <v>84</v>
      </c>
      <c r="E581" s="16">
        <v>5</v>
      </c>
      <c r="F581" s="9" t="str">
        <f>VLOOKUP(C581,[1]customers!$A$1:$I$1001, 2, FALSE)</f>
        <v>Tymon Zanetti</v>
      </c>
      <c r="G581" s="16" t="str">
        <f>VLOOKUP(orders!C581,[1]customers!$A$1:$I$1001, 3, FALSE)</f>
        <v>tzanettig2@gravatar.com</v>
      </c>
      <c r="H581" s="16" t="str">
        <f>VLOOKUP(C581, [1]customers!$A$1:$I$1001, 7, FALSE)</f>
        <v>Ireland</v>
      </c>
      <c r="I581" s="18" t="str">
        <f>VLOOKUP(orders!D581,[1]products!$A$1:$G$49, 2,FALSE)</f>
        <v>Ara</v>
      </c>
      <c r="J581" s="18" t="str">
        <f>VLOOKUP(orders!D581,[1]products!$A$1:$G$49, 3,FALSE)</f>
        <v>M</v>
      </c>
      <c r="K581" s="19">
        <f>VLOOKUP(orders!D581,[1]products!$A$1:$G$49, 4,FALSE)</f>
        <v>0.5</v>
      </c>
      <c r="L581" s="19">
        <f>VLOOKUP(orders!D581,[1]products!$A$1:$G$49, 5,FALSE)</f>
        <v>6.75</v>
      </c>
      <c r="M581" s="13">
        <f>PRODUCT(orders!$E581,orders!$L581)</f>
        <v>33.75</v>
      </c>
      <c r="N581" s="18" t="str">
        <f t="shared" si="18"/>
        <v>June</v>
      </c>
      <c r="O581" s="18">
        <f t="shared" si="19"/>
        <v>2022</v>
      </c>
      <c r="P581" s="11" t="str">
        <f>TEXT(orders!$B581, "DDD")</f>
        <v>Wed</v>
      </c>
      <c r="Q581" s="11" t="str">
        <f>VLOOKUP(orders!C581,[1]customers!$A$1:$I$1001, 6,FALSE)</f>
        <v>Loughrea</v>
      </c>
    </row>
    <row r="582" spans="1:17" x14ac:dyDescent="0.3">
      <c r="A582" s="7" t="s">
        <v>1151</v>
      </c>
      <c r="B582" s="8">
        <v>43965</v>
      </c>
      <c r="C582" s="9" t="s">
        <v>1152</v>
      </c>
      <c r="D582" s="10" t="s">
        <v>154</v>
      </c>
      <c r="E582" s="9">
        <v>3</v>
      </c>
      <c r="F582" s="9" t="str">
        <f>VLOOKUP(C582,[1]customers!$A$1:$I$1001, 2, FALSE)</f>
        <v>Reinaldos Kirtley</v>
      </c>
      <c r="G582" s="9" t="str">
        <f>VLOOKUP(orders!C582,[1]customers!$A$1:$I$1001, 3, FALSE)</f>
        <v>rkirtleyg4@hatena.ne.jp</v>
      </c>
      <c r="H582" s="9" t="str">
        <f>VLOOKUP(C582, [1]customers!$A$1:$I$1001, 7, FALSE)</f>
        <v>United States</v>
      </c>
      <c r="I582" s="11" t="str">
        <f>VLOOKUP(orders!D582,[1]products!$A$1:$G$49, 2,FALSE)</f>
        <v>Exc</v>
      </c>
      <c r="J582" s="11" t="str">
        <f>VLOOKUP(orders!D582,[1]products!$A$1:$G$49, 3,FALSE)</f>
        <v>L</v>
      </c>
      <c r="K582" s="12">
        <f>VLOOKUP(orders!D582,[1]products!$A$1:$G$49, 4,FALSE)</f>
        <v>1</v>
      </c>
      <c r="L582" s="12">
        <f>VLOOKUP(orders!D582,[1]products!$A$1:$G$49, 5,FALSE)</f>
        <v>14.85</v>
      </c>
      <c r="M582" s="13">
        <f>PRODUCT(orders!$E582,orders!$L582)</f>
        <v>44.55</v>
      </c>
      <c r="N582" s="11" t="str">
        <f t="shared" si="18"/>
        <v>May</v>
      </c>
      <c r="O582" s="11">
        <f t="shared" si="19"/>
        <v>2020</v>
      </c>
      <c r="P582" s="11" t="str">
        <f>TEXT(orders!$B582, "DDD")</f>
        <v>Thu</v>
      </c>
      <c r="Q582" s="11" t="str">
        <f>VLOOKUP(orders!C582,[1]customers!$A$1:$I$1001, 6,FALSE)</f>
        <v>Whittier</v>
      </c>
    </row>
    <row r="583" spans="1:17" x14ac:dyDescent="0.3">
      <c r="A583" s="14" t="s">
        <v>1153</v>
      </c>
      <c r="B583" s="15">
        <v>44190</v>
      </c>
      <c r="C583" s="16" t="s">
        <v>1154</v>
      </c>
      <c r="D583" s="17" t="s">
        <v>193</v>
      </c>
      <c r="E583" s="16">
        <v>5</v>
      </c>
      <c r="F583" s="9" t="str">
        <f>VLOOKUP(C583,[1]customers!$A$1:$I$1001, 2, FALSE)</f>
        <v>Carney Clemencet</v>
      </c>
      <c r="G583" s="16" t="str">
        <f>VLOOKUP(orders!C583,[1]customers!$A$1:$I$1001, 3, FALSE)</f>
        <v>cclemencetg5@weather.com</v>
      </c>
      <c r="H583" s="16" t="str">
        <f>VLOOKUP(C583, [1]customers!$A$1:$I$1001, 7, FALSE)</f>
        <v>United Kingdom</v>
      </c>
      <c r="I583" s="18" t="str">
        <f>VLOOKUP(orders!D583,[1]products!$A$1:$G$49, 2,FALSE)</f>
        <v>Exc</v>
      </c>
      <c r="J583" s="18" t="str">
        <f>VLOOKUP(orders!D583,[1]products!$A$1:$G$49, 3,FALSE)</f>
        <v>L</v>
      </c>
      <c r="K583" s="19">
        <f>VLOOKUP(orders!D583,[1]products!$A$1:$G$49, 4,FALSE)</f>
        <v>0.5</v>
      </c>
      <c r="L583" s="19">
        <f>VLOOKUP(orders!D583,[1]products!$A$1:$G$49, 5,FALSE)</f>
        <v>8.91</v>
      </c>
      <c r="M583" s="13">
        <f>PRODUCT(orders!$E583,orders!$L583)</f>
        <v>44.55</v>
      </c>
      <c r="N583" s="18" t="str">
        <f t="shared" si="18"/>
        <v>December</v>
      </c>
      <c r="O583" s="18">
        <f t="shared" si="19"/>
        <v>2020</v>
      </c>
      <c r="P583" s="11" t="str">
        <f>TEXT(orders!$B583, "DDD")</f>
        <v>Fri</v>
      </c>
      <c r="Q583" s="11" t="str">
        <f>VLOOKUP(orders!C583,[1]customers!$A$1:$I$1001, 6,FALSE)</f>
        <v>Birmingham</v>
      </c>
    </row>
    <row r="584" spans="1:17" x14ac:dyDescent="0.3">
      <c r="A584" s="7" t="s">
        <v>1155</v>
      </c>
      <c r="B584" s="8">
        <v>44382</v>
      </c>
      <c r="C584" s="9" t="s">
        <v>1156</v>
      </c>
      <c r="D584" s="10" t="s">
        <v>262</v>
      </c>
      <c r="E584" s="9">
        <v>5</v>
      </c>
      <c r="F584" s="9" t="str">
        <f>VLOOKUP(C584,[1]customers!$A$1:$I$1001, 2, FALSE)</f>
        <v>Russell Donet</v>
      </c>
      <c r="G584" s="9" t="str">
        <f>VLOOKUP(orders!C584,[1]customers!$A$1:$I$1001, 3, FALSE)</f>
        <v>rdonetg6@oakley.com</v>
      </c>
      <c r="H584" s="9" t="str">
        <f>VLOOKUP(C584, [1]customers!$A$1:$I$1001, 7, FALSE)</f>
        <v>United States</v>
      </c>
      <c r="I584" s="11" t="str">
        <f>VLOOKUP(orders!D584,[1]products!$A$1:$G$49, 2,FALSE)</f>
        <v>Exc</v>
      </c>
      <c r="J584" s="11" t="str">
        <f>VLOOKUP(orders!D584,[1]products!$A$1:$G$49, 3,FALSE)</f>
        <v>D</v>
      </c>
      <c r="K584" s="12">
        <f>VLOOKUP(orders!D584,[1]products!$A$1:$G$49, 4,FALSE)</f>
        <v>1</v>
      </c>
      <c r="L584" s="12">
        <f>VLOOKUP(orders!D584,[1]products!$A$1:$G$49, 5,FALSE)</f>
        <v>12.15</v>
      </c>
      <c r="M584" s="13">
        <f>PRODUCT(orders!$E584,orders!$L584)</f>
        <v>60.75</v>
      </c>
      <c r="N584" s="11" t="str">
        <f t="shared" si="18"/>
        <v>July</v>
      </c>
      <c r="O584" s="11">
        <f t="shared" si="19"/>
        <v>2021</v>
      </c>
      <c r="P584" s="11" t="str">
        <f>TEXT(orders!$B584, "DDD")</f>
        <v>Mon</v>
      </c>
      <c r="Q584" s="11" t="str">
        <f>VLOOKUP(orders!C584,[1]customers!$A$1:$I$1001, 6,FALSE)</f>
        <v>Richmond</v>
      </c>
    </row>
    <row r="585" spans="1:17" x14ac:dyDescent="0.3">
      <c r="A585" s="14" t="s">
        <v>1157</v>
      </c>
      <c r="B585" s="15">
        <v>43538</v>
      </c>
      <c r="C585" s="16" t="s">
        <v>1158</v>
      </c>
      <c r="D585" s="17" t="s">
        <v>199</v>
      </c>
      <c r="E585" s="16">
        <v>1</v>
      </c>
      <c r="F585" s="9" t="str">
        <f>VLOOKUP(C585,[1]customers!$A$1:$I$1001, 2, FALSE)</f>
        <v>Sidney Gawen</v>
      </c>
      <c r="G585" s="16" t="str">
        <f>VLOOKUP(orders!C585,[1]customers!$A$1:$I$1001, 3, FALSE)</f>
        <v>sgaweng7@creativecommons.org</v>
      </c>
      <c r="H585" s="16" t="str">
        <f>VLOOKUP(C585, [1]customers!$A$1:$I$1001, 7, FALSE)</f>
        <v>United States</v>
      </c>
      <c r="I585" s="18" t="str">
        <f>VLOOKUP(orders!D585,[1]products!$A$1:$G$49, 2,FALSE)</f>
        <v>Rob</v>
      </c>
      <c r="J585" s="18" t="str">
        <f>VLOOKUP(orders!D585,[1]products!$A$1:$G$49, 3,FALSE)</f>
        <v>L</v>
      </c>
      <c r="K585" s="19">
        <f>VLOOKUP(orders!D585,[1]products!$A$1:$G$49, 4,FALSE)</f>
        <v>0.2</v>
      </c>
      <c r="L585" s="19">
        <f>VLOOKUP(orders!D585,[1]products!$A$1:$G$49, 5,FALSE)</f>
        <v>3.5849999999999995</v>
      </c>
      <c r="M585" s="13">
        <f>PRODUCT(orders!$E585,orders!$L585)</f>
        <v>3.5849999999999995</v>
      </c>
      <c r="N585" s="18" t="str">
        <f t="shared" si="18"/>
        <v>March</v>
      </c>
      <c r="O585" s="18">
        <f t="shared" si="19"/>
        <v>2019</v>
      </c>
      <c r="P585" s="11" t="str">
        <f>TEXT(orders!$B585, "DDD")</f>
        <v>Thu</v>
      </c>
      <c r="Q585" s="11" t="str">
        <f>VLOOKUP(orders!C585,[1]customers!$A$1:$I$1001, 6,FALSE)</f>
        <v>Sterling</v>
      </c>
    </row>
    <row r="586" spans="1:17" x14ac:dyDescent="0.3">
      <c r="A586" s="7" t="s">
        <v>1159</v>
      </c>
      <c r="B586" s="8">
        <v>44262</v>
      </c>
      <c r="C586" s="9" t="s">
        <v>1160</v>
      </c>
      <c r="D586" s="10" t="s">
        <v>199</v>
      </c>
      <c r="E586" s="9">
        <v>6</v>
      </c>
      <c r="F586" s="9" t="str">
        <f>VLOOKUP(C586,[1]customers!$A$1:$I$1001, 2, FALSE)</f>
        <v>Rickey Readie</v>
      </c>
      <c r="G586" s="9" t="str">
        <f>VLOOKUP(orders!C586,[1]customers!$A$1:$I$1001, 3, FALSE)</f>
        <v>rreadieg8@guardian.co.uk</v>
      </c>
      <c r="H586" s="9" t="str">
        <f>VLOOKUP(C586, [1]customers!$A$1:$I$1001, 7, FALSE)</f>
        <v>United States</v>
      </c>
      <c r="I586" s="11" t="str">
        <f>VLOOKUP(orders!D586,[1]products!$A$1:$G$49, 2,FALSE)</f>
        <v>Rob</v>
      </c>
      <c r="J586" s="11" t="str">
        <f>VLOOKUP(orders!D586,[1]products!$A$1:$G$49, 3,FALSE)</f>
        <v>L</v>
      </c>
      <c r="K586" s="12">
        <f>VLOOKUP(orders!D586,[1]products!$A$1:$G$49, 4,FALSE)</f>
        <v>0.2</v>
      </c>
      <c r="L586" s="12">
        <f>VLOOKUP(orders!D586,[1]products!$A$1:$G$49, 5,FALSE)</f>
        <v>3.5849999999999995</v>
      </c>
      <c r="M586" s="13">
        <f>PRODUCT(orders!$E586,orders!$L586)</f>
        <v>21.509999999999998</v>
      </c>
      <c r="N586" s="11" t="str">
        <f t="shared" si="18"/>
        <v>March</v>
      </c>
      <c r="O586" s="11">
        <f t="shared" si="19"/>
        <v>2021</v>
      </c>
      <c r="P586" s="11" t="str">
        <f>TEXT(orders!$B586, "DDD")</f>
        <v>Sun</v>
      </c>
      <c r="Q586" s="11" t="str">
        <f>VLOOKUP(orders!C586,[1]customers!$A$1:$I$1001, 6,FALSE)</f>
        <v>Carson City</v>
      </c>
    </row>
    <row r="587" spans="1:17" x14ac:dyDescent="0.3">
      <c r="A587" s="14" t="s">
        <v>1161</v>
      </c>
      <c r="B587" s="15">
        <v>44505</v>
      </c>
      <c r="C587" s="16" t="s">
        <v>1162</v>
      </c>
      <c r="D587" s="17" t="s">
        <v>20</v>
      </c>
      <c r="E587" s="16">
        <v>2</v>
      </c>
      <c r="F587" s="9" t="str">
        <f>VLOOKUP(C587,[1]customers!$A$1:$I$1001, 2, FALSE)</f>
        <v>Cody Verissimo</v>
      </c>
      <c r="G587" s="16" t="str">
        <f>VLOOKUP(orders!C587,[1]customers!$A$1:$I$1001, 3, FALSE)</f>
        <v>cverissimogh@theglobeandmail.com</v>
      </c>
      <c r="H587" s="16" t="str">
        <f>VLOOKUP(C587, [1]customers!$A$1:$I$1001, 7, FALSE)</f>
        <v>United Kingdom</v>
      </c>
      <c r="I587" s="18" t="str">
        <f>VLOOKUP(orders!D587,[1]products!$A$1:$G$49, 2,FALSE)</f>
        <v>Exc</v>
      </c>
      <c r="J587" s="18" t="str">
        <f>VLOOKUP(orders!D587,[1]products!$A$1:$G$49, 3,FALSE)</f>
        <v>M</v>
      </c>
      <c r="K587" s="19">
        <f>VLOOKUP(orders!D587,[1]products!$A$1:$G$49, 4,FALSE)</f>
        <v>0.5</v>
      </c>
      <c r="L587" s="19">
        <f>VLOOKUP(orders!D587,[1]products!$A$1:$G$49, 5,FALSE)</f>
        <v>8.25</v>
      </c>
      <c r="M587" s="13">
        <f>PRODUCT(orders!$E587,orders!$L587)</f>
        <v>16.5</v>
      </c>
      <c r="N587" s="18" t="str">
        <f t="shared" si="18"/>
        <v>November</v>
      </c>
      <c r="O587" s="18">
        <f t="shared" si="19"/>
        <v>2021</v>
      </c>
      <c r="P587" s="11" t="str">
        <f>TEXT(orders!$B587, "DDD")</f>
        <v>Fri</v>
      </c>
      <c r="Q587" s="11" t="str">
        <f>VLOOKUP(orders!C587,[1]customers!$A$1:$I$1001, 6,FALSE)</f>
        <v>Upton</v>
      </c>
    </row>
    <row r="588" spans="1:17" x14ac:dyDescent="0.3">
      <c r="A588" s="7" t="s">
        <v>1163</v>
      </c>
      <c r="B588" s="8">
        <v>43867</v>
      </c>
      <c r="C588" s="9" t="s">
        <v>1164</v>
      </c>
      <c r="D588" s="10" t="s">
        <v>27</v>
      </c>
      <c r="E588" s="9">
        <v>3</v>
      </c>
      <c r="F588" s="9" t="str">
        <f>VLOOKUP(C588,[1]customers!$A$1:$I$1001, 2, FALSE)</f>
        <v>Zilvia Claisse</v>
      </c>
      <c r="G588" s="9">
        <f>VLOOKUP(orders!C588,[1]customers!$A$1:$I$1001, 3, FALSE)</f>
        <v>0</v>
      </c>
      <c r="H588" s="9" t="str">
        <f>VLOOKUP(C588, [1]customers!$A$1:$I$1001, 7, FALSE)</f>
        <v>United States</v>
      </c>
      <c r="I588" s="11" t="str">
        <f>VLOOKUP(orders!D588,[1]products!$A$1:$G$49, 2,FALSE)</f>
        <v>Rob</v>
      </c>
      <c r="J588" s="11" t="str">
        <f>VLOOKUP(orders!D588,[1]products!$A$1:$G$49, 3,FALSE)</f>
        <v>L</v>
      </c>
      <c r="K588" s="12">
        <f>VLOOKUP(orders!D588,[1]products!$A$1:$G$49, 4,FALSE)</f>
        <v>2.5</v>
      </c>
      <c r="L588" s="12">
        <f>VLOOKUP(orders!D588,[1]products!$A$1:$G$49, 5,FALSE)</f>
        <v>27.484999999999996</v>
      </c>
      <c r="M588" s="13">
        <f>PRODUCT(orders!$E588,orders!$L588)</f>
        <v>82.454999999999984</v>
      </c>
      <c r="N588" s="11" t="str">
        <f t="shared" si="18"/>
        <v>February</v>
      </c>
      <c r="O588" s="11">
        <f t="shared" si="19"/>
        <v>2020</v>
      </c>
      <c r="P588" s="11" t="str">
        <f>TEXT(orders!$B588, "DDD")</f>
        <v>Thu</v>
      </c>
      <c r="Q588" s="11" t="str">
        <f>VLOOKUP(orders!C588,[1]customers!$A$1:$I$1001, 6,FALSE)</f>
        <v>Saint Paul</v>
      </c>
    </row>
    <row r="589" spans="1:17" x14ac:dyDescent="0.3">
      <c r="A589" s="14" t="s">
        <v>1165</v>
      </c>
      <c r="B589" s="15">
        <v>44267</v>
      </c>
      <c r="C589" s="16" t="s">
        <v>1166</v>
      </c>
      <c r="D589" s="17" t="s">
        <v>140</v>
      </c>
      <c r="E589" s="16">
        <v>1</v>
      </c>
      <c r="F589" s="9" t="str">
        <f>VLOOKUP(C589,[1]customers!$A$1:$I$1001, 2, FALSE)</f>
        <v>Bar O' Mahony</v>
      </c>
      <c r="G589" s="16" t="str">
        <f>VLOOKUP(orders!C589,[1]customers!$A$1:$I$1001, 3, FALSE)</f>
        <v>bogb@elpais.com</v>
      </c>
      <c r="H589" s="16" t="str">
        <f>VLOOKUP(C589, [1]customers!$A$1:$I$1001, 7, FALSE)</f>
        <v>United States</v>
      </c>
      <c r="I589" s="18" t="str">
        <f>VLOOKUP(orders!D589,[1]products!$A$1:$G$49, 2,FALSE)</f>
        <v>Lib</v>
      </c>
      <c r="J589" s="18" t="str">
        <f>VLOOKUP(orders!D589,[1]products!$A$1:$G$49, 3,FALSE)</f>
        <v>D</v>
      </c>
      <c r="K589" s="19">
        <f>VLOOKUP(orders!D589,[1]products!$A$1:$G$49, 4,FALSE)</f>
        <v>0.5</v>
      </c>
      <c r="L589" s="19">
        <f>VLOOKUP(orders!D589,[1]products!$A$1:$G$49, 5,FALSE)</f>
        <v>7.77</v>
      </c>
      <c r="M589" s="13">
        <f>PRODUCT(orders!$E589,orders!$L589)</f>
        <v>7.77</v>
      </c>
      <c r="N589" s="18" t="str">
        <f t="shared" si="18"/>
        <v>March</v>
      </c>
      <c r="O589" s="18">
        <f t="shared" si="19"/>
        <v>2021</v>
      </c>
      <c r="P589" s="11" t="str">
        <f>TEXT(orders!$B589, "DDD")</f>
        <v>Fri</v>
      </c>
      <c r="Q589" s="11" t="str">
        <f>VLOOKUP(orders!C589,[1]customers!$A$1:$I$1001, 6,FALSE)</f>
        <v>Huntsville</v>
      </c>
    </row>
    <row r="590" spans="1:17" x14ac:dyDescent="0.3">
      <c r="A590" s="7" t="s">
        <v>1167</v>
      </c>
      <c r="B590" s="8">
        <v>44046</v>
      </c>
      <c r="C590" s="9" t="s">
        <v>1168</v>
      </c>
      <c r="D590" s="10" t="s">
        <v>39</v>
      </c>
      <c r="E590" s="9">
        <v>2</v>
      </c>
      <c r="F590" s="9" t="str">
        <f>VLOOKUP(C590,[1]customers!$A$1:$I$1001, 2, FALSE)</f>
        <v>Valenka Stansbury</v>
      </c>
      <c r="G590" s="9" t="str">
        <f>VLOOKUP(orders!C590,[1]customers!$A$1:$I$1001, 3, FALSE)</f>
        <v>vstansburygc@unblog.fr</v>
      </c>
      <c r="H590" s="9" t="str">
        <f>VLOOKUP(C590, [1]customers!$A$1:$I$1001, 7, FALSE)</f>
        <v>United States</v>
      </c>
      <c r="I590" s="11" t="str">
        <f>VLOOKUP(orders!D590,[1]products!$A$1:$G$49, 2,FALSE)</f>
        <v>Rob</v>
      </c>
      <c r="J590" s="11" t="str">
        <f>VLOOKUP(orders!D590,[1]products!$A$1:$G$49, 3,FALSE)</f>
        <v>M</v>
      </c>
      <c r="K590" s="12">
        <f>VLOOKUP(orders!D590,[1]products!$A$1:$G$49, 4,FALSE)</f>
        <v>0.5</v>
      </c>
      <c r="L590" s="12">
        <f>VLOOKUP(orders!D590,[1]products!$A$1:$G$49, 5,FALSE)</f>
        <v>5.97</v>
      </c>
      <c r="M590" s="13">
        <f>PRODUCT(orders!$E590,orders!$L590)</f>
        <v>11.94</v>
      </c>
      <c r="N590" s="11" t="str">
        <f t="shared" si="18"/>
        <v>August</v>
      </c>
      <c r="O590" s="11">
        <f t="shared" si="19"/>
        <v>2020</v>
      </c>
      <c r="P590" s="11" t="str">
        <f>TEXT(orders!$B590, "DDD")</f>
        <v>Mon</v>
      </c>
      <c r="Q590" s="11" t="str">
        <f>VLOOKUP(orders!C590,[1]customers!$A$1:$I$1001, 6,FALSE)</f>
        <v>El Paso</v>
      </c>
    </row>
    <row r="591" spans="1:17" x14ac:dyDescent="0.3">
      <c r="A591" s="14" t="s">
        <v>1169</v>
      </c>
      <c r="B591" s="15">
        <v>43671</v>
      </c>
      <c r="C591" s="16" t="s">
        <v>1170</v>
      </c>
      <c r="D591" s="17" t="s">
        <v>47</v>
      </c>
      <c r="E591" s="16">
        <v>6</v>
      </c>
      <c r="F591" s="9" t="str">
        <f>VLOOKUP(C591,[1]customers!$A$1:$I$1001, 2, FALSE)</f>
        <v>Daniel Heinonen</v>
      </c>
      <c r="G591" s="16" t="str">
        <f>VLOOKUP(orders!C591,[1]customers!$A$1:$I$1001, 3, FALSE)</f>
        <v>dheinonengd@printfriendly.com</v>
      </c>
      <c r="H591" s="16" t="str">
        <f>VLOOKUP(C591, [1]customers!$A$1:$I$1001, 7, FALSE)</f>
        <v>United States</v>
      </c>
      <c r="I591" s="18" t="str">
        <f>VLOOKUP(orders!D591,[1]products!$A$1:$G$49, 2,FALSE)</f>
        <v>Exc</v>
      </c>
      <c r="J591" s="18" t="str">
        <f>VLOOKUP(orders!D591,[1]products!$A$1:$G$49, 3,FALSE)</f>
        <v>L</v>
      </c>
      <c r="K591" s="19">
        <f>VLOOKUP(orders!D591,[1]products!$A$1:$G$49, 4,FALSE)</f>
        <v>2.5</v>
      </c>
      <c r="L591" s="19">
        <f>VLOOKUP(orders!D591,[1]products!$A$1:$G$49, 5,FALSE)</f>
        <v>34.154999999999994</v>
      </c>
      <c r="M591" s="13">
        <f>PRODUCT(orders!$E591,orders!$L591)</f>
        <v>204.92999999999995</v>
      </c>
      <c r="N591" s="18" t="str">
        <f t="shared" si="18"/>
        <v>July</v>
      </c>
      <c r="O591" s="18">
        <f t="shared" si="19"/>
        <v>2019</v>
      </c>
      <c r="P591" s="11" t="str">
        <f>TEXT(orders!$B591, "DDD")</f>
        <v>Thu</v>
      </c>
      <c r="Q591" s="11" t="str">
        <f>VLOOKUP(orders!C591,[1]customers!$A$1:$I$1001, 6,FALSE)</f>
        <v>Decatur</v>
      </c>
    </row>
    <row r="592" spans="1:17" x14ac:dyDescent="0.3">
      <c r="A592" s="7" t="s">
        <v>1171</v>
      </c>
      <c r="B592" s="8">
        <v>43950</v>
      </c>
      <c r="C592" s="9" t="s">
        <v>1172</v>
      </c>
      <c r="D592" s="10" t="s">
        <v>129</v>
      </c>
      <c r="E592" s="9">
        <v>2</v>
      </c>
      <c r="F592" s="9" t="str">
        <f>VLOOKUP(C592,[1]customers!$A$1:$I$1001, 2, FALSE)</f>
        <v>Jewelle Shenton</v>
      </c>
      <c r="G592" s="9" t="str">
        <f>VLOOKUP(orders!C592,[1]customers!$A$1:$I$1001, 3, FALSE)</f>
        <v>jshentonge@google.com.hk</v>
      </c>
      <c r="H592" s="9" t="str">
        <f>VLOOKUP(C592, [1]customers!$A$1:$I$1001, 7, FALSE)</f>
        <v>United States</v>
      </c>
      <c r="I592" s="11" t="str">
        <f>VLOOKUP(orders!D592,[1]products!$A$1:$G$49, 2,FALSE)</f>
        <v>Exc</v>
      </c>
      <c r="J592" s="11" t="str">
        <f>VLOOKUP(orders!D592,[1]products!$A$1:$G$49, 3,FALSE)</f>
        <v>M</v>
      </c>
      <c r="K592" s="12">
        <f>VLOOKUP(orders!D592,[1]products!$A$1:$G$49, 4,FALSE)</f>
        <v>2.5</v>
      </c>
      <c r="L592" s="12">
        <f>VLOOKUP(orders!D592,[1]products!$A$1:$G$49, 5,FALSE)</f>
        <v>31.624999999999996</v>
      </c>
      <c r="M592" s="13">
        <f>PRODUCT(orders!$E592,orders!$L592)</f>
        <v>63.249999999999993</v>
      </c>
      <c r="N592" s="11" t="str">
        <f t="shared" si="18"/>
        <v>April</v>
      </c>
      <c r="O592" s="11">
        <f t="shared" si="19"/>
        <v>2020</v>
      </c>
      <c r="P592" s="11" t="str">
        <f>TEXT(orders!$B592, "DDD")</f>
        <v>Wed</v>
      </c>
      <c r="Q592" s="11" t="str">
        <f>VLOOKUP(orders!C592,[1]customers!$A$1:$I$1001, 6,FALSE)</f>
        <v>Orange</v>
      </c>
    </row>
    <row r="593" spans="1:17" x14ac:dyDescent="0.3">
      <c r="A593" s="14" t="s">
        <v>1173</v>
      </c>
      <c r="B593" s="15">
        <v>43587</v>
      </c>
      <c r="C593" s="16" t="s">
        <v>1174</v>
      </c>
      <c r="D593" s="17" t="s">
        <v>118</v>
      </c>
      <c r="E593" s="16">
        <v>3</v>
      </c>
      <c r="F593" s="9" t="str">
        <f>VLOOKUP(C593,[1]customers!$A$1:$I$1001, 2, FALSE)</f>
        <v>Jennifer Wilkisson</v>
      </c>
      <c r="G593" s="16" t="str">
        <f>VLOOKUP(orders!C593,[1]customers!$A$1:$I$1001, 3, FALSE)</f>
        <v>jwilkissongf@nba.com</v>
      </c>
      <c r="H593" s="16" t="str">
        <f>VLOOKUP(C593, [1]customers!$A$1:$I$1001, 7, FALSE)</f>
        <v>United States</v>
      </c>
      <c r="I593" s="18" t="str">
        <f>VLOOKUP(orders!D593,[1]products!$A$1:$G$49, 2,FALSE)</f>
        <v>Rob</v>
      </c>
      <c r="J593" s="18" t="str">
        <f>VLOOKUP(orders!D593,[1]products!$A$1:$G$49, 3,FALSE)</f>
        <v>D</v>
      </c>
      <c r="K593" s="19">
        <f>VLOOKUP(orders!D593,[1]products!$A$1:$G$49, 4,FALSE)</f>
        <v>0.2</v>
      </c>
      <c r="L593" s="19">
        <f>VLOOKUP(orders!D593,[1]products!$A$1:$G$49, 5,FALSE)</f>
        <v>2.6849999999999996</v>
      </c>
      <c r="M593" s="13">
        <f>PRODUCT(orders!$E593,orders!$L593)</f>
        <v>8.0549999999999997</v>
      </c>
      <c r="N593" s="18" t="str">
        <f t="shared" si="18"/>
        <v>May</v>
      </c>
      <c r="O593" s="18">
        <f t="shared" si="19"/>
        <v>2019</v>
      </c>
      <c r="P593" s="11" t="str">
        <f>TEXT(orders!$B593, "DDD")</f>
        <v>Thu</v>
      </c>
      <c r="Q593" s="11" t="str">
        <f>VLOOKUP(orders!C593,[1]customers!$A$1:$I$1001, 6,FALSE)</f>
        <v>Huntington Beach</v>
      </c>
    </row>
    <row r="594" spans="1:17" x14ac:dyDescent="0.3">
      <c r="A594" s="7" t="s">
        <v>1175</v>
      </c>
      <c r="B594" s="8">
        <v>44437</v>
      </c>
      <c r="C594" s="9" t="s">
        <v>1176</v>
      </c>
      <c r="D594" s="10" t="s">
        <v>188</v>
      </c>
      <c r="E594" s="9">
        <v>2</v>
      </c>
      <c r="F594" s="9" t="str">
        <f>VLOOKUP(C594,[1]customers!$A$1:$I$1001, 2, FALSE)</f>
        <v>Kylie Mowat</v>
      </c>
      <c r="G594" s="9">
        <f>VLOOKUP(orders!C594,[1]customers!$A$1:$I$1001, 3, FALSE)</f>
        <v>0</v>
      </c>
      <c r="H594" s="9" t="str">
        <f>VLOOKUP(C594, [1]customers!$A$1:$I$1001, 7, FALSE)</f>
        <v>United States</v>
      </c>
      <c r="I594" s="11" t="str">
        <f>VLOOKUP(orders!D594,[1]products!$A$1:$G$49, 2,FALSE)</f>
        <v>Ara</v>
      </c>
      <c r="J594" s="11" t="str">
        <f>VLOOKUP(orders!D594,[1]products!$A$1:$G$49, 3,FALSE)</f>
        <v>M</v>
      </c>
      <c r="K594" s="12">
        <f>VLOOKUP(orders!D594,[1]products!$A$1:$G$49, 4,FALSE)</f>
        <v>2.5</v>
      </c>
      <c r="L594" s="12">
        <f>VLOOKUP(orders!D594,[1]products!$A$1:$G$49, 5,FALSE)</f>
        <v>25.874999999999996</v>
      </c>
      <c r="M594" s="13">
        <f>PRODUCT(orders!$E594,orders!$L594)</f>
        <v>51.749999999999993</v>
      </c>
      <c r="N594" s="11" t="str">
        <f t="shared" si="18"/>
        <v>August</v>
      </c>
      <c r="O594" s="11">
        <f t="shared" si="19"/>
        <v>2021</v>
      </c>
      <c r="P594" s="11" t="str">
        <f>TEXT(orders!$B594, "DDD")</f>
        <v>Sun</v>
      </c>
      <c r="Q594" s="11" t="str">
        <f>VLOOKUP(orders!C594,[1]customers!$A$1:$I$1001, 6,FALSE)</f>
        <v>Milwaukee</v>
      </c>
    </row>
    <row r="595" spans="1:17" x14ac:dyDescent="0.3">
      <c r="A595" s="14" t="s">
        <v>1177</v>
      </c>
      <c r="B595" s="15">
        <v>43903</v>
      </c>
      <c r="C595" s="16" t="s">
        <v>1162</v>
      </c>
      <c r="D595" s="17" t="s">
        <v>547</v>
      </c>
      <c r="E595" s="16">
        <v>1</v>
      </c>
      <c r="F595" s="9" t="str">
        <f>VLOOKUP(C595,[1]customers!$A$1:$I$1001, 2, FALSE)</f>
        <v>Cody Verissimo</v>
      </c>
      <c r="G595" s="16" t="str">
        <f>VLOOKUP(orders!C595,[1]customers!$A$1:$I$1001, 3, FALSE)</f>
        <v>cverissimogh@theglobeandmail.com</v>
      </c>
      <c r="H595" s="16" t="str">
        <f>VLOOKUP(C595, [1]customers!$A$1:$I$1001, 7, FALSE)</f>
        <v>United Kingdom</v>
      </c>
      <c r="I595" s="18" t="str">
        <f>VLOOKUP(orders!D595,[1]products!$A$1:$G$49, 2,FALSE)</f>
        <v>Exc</v>
      </c>
      <c r="J595" s="18" t="str">
        <f>VLOOKUP(orders!D595,[1]products!$A$1:$G$49, 3,FALSE)</f>
        <v>D</v>
      </c>
      <c r="K595" s="19">
        <f>VLOOKUP(orders!D595,[1]products!$A$1:$G$49, 4,FALSE)</f>
        <v>2.5</v>
      </c>
      <c r="L595" s="19">
        <f>VLOOKUP(orders!D595,[1]products!$A$1:$G$49, 5,FALSE)</f>
        <v>27.945</v>
      </c>
      <c r="M595" s="13">
        <f>PRODUCT(orders!$E595,orders!$L595)</f>
        <v>27.945</v>
      </c>
      <c r="N595" s="18" t="str">
        <f t="shared" si="18"/>
        <v>March</v>
      </c>
      <c r="O595" s="18">
        <f t="shared" si="19"/>
        <v>2020</v>
      </c>
      <c r="P595" s="11" t="str">
        <f>TEXT(orders!$B595, "DDD")</f>
        <v>Fri</v>
      </c>
      <c r="Q595" s="11" t="str">
        <f>VLOOKUP(orders!C595,[1]customers!$A$1:$I$1001, 6,FALSE)</f>
        <v>Upton</v>
      </c>
    </row>
    <row r="596" spans="1:17" x14ac:dyDescent="0.3">
      <c r="A596" s="7" t="s">
        <v>1178</v>
      </c>
      <c r="B596" s="8">
        <v>43512</v>
      </c>
      <c r="C596" s="9" t="s">
        <v>1179</v>
      </c>
      <c r="D596" s="10" t="s">
        <v>221</v>
      </c>
      <c r="E596" s="9">
        <v>2</v>
      </c>
      <c r="F596" s="9" t="str">
        <f>VLOOKUP(C596,[1]customers!$A$1:$I$1001, 2, FALSE)</f>
        <v>Gabriel Starcks</v>
      </c>
      <c r="G596" s="9" t="str">
        <f>VLOOKUP(orders!C596,[1]customers!$A$1:$I$1001, 3, FALSE)</f>
        <v>gstarcksgi@abc.net.au</v>
      </c>
      <c r="H596" s="9" t="str">
        <f>VLOOKUP(C596, [1]customers!$A$1:$I$1001, 7, FALSE)</f>
        <v>United States</v>
      </c>
      <c r="I596" s="11" t="str">
        <f>VLOOKUP(orders!D596,[1]products!$A$1:$G$49, 2,FALSE)</f>
        <v>Ara</v>
      </c>
      <c r="J596" s="11" t="str">
        <f>VLOOKUP(orders!D596,[1]products!$A$1:$G$49, 3,FALSE)</f>
        <v>L</v>
      </c>
      <c r="K596" s="12">
        <f>VLOOKUP(orders!D596,[1]products!$A$1:$G$49, 4,FALSE)</f>
        <v>2.5</v>
      </c>
      <c r="L596" s="12">
        <f>VLOOKUP(orders!D596,[1]products!$A$1:$G$49, 5,FALSE)</f>
        <v>29.784999999999997</v>
      </c>
      <c r="M596" s="13">
        <f>PRODUCT(orders!$E596,orders!$L596)</f>
        <v>59.569999999999993</v>
      </c>
      <c r="N596" s="11" t="str">
        <f t="shared" si="18"/>
        <v>February</v>
      </c>
      <c r="O596" s="11">
        <f t="shared" si="19"/>
        <v>2019</v>
      </c>
      <c r="P596" s="11" t="str">
        <f>TEXT(orders!$B596, "DDD")</f>
        <v>Sat</v>
      </c>
      <c r="Q596" s="11" t="str">
        <f>VLOOKUP(orders!C596,[1]customers!$A$1:$I$1001, 6,FALSE)</f>
        <v>Chattanooga</v>
      </c>
    </row>
    <row r="597" spans="1:17" x14ac:dyDescent="0.3">
      <c r="A597" s="14" t="s">
        <v>1180</v>
      </c>
      <c r="B597" s="15">
        <v>44527</v>
      </c>
      <c r="C597" s="16" t="s">
        <v>1181</v>
      </c>
      <c r="D597" s="17" t="s">
        <v>154</v>
      </c>
      <c r="E597" s="16">
        <v>1</v>
      </c>
      <c r="F597" s="9" t="str">
        <f>VLOOKUP(C597,[1]customers!$A$1:$I$1001, 2, FALSE)</f>
        <v>Darby Dummer</v>
      </c>
      <c r="G597" s="16">
        <f>VLOOKUP(orders!C597,[1]customers!$A$1:$I$1001, 3, FALSE)</f>
        <v>0</v>
      </c>
      <c r="H597" s="16" t="str">
        <f>VLOOKUP(C597, [1]customers!$A$1:$I$1001, 7, FALSE)</f>
        <v>United Kingdom</v>
      </c>
      <c r="I597" s="18" t="str">
        <f>VLOOKUP(orders!D597,[1]products!$A$1:$G$49, 2,FALSE)</f>
        <v>Exc</v>
      </c>
      <c r="J597" s="18" t="str">
        <f>VLOOKUP(orders!D597,[1]products!$A$1:$G$49, 3,FALSE)</f>
        <v>L</v>
      </c>
      <c r="K597" s="19">
        <f>VLOOKUP(orders!D597,[1]products!$A$1:$G$49, 4,FALSE)</f>
        <v>1</v>
      </c>
      <c r="L597" s="19">
        <f>VLOOKUP(orders!D597,[1]products!$A$1:$G$49, 5,FALSE)</f>
        <v>14.85</v>
      </c>
      <c r="M597" s="13">
        <f>PRODUCT(orders!$E597,orders!$L597)</f>
        <v>14.85</v>
      </c>
      <c r="N597" s="18" t="str">
        <f t="shared" si="18"/>
        <v>November</v>
      </c>
      <c r="O597" s="18">
        <f t="shared" si="19"/>
        <v>2021</v>
      </c>
      <c r="P597" s="11" t="str">
        <f>TEXT(orders!$B597, "DDD")</f>
        <v>Sat</v>
      </c>
      <c r="Q597" s="11" t="str">
        <f>VLOOKUP(orders!C597,[1]customers!$A$1:$I$1001, 6,FALSE)</f>
        <v>Manchester</v>
      </c>
    </row>
    <row r="598" spans="1:17" x14ac:dyDescent="0.3">
      <c r="A598" s="7" t="s">
        <v>1182</v>
      </c>
      <c r="B598" s="8">
        <v>44523</v>
      </c>
      <c r="C598" s="9" t="s">
        <v>1183</v>
      </c>
      <c r="D598" s="10" t="s">
        <v>84</v>
      </c>
      <c r="E598" s="9">
        <v>5</v>
      </c>
      <c r="F598" s="9" t="str">
        <f>VLOOKUP(C598,[1]customers!$A$1:$I$1001, 2, FALSE)</f>
        <v>Kienan Scholard</v>
      </c>
      <c r="G598" s="9" t="str">
        <f>VLOOKUP(orders!C598,[1]customers!$A$1:$I$1001, 3, FALSE)</f>
        <v>kscholardgk@sbwire.com</v>
      </c>
      <c r="H598" s="9" t="str">
        <f>VLOOKUP(C598, [1]customers!$A$1:$I$1001, 7, FALSE)</f>
        <v>United States</v>
      </c>
      <c r="I598" s="11" t="str">
        <f>VLOOKUP(orders!D598,[1]products!$A$1:$G$49, 2,FALSE)</f>
        <v>Ara</v>
      </c>
      <c r="J598" s="11" t="str">
        <f>VLOOKUP(orders!D598,[1]products!$A$1:$G$49, 3,FALSE)</f>
        <v>M</v>
      </c>
      <c r="K598" s="12">
        <f>VLOOKUP(orders!D598,[1]products!$A$1:$G$49, 4,FALSE)</f>
        <v>0.5</v>
      </c>
      <c r="L598" s="12">
        <f>VLOOKUP(orders!D598,[1]products!$A$1:$G$49, 5,FALSE)</f>
        <v>6.75</v>
      </c>
      <c r="M598" s="13">
        <f>PRODUCT(orders!$E598,orders!$L598)</f>
        <v>33.75</v>
      </c>
      <c r="N598" s="11" t="str">
        <f t="shared" si="18"/>
        <v>November</v>
      </c>
      <c r="O598" s="11">
        <f t="shared" si="19"/>
        <v>2021</v>
      </c>
      <c r="P598" s="11" t="str">
        <f>TEXT(orders!$B598, "DDD")</f>
        <v>Tue</v>
      </c>
      <c r="Q598" s="11" t="str">
        <f>VLOOKUP(orders!C598,[1]customers!$A$1:$I$1001, 6,FALSE)</f>
        <v>Columbus</v>
      </c>
    </row>
    <row r="599" spans="1:17" x14ac:dyDescent="0.3">
      <c r="A599" s="14" t="s">
        <v>1184</v>
      </c>
      <c r="B599" s="15">
        <v>44532</v>
      </c>
      <c r="C599" s="16" t="s">
        <v>1185</v>
      </c>
      <c r="D599" s="17" t="s">
        <v>121</v>
      </c>
      <c r="E599" s="16">
        <v>4</v>
      </c>
      <c r="F599" s="9" t="str">
        <f>VLOOKUP(C599,[1]customers!$A$1:$I$1001, 2, FALSE)</f>
        <v>Bo Kindley</v>
      </c>
      <c r="G599" s="16" t="str">
        <f>VLOOKUP(orders!C599,[1]customers!$A$1:$I$1001, 3, FALSE)</f>
        <v>bkindleygl@wikimedia.org</v>
      </c>
      <c r="H599" s="16" t="str">
        <f>VLOOKUP(C599, [1]customers!$A$1:$I$1001, 7, FALSE)</f>
        <v>United States</v>
      </c>
      <c r="I599" s="18" t="str">
        <f>VLOOKUP(orders!D599,[1]products!$A$1:$G$49, 2,FALSE)</f>
        <v>Lib</v>
      </c>
      <c r="J599" s="18" t="str">
        <f>VLOOKUP(orders!D599,[1]products!$A$1:$G$49, 3,FALSE)</f>
        <v>L</v>
      </c>
      <c r="K599" s="19">
        <f>VLOOKUP(orders!D599,[1]products!$A$1:$G$49, 4,FALSE)</f>
        <v>2.5</v>
      </c>
      <c r="L599" s="19">
        <f>VLOOKUP(orders!D599,[1]products!$A$1:$G$49, 5,FALSE)</f>
        <v>36.454999999999998</v>
      </c>
      <c r="M599" s="13">
        <f>PRODUCT(orders!$E599,orders!$L599)</f>
        <v>145.82</v>
      </c>
      <c r="N599" s="18" t="str">
        <f t="shared" si="18"/>
        <v>December</v>
      </c>
      <c r="O599" s="18">
        <f t="shared" si="19"/>
        <v>2021</v>
      </c>
      <c r="P599" s="11" t="str">
        <f>TEXT(orders!$B599, "DDD")</f>
        <v>Thu</v>
      </c>
      <c r="Q599" s="11" t="str">
        <f>VLOOKUP(orders!C599,[1]customers!$A$1:$I$1001, 6,FALSE)</f>
        <v>Pasadena</v>
      </c>
    </row>
    <row r="600" spans="1:17" x14ac:dyDescent="0.3">
      <c r="A600" s="7" t="s">
        <v>1186</v>
      </c>
      <c r="B600" s="8">
        <v>43471</v>
      </c>
      <c r="C600" s="9" t="s">
        <v>1187</v>
      </c>
      <c r="D600" s="10" t="s">
        <v>179</v>
      </c>
      <c r="E600" s="9">
        <v>4</v>
      </c>
      <c r="F600" s="9" t="str">
        <f>VLOOKUP(C600,[1]customers!$A$1:$I$1001, 2, FALSE)</f>
        <v>Krissie Hammett</v>
      </c>
      <c r="G600" s="9" t="str">
        <f>VLOOKUP(orders!C600,[1]customers!$A$1:$I$1001, 3, FALSE)</f>
        <v>khammettgm@dmoz.org</v>
      </c>
      <c r="H600" s="9" t="str">
        <f>VLOOKUP(C600, [1]customers!$A$1:$I$1001, 7, FALSE)</f>
        <v>United States</v>
      </c>
      <c r="I600" s="11" t="str">
        <f>VLOOKUP(orders!D600,[1]products!$A$1:$G$49, 2,FALSE)</f>
        <v>Rob</v>
      </c>
      <c r="J600" s="11" t="str">
        <f>VLOOKUP(orders!D600,[1]products!$A$1:$G$49, 3,FALSE)</f>
        <v>M</v>
      </c>
      <c r="K600" s="12">
        <f>VLOOKUP(orders!D600,[1]products!$A$1:$G$49, 4,FALSE)</f>
        <v>0.2</v>
      </c>
      <c r="L600" s="12">
        <f>VLOOKUP(orders!D600,[1]products!$A$1:$G$49, 5,FALSE)</f>
        <v>2.9849999999999999</v>
      </c>
      <c r="M600" s="13">
        <f>PRODUCT(orders!$E600,orders!$L600)</f>
        <v>11.94</v>
      </c>
      <c r="N600" s="11" t="str">
        <f t="shared" si="18"/>
        <v>January</v>
      </c>
      <c r="O600" s="11">
        <f t="shared" si="19"/>
        <v>2019</v>
      </c>
      <c r="P600" s="11" t="str">
        <f>TEXT(orders!$B600, "DDD")</f>
        <v>Sun</v>
      </c>
      <c r="Q600" s="11" t="str">
        <f>VLOOKUP(orders!C600,[1]customers!$A$1:$I$1001, 6,FALSE)</f>
        <v>San Francisco</v>
      </c>
    </row>
    <row r="601" spans="1:17" x14ac:dyDescent="0.3">
      <c r="A601" s="14" t="s">
        <v>1188</v>
      </c>
      <c r="B601" s="15">
        <v>44321</v>
      </c>
      <c r="C601" s="16" t="s">
        <v>1189</v>
      </c>
      <c r="D601" s="17" t="s">
        <v>71</v>
      </c>
      <c r="E601" s="16">
        <v>4</v>
      </c>
      <c r="F601" s="9" t="str">
        <f>VLOOKUP(C601,[1]customers!$A$1:$I$1001, 2, FALSE)</f>
        <v>Alisha Hulburt</v>
      </c>
      <c r="G601" s="16" t="str">
        <f>VLOOKUP(orders!C601,[1]customers!$A$1:$I$1001, 3, FALSE)</f>
        <v>ahulburtgn@fda.gov</v>
      </c>
      <c r="H601" s="16" t="str">
        <f>VLOOKUP(C601, [1]customers!$A$1:$I$1001, 7, FALSE)</f>
        <v>United States</v>
      </c>
      <c r="I601" s="18" t="str">
        <f>VLOOKUP(orders!D601,[1]products!$A$1:$G$49, 2,FALSE)</f>
        <v>Ara</v>
      </c>
      <c r="J601" s="18" t="str">
        <f>VLOOKUP(orders!D601,[1]products!$A$1:$G$49, 3,FALSE)</f>
        <v>D</v>
      </c>
      <c r="K601" s="19">
        <f>VLOOKUP(orders!D601,[1]products!$A$1:$G$49, 4,FALSE)</f>
        <v>0.2</v>
      </c>
      <c r="L601" s="19">
        <f>VLOOKUP(orders!D601,[1]products!$A$1:$G$49, 5,FALSE)</f>
        <v>2.9849999999999999</v>
      </c>
      <c r="M601" s="13">
        <f>PRODUCT(orders!$E601,orders!$L601)</f>
        <v>11.94</v>
      </c>
      <c r="N601" s="18" t="str">
        <f t="shared" si="18"/>
        <v>May</v>
      </c>
      <c r="O601" s="18">
        <f t="shared" si="19"/>
        <v>2021</v>
      </c>
      <c r="P601" s="11" t="str">
        <f>TEXT(orders!$B601, "DDD")</f>
        <v>Wed</v>
      </c>
      <c r="Q601" s="11" t="str">
        <f>VLOOKUP(orders!C601,[1]customers!$A$1:$I$1001, 6,FALSE)</f>
        <v>Shreveport</v>
      </c>
    </row>
    <row r="602" spans="1:17" x14ac:dyDescent="0.3">
      <c r="A602" s="7" t="s">
        <v>1190</v>
      </c>
      <c r="B602" s="8">
        <v>44492</v>
      </c>
      <c r="C602" s="9" t="s">
        <v>1191</v>
      </c>
      <c r="D602" s="10" t="s">
        <v>140</v>
      </c>
      <c r="E602" s="9">
        <v>1</v>
      </c>
      <c r="F602" s="9" t="str">
        <f>VLOOKUP(C602,[1]customers!$A$1:$I$1001, 2, FALSE)</f>
        <v>Peyter Lauritzen</v>
      </c>
      <c r="G602" s="9" t="str">
        <f>VLOOKUP(orders!C602,[1]customers!$A$1:$I$1001, 3, FALSE)</f>
        <v>plauritzengo@photobucket.com</v>
      </c>
      <c r="H602" s="9" t="str">
        <f>VLOOKUP(C602, [1]customers!$A$1:$I$1001, 7, FALSE)</f>
        <v>United States</v>
      </c>
      <c r="I602" s="11" t="str">
        <f>VLOOKUP(orders!D602,[1]products!$A$1:$G$49, 2,FALSE)</f>
        <v>Lib</v>
      </c>
      <c r="J602" s="11" t="str">
        <f>VLOOKUP(orders!D602,[1]products!$A$1:$G$49, 3,FALSE)</f>
        <v>D</v>
      </c>
      <c r="K602" s="12">
        <f>VLOOKUP(orders!D602,[1]products!$A$1:$G$49, 4,FALSE)</f>
        <v>0.5</v>
      </c>
      <c r="L602" s="12">
        <f>VLOOKUP(orders!D602,[1]products!$A$1:$G$49, 5,FALSE)</f>
        <v>7.77</v>
      </c>
      <c r="M602" s="13">
        <f>PRODUCT(orders!$E602,orders!$L602)</f>
        <v>7.77</v>
      </c>
      <c r="N602" s="11" t="str">
        <f t="shared" si="18"/>
        <v>October</v>
      </c>
      <c r="O602" s="11">
        <f t="shared" si="19"/>
        <v>2021</v>
      </c>
      <c r="P602" s="11" t="str">
        <f>TEXT(orders!$B602, "DDD")</f>
        <v>Sat</v>
      </c>
      <c r="Q602" s="11" t="str">
        <f>VLOOKUP(orders!C602,[1]customers!$A$1:$I$1001, 6,FALSE)</f>
        <v>Philadelphia</v>
      </c>
    </row>
    <row r="603" spans="1:17" x14ac:dyDescent="0.3">
      <c r="A603" s="14" t="s">
        <v>1192</v>
      </c>
      <c r="B603" s="15">
        <v>43815</v>
      </c>
      <c r="C603" s="16" t="s">
        <v>1193</v>
      </c>
      <c r="D603" s="17" t="s">
        <v>27</v>
      </c>
      <c r="E603" s="16">
        <v>4</v>
      </c>
      <c r="F603" s="9" t="str">
        <f>VLOOKUP(C603,[1]customers!$A$1:$I$1001, 2, FALSE)</f>
        <v>Aurelia Burgwin</v>
      </c>
      <c r="G603" s="16" t="str">
        <f>VLOOKUP(orders!C603,[1]customers!$A$1:$I$1001, 3, FALSE)</f>
        <v>aburgwingp@redcross.org</v>
      </c>
      <c r="H603" s="16" t="str">
        <f>VLOOKUP(C603, [1]customers!$A$1:$I$1001, 7, FALSE)</f>
        <v>United States</v>
      </c>
      <c r="I603" s="18" t="str">
        <f>VLOOKUP(orders!D603,[1]products!$A$1:$G$49, 2,FALSE)</f>
        <v>Rob</v>
      </c>
      <c r="J603" s="18" t="str">
        <f>VLOOKUP(orders!D603,[1]products!$A$1:$G$49, 3,FALSE)</f>
        <v>L</v>
      </c>
      <c r="K603" s="19">
        <f>VLOOKUP(orders!D603,[1]products!$A$1:$G$49, 4,FALSE)</f>
        <v>2.5</v>
      </c>
      <c r="L603" s="19">
        <f>VLOOKUP(orders!D603,[1]products!$A$1:$G$49, 5,FALSE)</f>
        <v>27.484999999999996</v>
      </c>
      <c r="M603" s="13">
        <f>PRODUCT(orders!$E603,orders!$L603)</f>
        <v>109.93999999999998</v>
      </c>
      <c r="N603" s="18" t="str">
        <f t="shared" si="18"/>
        <v>December</v>
      </c>
      <c r="O603" s="18">
        <f t="shared" si="19"/>
        <v>2019</v>
      </c>
      <c r="P603" s="11" t="str">
        <f>TEXT(orders!$B603, "DDD")</f>
        <v>Mon</v>
      </c>
      <c r="Q603" s="11" t="str">
        <f>VLOOKUP(orders!C603,[1]customers!$A$1:$I$1001, 6,FALSE)</f>
        <v>Migrate</v>
      </c>
    </row>
    <row r="604" spans="1:17" x14ac:dyDescent="0.3">
      <c r="A604" s="7" t="s">
        <v>1194</v>
      </c>
      <c r="B604" s="8">
        <v>43603</v>
      </c>
      <c r="C604" s="9" t="s">
        <v>1195</v>
      </c>
      <c r="D604" s="10" t="s">
        <v>271</v>
      </c>
      <c r="E604" s="9">
        <v>5</v>
      </c>
      <c r="F604" s="9" t="str">
        <f>VLOOKUP(C604,[1]customers!$A$1:$I$1001, 2, FALSE)</f>
        <v>Emalee Rolin</v>
      </c>
      <c r="G604" s="9" t="str">
        <f>VLOOKUP(orders!C604,[1]customers!$A$1:$I$1001, 3, FALSE)</f>
        <v>erolingq@google.fr</v>
      </c>
      <c r="H604" s="9" t="str">
        <f>VLOOKUP(C604, [1]customers!$A$1:$I$1001, 7, FALSE)</f>
        <v>United States</v>
      </c>
      <c r="I604" s="11" t="str">
        <f>VLOOKUP(orders!D604,[1]products!$A$1:$G$49, 2,FALSE)</f>
        <v>Exc</v>
      </c>
      <c r="J604" s="11" t="str">
        <f>VLOOKUP(orders!D604,[1]products!$A$1:$G$49, 3,FALSE)</f>
        <v>L</v>
      </c>
      <c r="K604" s="12">
        <f>VLOOKUP(orders!D604,[1]products!$A$1:$G$49, 4,FALSE)</f>
        <v>0.2</v>
      </c>
      <c r="L604" s="12">
        <f>VLOOKUP(orders!D604,[1]products!$A$1:$G$49, 5,FALSE)</f>
        <v>4.4550000000000001</v>
      </c>
      <c r="M604" s="13">
        <f>PRODUCT(orders!$E604,orders!$L604)</f>
        <v>22.274999999999999</v>
      </c>
      <c r="N604" s="11" t="str">
        <f t="shared" si="18"/>
        <v>May</v>
      </c>
      <c r="O604" s="11">
        <f t="shared" si="19"/>
        <v>2019</v>
      </c>
      <c r="P604" s="11" t="str">
        <f>TEXT(orders!$B604, "DDD")</f>
        <v>Sat</v>
      </c>
      <c r="Q604" s="11" t="str">
        <f>VLOOKUP(orders!C604,[1]customers!$A$1:$I$1001, 6,FALSE)</f>
        <v>Toledo</v>
      </c>
    </row>
    <row r="605" spans="1:17" x14ac:dyDescent="0.3">
      <c r="A605" s="14" t="s">
        <v>1196</v>
      </c>
      <c r="B605" s="15">
        <v>43660</v>
      </c>
      <c r="C605" s="16" t="s">
        <v>1197</v>
      </c>
      <c r="D605" s="17" t="s">
        <v>179</v>
      </c>
      <c r="E605" s="16">
        <v>3</v>
      </c>
      <c r="F605" s="9" t="str">
        <f>VLOOKUP(C605,[1]customers!$A$1:$I$1001, 2, FALSE)</f>
        <v>Donavon Fowle</v>
      </c>
      <c r="G605" s="16" t="str">
        <f>VLOOKUP(orders!C605,[1]customers!$A$1:$I$1001, 3, FALSE)</f>
        <v>dfowlegr@epa.gov</v>
      </c>
      <c r="H605" s="16" t="str">
        <f>VLOOKUP(C605, [1]customers!$A$1:$I$1001, 7, FALSE)</f>
        <v>United States</v>
      </c>
      <c r="I605" s="18" t="str">
        <f>VLOOKUP(orders!D605,[1]products!$A$1:$G$49, 2,FALSE)</f>
        <v>Rob</v>
      </c>
      <c r="J605" s="18" t="str">
        <f>VLOOKUP(orders!D605,[1]products!$A$1:$G$49, 3,FALSE)</f>
        <v>M</v>
      </c>
      <c r="K605" s="19">
        <f>VLOOKUP(orders!D605,[1]products!$A$1:$G$49, 4,FALSE)</f>
        <v>0.2</v>
      </c>
      <c r="L605" s="19">
        <f>VLOOKUP(orders!D605,[1]products!$A$1:$G$49, 5,FALSE)</f>
        <v>2.9849999999999999</v>
      </c>
      <c r="M605" s="13">
        <f>PRODUCT(orders!$E605,orders!$L605)</f>
        <v>8.9550000000000001</v>
      </c>
      <c r="N605" s="18" t="str">
        <f t="shared" si="18"/>
        <v>July</v>
      </c>
      <c r="O605" s="18">
        <f t="shared" si="19"/>
        <v>2019</v>
      </c>
      <c r="P605" s="11" t="str">
        <f>TEXT(orders!$B605, "DDD")</f>
        <v>Sun</v>
      </c>
      <c r="Q605" s="11" t="str">
        <f>VLOOKUP(orders!C605,[1]customers!$A$1:$I$1001, 6,FALSE)</f>
        <v>Colorado Springs</v>
      </c>
    </row>
    <row r="606" spans="1:17" x14ac:dyDescent="0.3">
      <c r="A606" s="7" t="s">
        <v>1198</v>
      </c>
      <c r="B606" s="8">
        <v>44148</v>
      </c>
      <c r="C606" s="9" t="s">
        <v>1199</v>
      </c>
      <c r="D606" s="10" t="s">
        <v>126</v>
      </c>
      <c r="E606" s="9">
        <v>4</v>
      </c>
      <c r="F606" s="9" t="str">
        <f>VLOOKUP(C606,[1]customers!$A$1:$I$1001, 2, FALSE)</f>
        <v>Jorge Bettison</v>
      </c>
      <c r="G606" s="9">
        <f>VLOOKUP(orders!C606,[1]customers!$A$1:$I$1001, 3, FALSE)</f>
        <v>0</v>
      </c>
      <c r="H606" s="9" t="str">
        <f>VLOOKUP(C606, [1]customers!$A$1:$I$1001, 7, FALSE)</f>
        <v>Ireland</v>
      </c>
      <c r="I606" s="11" t="str">
        <f>VLOOKUP(orders!D606,[1]products!$A$1:$G$49, 2,FALSE)</f>
        <v>Lib</v>
      </c>
      <c r="J606" s="11" t="str">
        <f>VLOOKUP(orders!D606,[1]products!$A$1:$G$49, 3,FALSE)</f>
        <v>D</v>
      </c>
      <c r="K606" s="12">
        <f>VLOOKUP(orders!D606,[1]products!$A$1:$G$49, 4,FALSE)</f>
        <v>2.5</v>
      </c>
      <c r="L606" s="12">
        <f>VLOOKUP(orders!D606,[1]products!$A$1:$G$49, 5,FALSE)</f>
        <v>29.784999999999997</v>
      </c>
      <c r="M606" s="13">
        <f>PRODUCT(orders!$E606,orders!$L606)</f>
        <v>119.13999999999999</v>
      </c>
      <c r="N606" s="11" t="str">
        <f t="shared" si="18"/>
        <v>November</v>
      </c>
      <c r="O606" s="11">
        <f t="shared" si="19"/>
        <v>2020</v>
      </c>
      <c r="P606" s="11" t="str">
        <f>TEXT(orders!$B606, "DDD")</f>
        <v>Fri</v>
      </c>
      <c r="Q606" s="11" t="str">
        <f>VLOOKUP(orders!C606,[1]customers!$A$1:$I$1001, 6,FALSE)</f>
        <v>Longwood</v>
      </c>
    </row>
    <row r="607" spans="1:17" x14ac:dyDescent="0.3">
      <c r="A607" s="14" t="s">
        <v>1200</v>
      </c>
      <c r="B607" s="15">
        <v>44028</v>
      </c>
      <c r="C607" s="16" t="s">
        <v>1201</v>
      </c>
      <c r="D607" s="17" t="s">
        <v>221</v>
      </c>
      <c r="E607" s="16">
        <v>5</v>
      </c>
      <c r="F607" s="9" t="str">
        <f>VLOOKUP(C607,[1]customers!$A$1:$I$1001, 2, FALSE)</f>
        <v>Wang Powlesland</v>
      </c>
      <c r="G607" s="16" t="str">
        <f>VLOOKUP(orders!C607,[1]customers!$A$1:$I$1001, 3, FALSE)</f>
        <v>wpowleslandgt@soundcloud.com</v>
      </c>
      <c r="H607" s="16" t="str">
        <f>VLOOKUP(C607, [1]customers!$A$1:$I$1001, 7, FALSE)</f>
        <v>United States</v>
      </c>
      <c r="I607" s="18" t="str">
        <f>VLOOKUP(orders!D607,[1]products!$A$1:$G$49, 2,FALSE)</f>
        <v>Ara</v>
      </c>
      <c r="J607" s="18" t="str">
        <f>VLOOKUP(orders!D607,[1]products!$A$1:$G$49, 3,FALSE)</f>
        <v>L</v>
      </c>
      <c r="K607" s="19">
        <f>VLOOKUP(orders!D607,[1]products!$A$1:$G$49, 4,FALSE)</f>
        <v>2.5</v>
      </c>
      <c r="L607" s="19">
        <f>VLOOKUP(orders!D607,[1]products!$A$1:$G$49, 5,FALSE)</f>
        <v>29.784999999999997</v>
      </c>
      <c r="M607" s="13">
        <f>PRODUCT(orders!$E607,orders!$L607)</f>
        <v>148.92499999999998</v>
      </c>
      <c r="N607" s="18" t="str">
        <f t="shared" si="18"/>
        <v>July</v>
      </c>
      <c r="O607" s="18">
        <f t="shared" si="19"/>
        <v>2020</v>
      </c>
      <c r="P607" s="11" t="str">
        <f>TEXT(orders!$B607, "DDD")</f>
        <v>Thu</v>
      </c>
      <c r="Q607" s="11" t="str">
        <f>VLOOKUP(orders!C607,[1]customers!$A$1:$I$1001, 6,FALSE)</f>
        <v>Pittsburgh</v>
      </c>
    </row>
    <row r="608" spans="1:17" x14ac:dyDescent="0.3">
      <c r="A608" s="7" t="s">
        <v>1202</v>
      </c>
      <c r="B608" s="8">
        <v>44138</v>
      </c>
      <c r="C608" s="9" t="s">
        <v>1162</v>
      </c>
      <c r="D608" s="10" t="s">
        <v>121</v>
      </c>
      <c r="E608" s="9">
        <v>3</v>
      </c>
      <c r="F608" s="9" t="str">
        <f>VLOOKUP(C608,[1]customers!$A$1:$I$1001, 2, FALSE)</f>
        <v>Cody Verissimo</v>
      </c>
      <c r="G608" s="9" t="str">
        <f>VLOOKUP(orders!C608,[1]customers!$A$1:$I$1001, 3, FALSE)</f>
        <v>cverissimogh@theglobeandmail.com</v>
      </c>
      <c r="H608" s="9" t="str">
        <f>VLOOKUP(C608, [1]customers!$A$1:$I$1001, 7, FALSE)</f>
        <v>United Kingdom</v>
      </c>
      <c r="I608" s="11" t="str">
        <f>VLOOKUP(orders!D608,[1]products!$A$1:$G$49, 2,FALSE)</f>
        <v>Lib</v>
      </c>
      <c r="J608" s="11" t="str">
        <f>VLOOKUP(orders!D608,[1]products!$A$1:$G$49, 3,FALSE)</f>
        <v>L</v>
      </c>
      <c r="K608" s="12">
        <f>VLOOKUP(orders!D608,[1]products!$A$1:$G$49, 4,FALSE)</f>
        <v>2.5</v>
      </c>
      <c r="L608" s="12">
        <f>VLOOKUP(orders!D608,[1]products!$A$1:$G$49, 5,FALSE)</f>
        <v>36.454999999999998</v>
      </c>
      <c r="M608" s="13">
        <f>PRODUCT(orders!$E608,orders!$L608)</f>
        <v>109.36499999999999</v>
      </c>
      <c r="N608" s="11" t="str">
        <f t="shared" si="18"/>
        <v>November</v>
      </c>
      <c r="O608" s="11">
        <f t="shared" si="19"/>
        <v>2020</v>
      </c>
      <c r="P608" s="11" t="str">
        <f>TEXT(orders!$B608, "DDD")</f>
        <v>Tue</v>
      </c>
      <c r="Q608" s="11" t="str">
        <f>VLOOKUP(orders!C608,[1]customers!$A$1:$I$1001, 6,FALSE)</f>
        <v>Upton</v>
      </c>
    </row>
    <row r="609" spans="1:17" x14ac:dyDescent="0.3">
      <c r="A609" s="14" t="s">
        <v>1203</v>
      </c>
      <c r="B609" s="15">
        <v>44640</v>
      </c>
      <c r="C609" s="16" t="s">
        <v>1204</v>
      </c>
      <c r="D609" s="17" t="s">
        <v>68</v>
      </c>
      <c r="E609" s="16">
        <v>1</v>
      </c>
      <c r="F609" s="9" t="str">
        <f>VLOOKUP(C609,[1]customers!$A$1:$I$1001, 2, FALSE)</f>
        <v>Laurence Ellingham</v>
      </c>
      <c r="G609" s="16" t="str">
        <f>VLOOKUP(orders!C609,[1]customers!$A$1:$I$1001, 3, FALSE)</f>
        <v>lellinghamgv@sciencedaily.com</v>
      </c>
      <c r="H609" s="16" t="str">
        <f>VLOOKUP(C609, [1]customers!$A$1:$I$1001, 7, FALSE)</f>
        <v>United States</v>
      </c>
      <c r="I609" s="18" t="str">
        <f>VLOOKUP(orders!D609,[1]products!$A$1:$G$49, 2,FALSE)</f>
        <v>Exc</v>
      </c>
      <c r="J609" s="18" t="str">
        <f>VLOOKUP(orders!D609,[1]products!$A$1:$G$49, 3,FALSE)</f>
        <v>D</v>
      </c>
      <c r="K609" s="19">
        <f>VLOOKUP(orders!D609,[1]products!$A$1:$G$49, 4,FALSE)</f>
        <v>0.2</v>
      </c>
      <c r="L609" s="19">
        <f>VLOOKUP(orders!D609,[1]products!$A$1:$G$49, 5,FALSE)</f>
        <v>3.645</v>
      </c>
      <c r="M609" s="13">
        <f>PRODUCT(orders!$E609,orders!$L609)</f>
        <v>3.645</v>
      </c>
      <c r="N609" s="18" t="str">
        <f t="shared" si="18"/>
        <v>March</v>
      </c>
      <c r="O609" s="18">
        <f t="shared" si="19"/>
        <v>2022</v>
      </c>
      <c r="P609" s="11" t="str">
        <f>TEXT(orders!$B609, "DDD")</f>
        <v>Sun</v>
      </c>
      <c r="Q609" s="11" t="str">
        <f>VLOOKUP(orders!C609,[1]customers!$A$1:$I$1001, 6,FALSE)</f>
        <v>Shreveport</v>
      </c>
    </row>
    <row r="610" spans="1:17" x14ac:dyDescent="0.3">
      <c r="A610" s="7" t="s">
        <v>1205</v>
      </c>
      <c r="B610" s="8">
        <v>44608</v>
      </c>
      <c r="C610" s="9" t="s">
        <v>1206</v>
      </c>
      <c r="D610" s="10" t="s">
        <v>547</v>
      </c>
      <c r="E610" s="9">
        <v>2</v>
      </c>
      <c r="F610" s="9" t="str">
        <f>VLOOKUP(C610,[1]customers!$A$1:$I$1001, 2, FALSE)</f>
        <v>Billy Neiland</v>
      </c>
      <c r="G610" s="9">
        <f>VLOOKUP(orders!C610,[1]customers!$A$1:$I$1001, 3, FALSE)</f>
        <v>0</v>
      </c>
      <c r="H610" s="9" t="str">
        <f>VLOOKUP(C610, [1]customers!$A$1:$I$1001, 7, FALSE)</f>
        <v>United States</v>
      </c>
      <c r="I610" s="11" t="str">
        <f>VLOOKUP(orders!D610,[1]products!$A$1:$G$49, 2,FALSE)</f>
        <v>Exc</v>
      </c>
      <c r="J610" s="11" t="str">
        <f>VLOOKUP(orders!D610,[1]products!$A$1:$G$49, 3,FALSE)</f>
        <v>D</v>
      </c>
      <c r="K610" s="12">
        <f>VLOOKUP(orders!D610,[1]products!$A$1:$G$49, 4,FALSE)</f>
        <v>2.5</v>
      </c>
      <c r="L610" s="12">
        <f>VLOOKUP(orders!D610,[1]products!$A$1:$G$49, 5,FALSE)</f>
        <v>27.945</v>
      </c>
      <c r="M610" s="13">
        <f>PRODUCT(orders!$E610,orders!$L610)</f>
        <v>55.89</v>
      </c>
      <c r="N610" s="11" t="str">
        <f t="shared" si="18"/>
        <v>February</v>
      </c>
      <c r="O610" s="11">
        <f t="shared" si="19"/>
        <v>2022</v>
      </c>
      <c r="P610" s="11" t="str">
        <f>TEXT(orders!$B610, "DDD")</f>
        <v>Wed</v>
      </c>
      <c r="Q610" s="11" t="str">
        <f>VLOOKUP(orders!C610,[1]customers!$A$1:$I$1001, 6,FALSE)</f>
        <v>Cleveland</v>
      </c>
    </row>
    <row r="611" spans="1:17" x14ac:dyDescent="0.3">
      <c r="A611" s="14" t="s">
        <v>1207</v>
      </c>
      <c r="B611" s="15">
        <v>44147</v>
      </c>
      <c r="C611" s="16" t="s">
        <v>1208</v>
      </c>
      <c r="D611" s="17" t="s">
        <v>94</v>
      </c>
      <c r="E611" s="16">
        <v>6</v>
      </c>
      <c r="F611" s="9" t="str">
        <f>VLOOKUP(C611,[1]customers!$A$1:$I$1001, 2, FALSE)</f>
        <v>Ancell Fendt</v>
      </c>
      <c r="G611" s="16" t="str">
        <f>VLOOKUP(orders!C611,[1]customers!$A$1:$I$1001, 3, FALSE)</f>
        <v>afendtgx@forbes.com</v>
      </c>
      <c r="H611" s="16" t="str">
        <f>VLOOKUP(C611, [1]customers!$A$1:$I$1001, 7, FALSE)</f>
        <v>United States</v>
      </c>
      <c r="I611" s="18" t="str">
        <f>VLOOKUP(orders!D611,[1]products!$A$1:$G$49, 2,FALSE)</f>
        <v>Lib</v>
      </c>
      <c r="J611" s="18" t="str">
        <f>VLOOKUP(orders!D611,[1]products!$A$1:$G$49, 3,FALSE)</f>
        <v>M</v>
      </c>
      <c r="K611" s="19">
        <f>VLOOKUP(orders!D611,[1]products!$A$1:$G$49, 4,FALSE)</f>
        <v>0.2</v>
      </c>
      <c r="L611" s="19">
        <f>VLOOKUP(orders!D611,[1]products!$A$1:$G$49, 5,FALSE)</f>
        <v>4.3650000000000002</v>
      </c>
      <c r="M611" s="13">
        <f>PRODUCT(orders!$E611,orders!$L611)</f>
        <v>26.19</v>
      </c>
      <c r="N611" s="18" t="str">
        <f t="shared" si="18"/>
        <v>November</v>
      </c>
      <c r="O611" s="18">
        <f t="shared" si="19"/>
        <v>2020</v>
      </c>
      <c r="P611" s="11" t="str">
        <f>TEXT(orders!$B611, "DDD")</f>
        <v>Thu</v>
      </c>
      <c r="Q611" s="11" t="str">
        <f>VLOOKUP(orders!C611,[1]customers!$A$1:$I$1001, 6,FALSE)</f>
        <v>Milwaukee</v>
      </c>
    </row>
    <row r="612" spans="1:17" x14ac:dyDescent="0.3">
      <c r="A612" s="7" t="s">
        <v>1209</v>
      </c>
      <c r="B612" s="8">
        <v>43743</v>
      </c>
      <c r="C612" s="9" t="s">
        <v>1210</v>
      </c>
      <c r="D612" s="10" t="s">
        <v>19</v>
      </c>
      <c r="E612" s="9">
        <v>4</v>
      </c>
      <c r="F612" s="9" t="str">
        <f>VLOOKUP(C612,[1]customers!$A$1:$I$1001, 2, FALSE)</f>
        <v>Angelia Cleyburn</v>
      </c>
      <c r="G612" s="9" t="str">
        <f>VLOOKUP(orders!C612,[1]customers!$A$1:$I$1001, 3, FALSE)</f>
        <v>acleyburngy@lycos.com</v>
      </c>
      <c r="H612" s="9" t="str">
        <f>VLOOKUP(C612, [1]customers!$A$1:$I$1001, 7, FALSE)</f>
        <v>United States</v>
      </c>
      <c r="I612" s="11" t="str">
        <f>VLOOKUP(orders!D612,[1]products!$A$1:$G$49, 2,FALSE)</f>
        <v>Rob</v>
      </c>
      <c r="J612" s="11" t="str">
        <f>VLOOKUP(orders!D612,[1]products!$A$1:$G$49, 3,FALSE)</f>
        <v>M</v>
      </c>
      <c r="K612" s="12">
        <f>VLOOKUP(orders!D612,[1]products!$A$1:$G$49, 4,FALSE)</f>
        <v>1</v>
      </c>
      <c r="L612" s="12">
        <f>VLOOKUP(orders!D612,[1]products!$A$1:$G$49, 5,FALSE)</f>
        <v>9.9499999999999993</v>
      </c>
      <c r="M612" s="13">
        <f>PRODUCT(orders!$E612,orders!$L612)</f>
        <v>39.799999999999997</v>
      </c>
      <c r="N612" s="11" t="str">
        <f t="shared" si="18"/>
        <v>October</v>
      </c>
      <c r="O612" s="11">
        <f t="shared" si="19"/>
        <v>2019</v>
      </c>
      <c r="P612" s="11" t="str">
        <f>TEXT(orders!$B612, "DDD")</f>
        <v>Sat</v>
      </c>
      <c r="Q612" s="11" t="str">
        <f>VLOOKUP(orders!C612,[1]customers!$A$1:$I$1001, 6,FALSE)</f>
        <v>Fort Lauderdale</v>
      </c>
    </row>
    <row r="613" spans="1:17" x14ac:dyDescent="0.3">
      <c r="A613" s="14" t="s">
        <v>1211</v>
      </c>
      <c r="B613" s="15">
        <v>43739</v>
      </c>
      <c r="C613" s="16" t="s">
        <v>1212</v>
      </c>
      <c r="D613" s="17" t="s">
        <v>47</v>
      </c>
      <c r="E613" s="16">
        <v>2</v>
      </c>
      <c r="F613" s="9" t="str">
        <f>VLOOKUP(C613,[1]customers!$A$1:$I$1001, 2, FALSE)</f>
        <v>Temple Castiglione</v>
      </c>
      <c r="G613" s="16" t="str">
        <f>VLOOKUP(orders!C613,[1]customers!$A$1:$I$1001, 3, FALSE)</f>
        <v>tcastiglionegz@xing.com</v>
      </c>
      <c r="H613" s="16" t="str">
        <f>VLOOKUP(C613, [1]customers!$A$1:$I$1001, 7, FALSE)</f>
        <v>United States</v>
      </c>
      <c r="I613" s="18" t="str">
        <f>VLOOKUP(orders!D613,[1]products!$A$1:$G$49, 2,FALSE)</f>
        <v>Exc</v>
      </c>
      <c r="J613" s="18" t="str">
        <f>VLOOKUP(orders!D613,[1]products!$A$1:$G$49, 3,FALSE)</f>
        <v>L</v>
      </c>
      <c r="K613" s="19">
        <f>VLOOKUP(orders!D613,[1]products!$A$1:$G$49, 4,FALSE)</f>
        <v>2.5</v>
      </c>
      <c r="L613" s="19">
        <f>VLOOKUP(orders!D613,[1]products!$A$1:$G$49, 5,FALSE)</f>
        <v>34.154999999999994</v>
      </c>
      <c r="M613" s="13">
        <f>PRODUCT(orders!$E613,orders!$L613)</f>
        <v>68.309999999999988</v>
      </c>
      <c r="N613" s="18" t="str">
        <f t="shared" si="18"/>
        <v>October</v>
      </c>
      <c r="O613" s="18">
        <f t="shared" si="19"/>
        <v>2019</v>
      </c>
      <c r="P613" s="11" t="str">
        <f>TEXT(orders!$B613, "DDD")</f>
        <v>Tue</v>
      </c>
      <c r="Q613" s="11" t="str">
        <f>VLOOKUP(orders!C613,[1]customers!$A$1:$I$1001, 6,FALSE)</f>
        <v>Shreveport</v>
      </c>
    </row>
    <row r="614" spans="1:17" x14ac:dyDescent="0.3">
      <c r="A614" s="7" t="s">
        <v>1213</v>
      </c>
      <c r="B614" s="8">
        <v>43896</v>
      </c>
      <c r="C614" s="9" t="s">
        <v>1214</v>
      </c>
      <c r="D614" s="10" t="s">
        <v>61</v>
      </c>
      <c r="E614" s="9">
        <v>4</v>
      </c>
      <c r="F614" s="9" t="str">
        <f>VLOOKUP(C614,[1]customers!$A$1:$I$1001, 2, FALSE)</f>
        <v>Betti Lacasa</v>
      </c>
      <c r="G614" s="9">
        <f>VLOOKUP(orders!C614,[1]customers!$A$1:$I$1001, 3, FALSE)</f>
        <v>0</v>
      </c>
      <c r="H614" s="9" t="str">
        <f>VLOOKUP(C614, [1]customers!$A$1:$I$1001, 7, FALSE)</f>
        <v>Ireland</v>
      </c>
      <c r="I614" s="11" t="str">
        <f>VLOOKUP(orders!D614,[1]products!$A$1:$G$49, 2,FALSE)</f>
        <v>Ara</v>
      </c>
      <c r="J614" s="11" t="str">
        <f>VLOOKUP(orders!D614,[1]products!$A$1:$G$49, 3,FALSE)</f>
        <v>M</v>
      </c>
      <c r="K614" s="12">
        <f>VLOOKUP(orders!D614,[1]products!$A$1:$G$49, 4,FALSE)</f>
        <v>0.2</v>
      </c>
      <c r="L614" s="12">
        <f>VLOOKUP(orders!D614,[1]products!$A$1:$G$49, 5,FALSE)</f>
        <v>3.375</v>
      </c>
      <c r="M614" s="13">
        <f>PRODUCT(orders!$E614,orders!$L614)</f>
        <v>13.5</v>
      </c>
      <c r="N614" s="11" t="str">
        <f t="shared" si="18"/>
        <v>March</v>
      </c>
      <c r="O614" s="11">
        <f t="shared" si="19"/>
        <v>2020</v>
      </c>
      <c r="P614" s="11" t="str">
        <f>TEXT(orders!$B614, "DDD")</f>
        <v>Fri</v>
      </c>
      <c r="Q614" s="11" t="str">
        <f>VLOOKUP(orders!C614,[1]customers!$A$1:$I$1001, 6,FALSE)</f>
        <v>Beaumont</v>
      </c>
    </row>
    <row r="615" spans="1:17" x14ac:dyDescent="0.3">
      <c r="A615" s="14" t="s">
        <v>1215</v>
      </c>
      <c r="B615" s="15">
        <v>43761</v>
      </c>
      <c r="C615" s="16" t="s">
        <v>1216</v>
      </c>
      <c r="D615" s="17" t="s">
        <v>39</v>
      </c>
      <c r="E615" s="16">
        <v>1</v>
      </c>
      <c r="F615" s="9" t="str">
        <f>VLOOKUP(C615,[1]customers!$A$1:$I$1001, 2, FALSE)</f>
        <v>Gunilla Lynch</v>
      </c>
      <c r="G615" s="16">
        <f>VLOOKUP(orders!C615,[1]customers!$A$1:$I$1001, 3, FALSE)</f>
        <v>0</v>
      </c>
      <c r="H615" s="16" t="str">
        <f>VLOOKUP(C615, [1]customers!$A$1:$I$1001, 7, FALSE)</f>
        <v>United States</v>
      </c>
      <c r="I615" s="18" t="str">
        <f>VLOOKUP(orders!D615,[1]products!$A$1:$G$49, 2,FALSE)</f>
        <v>Rob</v>
      </c>
      <c r="J615" s="18" t="str">
        <f>VLOOKUP(orders!D615,[1]products!$A$1:$G$49, 3,FALSE)</f>
        <v>M</v>
      </c>
      <c r="K615" s="19">
        <f>VLOOKUP(orders!D615,[1]products!$A$1:$G$49, 4,FALSE)</f>
        <v>0.5</v>
      </c>
      <c r="L615" s="19">
        <f>VLOOKUP(orders!D615,[1]products!$A$1:$G$49, 5,FALSE)</f>
        <v>5.97</v>
      </c>
      <c r="M615" s="13">
        <f>PRODUCT(orders!$E615,orders!$L615)</f>
        <v>5.97</v>
      </c>
      <c r="N615" s="18" t="str">
        <f t="shared" si="18"/>
        <v>October</v>
      </c>
      <c r="O615" s="18">
        <f t="shared" si="19"/>
        <v>2019</v>
      </c>
      <c r="P615" s="11" t="str">
        <f>TEXT(orders!$B615, "DDD")</f>
        <v>Wed</v>
      </c>
      <c r="Q615" s="11" t="str">
        <f>VLOOKUP(orders!C615,[1]customers!$A$1:$I$1001, 6,FALSE)</f>
        <v>Sacramento</v>
      </c>
    </row>
    <row r="616" spans="1:17" x14ac:dyDescent="0.3">
      <c r="A616" s="7" t="s">
        <v>1217</v>
      </c>
      <c r="B616" s="8">
        <v>43944</v>
      </c>
      <c r="C616" s="9" t="s">
        <v>1162</v>
      </c>
      <c r="D616" s="10" t="s">
        <v>39</v>
      </c>
      <c r="E616" s="9">
        <v>5</v>
      </c>
      <c r="F616" s="9" t="str">
        <f>VLOOKUP(C616,[1]customers!$A$1:$I$1001, 2, FALSE)</f>
        <v>Cody Verissimo</v>
      </c>
      <c r="G616" s="9" t="str">
        <f>VLOOKUP(orders!C616,[1]customers!$A$1:$I$1001, 3, FALSE)</f>
        <v>cverissimogh@theglobeandmail.com</v>
      </c>
      <c r="H616" s="9" t="str">
        <f>VLOOKUP(C616, [1]customers!$A$1:$I$1001, 7, FALSE)</f>
        <v>United Kingdom</v>
      </c>
      <c r="I616" s="11" t="str">
        <f>VLOOKUP(orders!D616,[1]products!$A$1:$G$49, 2,FALSE)</f>
        <v>Rob</v>
      </c>
      <c r="J616" s="11" t="str">
        <f>VLOOKUP(orders!D616,[1]products!$A$1:$G$49, 3,FALSE)</f>
        <v>M</v>
      </c>
      <c r="K616" s="12">
        <f>VLOOKUP(orders!D616,[1]products!$A$1:$G$49, 4,FALSE)</f>
        <v>0.5</v>
      </c>
      <c r="L616" s="12">
        <f>VLOOKUP(orders!D616,[1]products!$A$1:$G$49, 5,FALSE)</f>
        <v>5.97</v>
      </c>
      <c r="M616" s="13">
        <f>PRODUCT(orders!$E616,orders!$L616)</f>
        <v>29.849999999999998</v>
      </c>
      <c r="N616" s="11" t="str">
        <f t="shared" si="18"/>
        <v>April</v>
      </c>
      <c r="O616" s="11">
        <f t="shared" si="19"/>
        <v>2020</v>
      </c>
      <c r="P616" s="11" t="str">
        <f>TEXT(orders!$B616, "DDD")</f>
        <v>Thu</v>
      </c>
      <c r="Q616" s="11" t="str">
        <f>VLOOKUP(orders!C616,[1]customers!$A$1:$I$1001, 6,FALSE)</f>
        <v>Upton</v>
      </c>
    </row>
    <row r="617" spans="1:17" x14ac:dyDescent="0.3">
      <c r="A617" s="14" t="s">
        <v>1218</v>
      </c>
      <c r="B617" s="15">
        <v>44006</v>
      </c>
      <c r="C617" s="16" t="s">
        <v>1219</v>
      </c>
      <c r="D617" s="17" t="s">
        <v>121</v>
      </c>
      <c r="E617" s="16">
        <v>2</v>
      </c>
      <c r="F617" s="9" t="str">
        <f>VLOOKUP(C617,[1]customers!$A$1:$I$1001, 2, FALSE)</f>
        <v>Shay Couronne</v>
      </c>
      <c r="G617" s="16" t="str">
        <f>VLOOKUP(orders!C617,[1]customers!$A$1:$I$1001, 3, FALSE)</f>
        <v>scouronneh3@mozilla.org</v>
      </c>
      <c r="H617" s="16" t="str">
        <f>VLOOKUP(C617, [1]customers!$A$1:$I$1001, 7, FALSE)</f>
        <v>United States</v>
      </c>
      <c r="I617" s="18" t="str">
        <f>VLOOKUP(orders!D617,[1]products!$A$1:$G$49, 2,FALSE)</f>
        <v>Lib</v>
      </c>
      <c r="J617" s="18" t="str">
        <f>VLOOKUP(orders!D617,[1]products!$A$1:$G$49, 3,FALSE)</f>
        <v>L</v>
      </c>
      <c r="K617" s="19">
        <f>VLOOKUP(orders!D617,[1]products!$A$1:$G$49, 4,FALSE)</f>
        <v>2.5</v>
      </c>
      <c r="L617" s="19">
        <f>VLOOKUP(orders!D617,[1]products!$A$1:$G$49, 5,FALSE)</f>
        <v>36.454999999999998</v>
      </c>
      <c r="M617" s="13">
        <f>PRODUCT(orders!$E617,orders!$L617)</f>
        <v>72.91</v>
      </c>
      <c r="N617" s="18" t="str">
        <f t="shared" si="18"/>
        <v>June</v>
      </c>
      <c r="O617" s="18">
        <f t="shared" si="19"/>
        <v>2020</v>
      </c>
      <c r="P617" s="11" t="str">
        <f>TEXT(orders!$B617, "DDD")</f>
        <v>Wed</v>
      </c>
      <c r="Q617" s="11" t="str">
        <f>VLOOKUP(orders!C617,[1]customers!$A$1:$I$1001, 6,FALSE)</f>
        <v>Fargo</v>
      </c>
    </row>
    <row r="618" spans="1:17" x14ac:dyDescent="0.3">
      <c r="A618" s="7" t="s">
        <v>1220</v>
      </c>
      <c r="B618" s="8">
        <v>44271</v>
      </c>
      <c r="C618" s="9" t="s">
        <v>1221</v>
      </c>
      <c r="D618" s="10" t="s">
        <v>129</v>
      </c>
      <c r="E618" s="9">
        <v>4</v>
      </c>
      <c r="F618" s="9" t="str">
        <f>VLOOKUP(C618,[1]customers!$A$1:$I$1001, 2, FALSE)</f>
        <v>Linus Flippelli</v>
      </c>
      <c r="G618" s="9" t="str">
        <f>VLOOKUP(orders!C618,[1]customers!$A$1:$I$1001, 3, FALSE)</f>
        <v>lflippellih4@github.io</v>
      </c>
      <c r="H618" s="9" t="str">
        <f>VLOOKUP(C618, [1]customers!$A$1:$I$1001, 7, FALSE)</f>
        <v>United Kingdom</v>
      </c>
      <c r="I618" s="11" t="str">
        <f>VLOOKUP(orders!D618,[1]products!$A$1:$G$49, 2,FALSE)</f>
        <v>Exc</v>
      </c>
      <c r="J618" s="11" t="str">
        <f>VLOOKUP(orders!D618,[1]products!$A$1:$G$49, 3,FALSE)</f>
        <v>M</v>
      </c>
      <c r="K618" s="12">
        <f>VLOOKUP(orders!D618,[1]products!$A$1:$G$49, 4,FALSE)</f>
        <v>2.5</v>
      </c>
      <c r="L618" s="12">
        <f>VLOOKUP(orders!D618,[1]products!$A$1:$G$49, 5,FALSE)</f>
        <v>31.624999999999996</v>
      </c>
      <c r="M618" s="13">
        <f>PRODUCT(orders!$E618,orders!$L618)</f>
        <v>126.49999999999999</v>
      </c>
      <c r="N618" s="11" t="str">
        <f t="shared" si="18"/>
        <v>March</v>
      </c>
      <c r="O618" s="11">
        <f t="shared" si="19"/>
        <v>2021</v>
      </c>
      <c r="P618" s="11" t="str">
        <f>TEXT(orders!$B618, "DDD")</f>
        <v>Tue</v>
      </c>
      <c r="Q618" s="11" t="str">
        <f>VLOOKUP(orders!C618,[1]customers!$A$1:$I$1001, 6,FALSE)</f>
        <v>Middleton</v>
      </c>
    </row>
    <row r="619" spans="1:17" x14ac:dyDescent="0.3">
      <c r="A619" s="14" t="s">
        <v>1222</v>
      </c>
      <c r="B619" s="15">
        <v>43928</v>
      </c>
      <c r="C619" s="16" t="s">
        <v>1223</v>
      </c>
      <c r="D619" s="17" t="s">
        <v>214</v>
      </c>
      <c r="E619" s="16">
        <v>1</v>
      </c>
      <c r="F619" s="9" t="str">
        <f>VLOOKUP(C619,[1]customers!$A$1:$I$1001, 2, FALSE)</f>
        <v>Rachelle Elizabeth</v>
      </c>
      <c r="G619" s="16" t="str">
        <f>VLOOKUP(orders!C619,[1]customers!$A$1:$I$1001, 3, FALSE)</f>
        <v>relizabethh5@live.com</v>
      </c>
      <c r="H619" s="16" t="str">
        <f>VLOOKUP(C619, [1]customers!$A$1:$I$1001, 7, FALSE)</f>
        <v>United States</v>
      </c>
      <c r="I619" s="18" t="str">
        <f>VLOOKUP(orders!D619,[1]products!$A$1:$G$49, 2,FALSE)</f>
        <v>Lib</v>
      </c>
      <c r="J619" s="18" t="str">
        <f>VLOOKUP(orders!D619,[1]products!$A$1:$G$49, 3,FALSE)</f>
        <v>M</v>
      </c>
      <c r="K619" s="19">
        <f>VLOOKUP(orders!D619,[1]products!$A$1:$G$49, 4,FALSE)</f>
        <v>2.5</v>
      </c>
      <c r="L619" s="19">
        <f>VLOOKUP(orders!D619,[1]products!$A$1:$G$49, 5,FALSE)</f>
        <v>33.464999999999996</v>
      </c>
      <c r="M619" s="13">
        <f>PRODUCT(orders!$E619,orders!$L619)</f>
        <v>33.464999999999996</v>
      </c>
      <c r="N619" s="18" t="str">
        <f t="shared" si="18"/>
        <v>April</v>
      </c>
      <c r="O619" s="18">
        <f t="shared" si="19"/>
        <v>2020</v>
      </c>
      <c r="P619" s="11" t="str">
        <f>TEXT(orders!$B619, "DDD")</f>
        <v>Tue</v>
      </c>
      <c r="Q619" s="11" t="str">
        <f>VLOOKUP(orders!C619,[1]customers!$A$1:$I$1001, 6,FALSE)</f>
        <v>Tulsa</v>
      </c>
    </row>
    <row r="620" spans="1:17" x14ac:dyDescent="0.3">
      <c r="A620" s="7" t="s">
        <v>1224</v>
      </c>
      <c r="B620" s="8">
        <v>44469</v>
      </c>
      <c r="C620" s="9" t="s">
        <v>1225</v>
      </c>
      <c r="D620" s="10" t="s">
        <v>262</v>
      </c>
      <c r="E620" s="9">
        <v>6</v>
      </c>
      <c r="F620" s="9" t="str">
        <f>VLOOKUP(C620,[1]customers!$A$1:$I$1001, 2, FALSE)</f>
        <v>Innis Renhard</v>
      </c>
      <c r="G620" s="9" t="str">
        <f>VLOOKUP(orders!C620,[1]customers!$A$1:$I$1001, 3, FALSE)</f>
        <v>irenhardh6@i2i.jp</v>
      </c>
      <c r="H620" s="9" t="str">
        <f>VLOOKUP(C620, [1]customers!$A$1:$I$1001, 7, FALSE)</f>
        <v>United States</v>
      </c>
      <c r="I620" s="11" t="str">
        <f>VLOOKUP(orders!D620,[1]products!$A$1:$G$49, 2,FALSE)</f>
        <v>Exc</v>
      </c>
      <c r="J620" s="11" t="str">
        <f>VLOOKUP(orders!D620,[1]products!$A$1:$G$49, 3,FALSE)</f>
        <v>D</v>
      </c>
      <c r="K620" s="12">
        <f>VLOOKUP(orders!D620,[1]products!$A$1:$G$49, 4,FALSE)</f>
        <v>1</v>
      </c>
      <c r="L620" s="12">
        <f>VLOOKUP(orders!D620,[1]products!$A$1:$G$49, 5,FALSE)</f>
        <v>12.15</v>
      </c>
      <c r="M620" s="13">
        <f>PRODUCT(orders!$E620,orders!$L620)</f>
        <v>72.900000000000006</v>
      </c>
      <c r="N620" s="11" t="str">
        <f t="shared" si="18"/>
        <v>September</v>
      </c>
      <c r="O620" s="11">
        <f t="shared" si="19"/>
        <v>2021</v>
      </c>
      <c r="P620" s="11" t="str">
        <f>TEXT(orders!$B620, "DDD")</f>
        <v>Thu</v>
      </c>
      <c r="Q620" s="11" t="str">
        <f>VLOOKUP(orders!C620,[1]customers!$A$1:$I$1001, 6,FALSE)</f>
        <v>New York City</v>
      </c>
    </row>
    <row r="621" spans="1:17" x14ac:dyDescent="0.3">
      <c r="A621" s="14" t="s">
        <v>1226</v>
      </c>
      <c r="B621" s="15">
        <v>44682</v>
      </c>
      <c r="C621" s="16" t="s">
        <v>1227</v>
      </c>
      <c r="D621" s="17" t="s">
        <v>140</v>
      </c>
      <c r="E621" s="16">
        <v>2</v>
      </c>
      <c r="F621" s="9" t="str">
        <f>VLOOKUP(C621,[1]customers!$A$1:$I$1001, 2, FALSE)</f>
        <v>Winne Roche</v>
      </c>
      <c r="G621" s="16" t="str">
        <f>VLOOKUP(orders!C621,[1]customers!$A$1:$I$1001, 3, FALSE)</f>
        <v>wrocheh7@xinhuanet.com</v>
      </c>
      <c r="H621" s="16" t="str">
        <f>VLOOKUP(C621, [1]customers!$A$1:$I$1001, 7, FALSE)</f>
        <v>United States</v>
      </c>
      <c r="I621" s="18" t="str">
        <f>VLOOKUP(orders!D621,[1]products!$A$1:$G$49, 2,FALSE)</f>
        <v>Lib</v>
      </c>
      <c r="J621" s="18" t="str">
        <f>VLOOKUP(orders!D621,[1]products!$A$1:$G$49, 3,FALSE)</f>
        <v>D</v>
      </c>
      <c r="K621" s="19">
        <f>VLOOKUP(orders!D621,[1]products!$A$1:$G$49, 4,FALSE)</f>
        <v>0.5</v>
      </c>
      <c r="L621" s="19">
        <f>VLOOKUP(orders!D621,[1]products!$A$1:$G$49, 5,FALSE)</f>
        <v>7.77</v>
      </c>
      <c r="M621" s="13">
        <f>PRODUCT(orders!$E621,orders!$L621)</f>
        <v>15.54</v>
      </c>
      <c r="N621" s="18" t="str">
        <f t="shared" si="18"/>
        <v>May</v>
      </c>
      <c r="O621" s="18">
        <f t="shared" si="19"/>
        <v>2022</v>
      </c>
      <c r="P621" s="11" t="str">
        <f>TEXT(orders!$B621, "DDD")</f>
        <v>Sun</v>
      </c>
      <c r="Q621" s="11" t="str">
        <f>VLOOKUP(orders!C621,[1]customers!$A$1:$I$1001, 6,FALSE)</f>
        <v>Seminole</v>
      </c>
    </row>
    <row r="622" spans="1:17" x14ac:dyDescent="0.3">
      <c r="A622" s="7" t="s">
        <v>1228</v>
      </c>
      <c r="B622" s="8">
        <v>44217</v>
      </c>
      <c r="C622" s="9" t="s">
        <v>1229</v>
      </c>
      <c r="D622" s="10" t="s">
        <v>61</v>
      </c>
      <c r="E622" s="9">
        <v>6</v>
      </c>
      <c r="F622" s="9" t="str">
        <f>VLOOKUP(C622,[1]customers!$A$1:$I$1001, 2, FALSE)</f>
        <v>Linn Alaway</v>
      </c>
      <c r="G622" s="9" t="str">
        <f>VLOOKUP(orders!C622,[1]customers!$A$1:$I$1001, 3, FALSE)</f>
        <v>lalawayhh@weather.com</v>
      </c>
      <c r="H622" s="9" t="str">
        <f>VLOOKUP(C622, [1]customers!$A$1:$I$1001, 7, FALSE)</f>
        <v>United States</v>
      </c>
      <c r="I622" s="11" t="str">
        <f>VLOOKUP(orders!D622,[1]products!$A$1:$G$49, 2,FALSE)</f>
        <v>Ara</v>
      </c>
      <c r="J622" s="11" t="str">
        <f>VLOOKUP(orders!D622,[1]products!$A$1:$G$49, 3,FALSE)</f>
        <v>M</v>
      </c>
      <c r="K622" s="12">
        <f>VLOOKUP(orders!D622,[1]products!$A$1:$G$49, 4,FALSE)</f>
        <v>0.2</v>
      </c>
      <c r="L622" s="12">
        <f>VLOOKUP(orders!D622,[1]products!$A$1:$G$49, 5,FALSE)</f>
        <v>3.375</v>
      </c>
      <c r="M622" s="13">
        <f>PRODUCT(orders!$E622,orders!$L622)</f>
        <v>20.25</v>
      </c>
      <c r="N622" s="11" t="str">
        <f t="shared" si="18"/>
        <v>January</v>
      </c>
      <c r="O622" s="11">
        <f t="shared" si="19"/>
        <v>2021</v>
      </c>
      <c r="P622" s="11" t="str">
        <f>TEXT(orders!$B622, "DDD")</f>
        <v>Thu</v>
      </c>
      <c r="Q622" s="11" t="str">
        <f>VLOOKUP(orders!C622,[1]customers!$A$1:$I$1001, 6,FALSE)</f>
        <v>Fort Lauderdale</v>
      </c>
    </row>
    <row r="623" spans="1:17" x14ac:dyDescent="0.3">
      <c r="A623" s="14" t="s">
        <v>1230</v>
      </c>
      <c r="B623" s="15">
        <v>44006</v>
      </c>
      <c r="C623" s="16" t="s">
        <v>1231</v>
      </c>
      <c r="D623" s="17" t="s">
        <v>23</v>
      </c>
      <c r="E623" s="16">
        <v>6</v>
      </c>
      <c r="F623" s="9" t="str">
        <f>VLOOKUP(C623,[1]customers!$A$1:$I$1001, 2, FALSE)</f>
        <v>Cordy Odgaard</v>
      </c>
      <c r="G623" s="16" t="str">
        <f>VLOOKUP(orders!C623,[1]customers!$A$1:$I$1001, 3, FALSE)</f>
        <v>codgaardh9@nsw.gov.au</v>
      </c>
      <c r="H623" s="16" t="str">
        <f>VLOOKUP(C623, [1]customers!$A$1:$I$1001, 7, FALSE)</f>
        <v>United States</v>
      </c>
      <c r="I623" s="18" t="str">
        <f>VLOOKUP(orders!D623,[1]products!$A$1:$G$49, 2,FALSE)</f>
        <v>Ara</v>
      </c>
      <c r="J623" s="18" t="str">
        <f>VLOOKUP(orders!D623,[1]products!$A$1:$G$49, 3,FALSE)</f>
        <v>L</v>
      </c>
      <c r="K623" s="19">
        <f>VLOOKUP(orders!D623,[1]products!$A$1:$G$49, 4,FALSE)</f>
        <v>1</v>
      </c>
      <c r="L623" s="19">
        <f>VLOOKUP(orders!D623,[1]products!$A$1:$G$49, 5,FALSE)</f>
        <v>12.95</v>
      </c>
      <c r="M623" s="13">
        <f>PRODUCT(orders!$E623,orders!$L623)</f>
        <v>77.699999999999989</v>
      </c>
      <c r="N623" s="18" t="str">
        <f t="shared" si="18"/>
        <v>June</v>
      </c>
      <c r="O623" s="18">
        <f t="shared" si="19"/>
        <v>2020</v>
      </c>
      <c r="P623" s="11" t="str">
        <f>TEXT(orders!$B623, "DDD")</f>
        <v>Wed</v>
      </c>
      <c r="Q623" s="11" t="str">
        <f>VLOOKUP(orders!C623,[1]customers!$A$1:$I$1001, 6,FALSE)</f>
        <v>Portland</v>
      </c>
    </row>
    <row r="624" spans="1:17" x14ac:dyDescent="0.3">
      <c r="A624" s="7" t="s">
        <v>1232</v>
      </c>
      <c r="B624" s="8">
        <v>43527</v>
      </c>
      <c r="C624" s="9" t="s">
        <v>1233</v>
      </c>
      <c r="D624" s="10" t="s">
        <v>214</v>
      </c>
      <c r="E624" s="9">
        <v>4</v>
      </c>
      <c r="F624" s="9" t="str">
        <f>VLOOKUP(C624,[1]customers!$A$1:$I$1001, 2, FALSE)</f>
        <v>Bertine Byrd</v>
      </c>
      <c r="G624" s="9" t="str">
        <f>VLOOKUP(orders!C624,[1]customers!$A$1:$I$1001, 3, FALSE)</f>
        <v>bbyrdha@4shared.com</v>
      </c>
      <c r="H624" s="9" t="str">
        <f>VLOOKUP(C624, [1]customers!$A$1:$I$1001, 7, FALSE)</f>
        <v>United States</v>
      </c>
      <c r="I624" s="11" t="str">
        <f>VLOOKUP(orders!D624,[1]products!$A$1:$G$49, 2,FALSE)</f>
        <v>Lib</v>
      </c>
      <c r="J624" s="11" t="str">
        <f>VLOOKUP(orders!D624,[1]products!$A$1:$G$49, 3,FALSE)</f>
        <v>M</v>
      </c>
      <c r="K624" s="12">
        <f>VLOOKUP(orders!D624,[1]products!$A$1:$G$49, 4,FALSE)</f>
        <v>2.5</v>
      </c>
      <c r="L624" s="12">
        <f>VLOOKUP(orders!D624,[1]products!$A$1:$G$49, 5,FALSE)</f>
        <v>33.464999999999996</v>
      </c>
      <c r="M624" s="13">
        <f>PRODUCT(orders!$E624,orders!$L624)</f>
        <v>133.85999999999999</v>
      </c>
      <c r="N624" s="11" t="str">
        <f t="shared" si="18"/>
        <v>March</v>
      </c>
      <c r="O624" s="11">
        <f t="shared" si="19"/>
        <v>2019</v>
      </c>
      <c r="P624" s="11" t="str">
        <f>TEXT(orders!$B624, "DDD")</f>
        <v>Sun</v>
      </c>
      <c r="Q624" s="11" t="str">
        <f>VLOOKUP(orders!C624,[1]customers!$A$1:$I$1001, 6,FALSE)</f>
        <v>Las Vegas</v>
      </c>
    </row>
    <row r="625" spans="1:17" x14ac:dyDescent="0.3">
      <c r="A625" s="14" t="s">
        <v>1234</v>
      </c>
      <c r="B625" s="15">
        <v>44224</v>
      </c>
      <c r="C625" s="16" t="s">
        <v>1235</v>
      </c>
      <c r="D625" s="17" t="s">
        <v>262</v>
      </c>
      <c r="E625" s="16">
        <v>1</v>
      </c>
      <c r="F625" s="9" t="str">
        <f>VLOOKUP(C625,[1]customers!$A$1:$I$1001, 2, FALSE)</f>
        <v>Nelie Garnson</v>
      </c>
      <c r="G625" s="16">
        <f>VLOOKUP(orders!C625,[1]customers!$A$1:$I$1001, 3, FALSE)</f>
        <v>0</v>
      </c>
      <c r="H625" s="16" t="str">
        <f>VLOOKUP(C625, [1]customers!$A$1:$I$1001, 7, FALSE)</f>
        <v>United Kingdom</v>
      </c>
      <c r="I625" s="18" t="str">
        <f>VLOOKUP(orders!D625,[1]products!$A$1:$G$49, 2,FALSE)</f>
        <v>Exc</v>
      </c>
      <c r="J625" s="18" t="str">
        <f>VLOOKUP(orders!D625,[1]products!$A$1:$G$49, 3,FALSE)</f>
        <v>D</v>
      </c>
      <c r="K625" s="19">
        <f>VLOOKUP(orders!D625,[1]products!$A$1:$G$49, 4,FALSE)</f>
        <v>1</v>
      </c>
      <c r="L625" s="19">
        <f>VLOOKUP(orders!D625,[1]products!$A$1:$G$49, 5,FALSE)</f>
        <v>12.15</v>
      </c>
      <c r="M625" s="13">
        <f>PRODUCT(orders!$E625,orders!$L625)</f>
        <v>12.15</v>
      </c>
      <c r="N625" s="18" t="str">
        <f t="shared" si="18"/>
        <v>January</v>
      </c>
      <c r="O625" s="18">
        <f t="shared" si="19"/>
        <v>2021</v>
      </c>
      <c r="P625" s="11" t="str">
        <f>TEXT(orders!$B625, "DDD")</f>
        <v>Thu</v>
      </c>
      <c r="Q625" s="11" t="str">
        <f>VLOOKUP(orders!C625,[1]customers!$A$1:$I$1001, 6,FALSE)</f>
        <v>Merton</v>
      </c>
    </row>
    <row r="626" spans="1:17" x14ac:dyDescent="0.3">
      <c r="A626" s="7" t="s">
        <v>1236</v>
      </c>
      <c r="B626" s="8">
        <v>44010</v>
      </c>
      <c r="C626" s="9" t="s">
        <v>1237</v>
      </c>
      <c r="D626" s="10" t="s">
        <v>129</v>
      </c>
      <c r="E626" s="9">
        <v>2</v>
      </c>
      <c r="F626" s="9" t="str">
        <f>VLOOKUP(C626,[1]customers!$A$1:$I$1001, 2, FALSE)</f>
        <v>Dianne Chardin</v>
      </c>
      <c r="G626" s="9" t="str">
        <f>VLOOKUP(orders!C626,[1]customers!$A$1:$I$1001, 3, FALSE)</f>
        <v>dchardinhc@nhs.uk</v>
      </c>
      <c r="H626" s="9" t="str">
        <f>VLOOKUP(C626, [1]customers!$A$1:$I$1001, 7, FALSE)</f>
        <v>Ireland</v>
      </c>
      <c r="I626" s="11" t="str">
        <f>VLOOKUP(orders!D626,[1]products!$A$1:$G$49, 2,FALSE)</f>
        <v>Exc</v>
      </c>
      <c r="J626" s="11" t="str">
        <f>VLOOKUP(orders!D626,[1]products!$A$1:$G$49, 3,FALSE)</f>
        <v>M</v>
      </c>
      <c r="K626" s="12">
        <f>VLOOKUP(orders!D626,[1]products!$A$1:$G$49, 4,FALSE)</f>
        <v>2.5</v>
      </c>
      <c r="L626" s="12">
        <f>VLOOKUP(orders!D626,[1]products!$A$1:$G$49, 5,FALSE)</f>
        <v>31.624999999999996</v>
      </c>
      <c r="M626" s="13">
        <f>PRODUCT(orders!$E626,orders!$L626)</f>
        <v>63.249999999999993</v>
      </c>
      <c r="N626" s="11" t="str">
        <f t="shared" si="18"/>
        <v>June</v>
      </c>
      <c r="O626" s="11">
        <f t="shared" si="19"/>
        <v>2020</v>
      </c>
      <c r="P626" s="11" t="str">
        <f>TEXT(orders!$B626, "DDD")</f>
        <v>Sun</v>
      </c>
      <c r="Q626" s="11" t="str">
        <f>VLOOKUP(orders!C626,[1]customers!$A$1:$I$1001, 6,FALSE)</f>
        <v>Ballybofey</v>
      </c>
    </row>
    <row r="627" spans="1:17" x14ac:dyDescent="0.3">
      <c r="A627" s="14" t="s">
        <v>1238</v>
      </c>
      <c r="B627" s="15">
        <v>44017</v>
      </c>
      <c r="C627" s="16" t="s">
        <v>1239</v>
      </c>
      <c r="D627" s="17" t="s">
        <v>174</v>
      </c>
      <c r="E627" s="16">
        <v>5</v>
      </c>
      <c r="F627" s="9" t="str">
        <f>VLOOKUP(C627,[1]customers!$A$1:$I$1001, 2, FALSE)</f>
        <v>Hailee Radbone</v>
      </c>
      <c r="G627" s="16" t="str">
        <f>VLOOKUP(orders!C627,[1]customers!$A$1:$I$1001, 3, FALSE)</f>
        <v>hradbonehd@newsvine.com</v>
      </c>
      <c r="H627" s="16" t="str">
        <f>VLOOKUP(C627, [1]customers!$A$1:$I$1001, 7, FALSE)</f>
        <v>United States</v>
      </c>
      <c r="I627" s="18" t="str">
        <f>VLOOKUP(orders!D627,[1]products!$A$1:$G$49, 2,FALSE)</f>
        <v>Rob</v>
      </c>
      <c r="J627" s="18" t="str">
        <f>VLOOKUP(orders!D627,[1]products!$A$1:$G$49, 3,FALSE)</f>
        <v>L</v>
      </c>
      <c r="K627" s="19">
        <f>VLOOKUP(orders!D627,[1]products!$A$1:$G$49, 4,FALSE)</f>
        <v>0.5</v>
      </c>
      <c r="L627" s="19">
        <f>VLOOKUP(orders!D627,[1]products!$A$1:$G$49, 5,FALSE)</f>
        <v>7.169999999999999</v>
      </c>
      <c r="M627" s="13">
        <f>PRODUCT(orders!$E627,orders!$L627)</f>
        <v>35.849999999999994</v>
      </c>
      <c r="N627" s="18" t="str">
        <f t="shared" si="18"/>
        <v>July</v>
      </c>
      <c r="O627" s="18">
        <f t="shared" si="19"/>
        <v>2020</v>
      </c>
      <c r="P627" s="11" t="str">
        <f>TEXT(orders!$B627, "DDD")</f>
        <v>Sun</v>
      </c>
      <c r="Q627" s="11" t="str">
        <f>VLOOKUP(orders!C627,[1]customers!$A$1:$I$1001, 6,FALSE)</f>
        <v>San Francisco</v>
      </c>
    </row>
    <row r="628" spans="1:17" x14ac:dyDescent="0.3">
      <c r="A628" s="7" t="s">
        <v>1240</v>
      </c>
      <c r="B628" s="8">
        <v>43526</v>
      </c>
      <c r="C628" s="9" t="s">
        <v>1241</v>
      </c>
      <c r="D628" s="10" t="s">
        <v>188</v>
      </c>
      <c r="E628" s="9">
        <v>3</v>
      </c>
      <c r="F628" s="9" t="str">
        <f>VLOOKUP(C628,[1]customers!$A$1:$I$1001, 2, FALSE)</f>
        <v>Wallis Bernth</v>
      </c>
      <c r="G628" s="9" t="str">
        <f>VLOOKUP(orders!C628,[1]customers!$A$1:$I$1001, 3, FALSE)</f>
        <v>wbernthhe@miitbeian.gov.cn</v>
      </c>
      <c r="H628" s="9" t="str">
        <f>VLOOKUP(C628, [1]customers!$A$1:$I$1001, 7, FALSE)</f>
        <v>United States</v>
      </c>
      <c r="I628" s="11" t="str">
        <f>VLOOKUP(orders!D628,[1]products!$A$1:$G$49, 2,FALSE)</f>
        <v>Ara</v>
      </c>
      <c r="J628" s="11" t="str">
        <f>VLOOKUP(orders!D628,[1]products!$A$1:$G$49, 3,FALSE)</f>
        <v>M</v>
      </c>
      <c r="K628" s="12">
        <f>VLOOKUP(orders!D628,[1]products!$A$1:$G$49, 4,FALSE)</f>
        <v>2.5</v>
      </c>
      <c r="L628" s="12">
        <f>VLOOKUP(orders!D628,[1]products!$A$1:$G$49, 5,FALSE)</f>
        <v>25.874999999999996</v>
      </c>
      <c r="M628" s="13">
        <f>PRODUCT(orders!$E628,orders!$L628)</f>
        <v>77.624999999999986</v>
      </c>
      <c r="N628" s="11" t="str">
        <f t="shared" si="18"/>
        <v>March</v>
      </c>
      <c r="O628" s="11">
        <f t="shared" si="19"/>
        <v>2019</v>
      </c>
      <c r="P628" s="11" t="str">
        <f>TEXT(orders!$B628, "DDD")</f>
        <v>Sat</v>
      </c>
      <c r="Q628" s="11" t="str">
        <f>VLOOKUP(orders!C628,[1]customers!$A$1:$I$1001, 6,FALSE)</f>
        <v>Pittsburgh</v>
      </c>
    </row>
    <row r="629" spans="1:17" x14ac:dyDescent="0.3">
      <c r="A629" s="14" t="s">
        <v>1242</v>
      </c>
      <c r="B629" s="15">
        <v>44682</v>
      </c>
      <c r="C629" s="16" t="s">
        <v>1243</v>
      </c>
      <c r="D629" s="17" t="s">
        <v>129</v>
      </c>
      <c r="E629" s="16">
        <v>2</v>
      </c>
      <c r="F629" s="9" t="str">
        <f>VLOOKUP(C629,[1]customers!$A$1:$I$1001, 2, FALSE)</f>
        <v>Byron Acarson</v>
      </c>
      <c r="G629" s="16" t="str">
        <f>VLOOKUP(orders!C629,[1]customers!$A$1:$I$1001, 3, FALSE)</f>
        <v>bacarsonhf@cnn.com</v>
      </c>
      <c r="H629" s="16" t="str">
        <f>VLOOKUP(C629, [1]customers!$A$1:$I$1001, 7, FALSE)</f>
        <v>United States</v>
      </c>
      <c r="I629" s="18" t="str">
        <f>VLOOKUP(orders!D629,[1]products!$A$1:$G$49, 2,FALSE)</f>
        <v>Exc</v>
      </c>
      <c r="J629" s="18" t="str">
        <f>VLOOKUP(orders!D629,[1]products!$A$1:$G$49, 3,FALSE)</f>
        <v>M</v>
      </c>
      <c r="K629" s="19">
        <f>VLOOKUP(orders!D629,[1]products!$A$1:$G$49, 4,FALSE)</f>
        <v>2.5</v>
      </c>
      <c r="L629" s="19">
        <f>VLOOKUP(orders!D629,[1]products!$A$1:$G$49, 5,FALSE)</f>
        <v>31.624999999999996</v>
      </c>
      <c r="M629" s="13">
        <f>PRODUCT(orders!$E629,orders!$L629)</f>
        <v>63.249999999999993</v>
      </c>
      <c r="N629" s="18" t="str">
        <f t="shared" si="18"/>
        <v>May</v>
      </c>
      <c r="O629" s="18">
        <f t="shared" si="19"/>
        <v>2022</v>
      </c>
      <c r="P629" s="11" t="str">
        <f>TEXT(orders!$B629, "DDD")</f>
        <v>Sun</v>
      </c>
      <c r="Q629" s="11" t="str">
        <f>VLOOKUP(orders!C629,[1]customers!$A$1:$I$1001, 6,FALSE)</f>
        <v>Houston</v>
      </c>
    </row>
    <row r="630" spans="1:17" x14ac:dyDescent="0.3">
      <c r="A630" s="7" t="s">
        <v>1244</v>
      </c>
      <c r="B630" s="8">
        <v>44680</v>
      </c>
      <c r="C630" s="9" t="s">
        <v>1245</v>
      </c>
      <c r="D630" s="10" t="s">
        <v>271</v>
      </c>
      <c r="E630" s="9">
        <v>6</v>
      </c>
      <c r="F630" s="9" t="str">
        <f>VLOOKUP(C630,[1]customers!$A$1:$I$1001, 2, FALSE)</f>
        <v>Faunie Brigham</v>
      </c>
      <c r="G630" s="9" t="str">
        <f>VLOOKUP(orders!C630,[1]customers!$A$1:$I$1001, 3, FALSE)</f>
        <v>fbrighamhg@blog.com</v>
      </c>
      <c r="H630" s="9" t="str">
        <f>VLOOKUP(C630, [1]customers!$A$1:$I$1001, 7, FALSE)</f>
        <v>Ireland</v>
      </c>
      <c r="I630" s="11" t="str">
        <f>VLOOKUP(orders!D630,[1]products!$A$1:$G$49, 2,FALSE)</f>
        <v>Exc</v>
      </c>
      <c r="J630" s="11" t="str">
        <f>VLOOKUP(orders!D630,[1]products!$A$1:$G$49, 3,FALSE)</f>
        <v>L</v>
      </c>
      <c r="K630" s="12">
        <f>VLOOKUP(orders!D630,[1]products!$A$1:$G$49, 4,FALSE)</f>
        <v>0.2</v>
      </c>
      <c r="L630" s="12">
        <f>VLOOKUP(orders!D630,[1]products!$A$1:$G$49, 5,FALSE)</f>
        <v>4.4550000000000001</v>
      </c>
      <c r="M630" s="13">
        <f>PRODUCT(orders!$E630,orders!$L630)</f>
        <v>26.73</v>
      </c>
      <c r="N630" s="11" t="str">
        <f t="shared" si="18"/>
        <v>April</v>
      </c>
      <c r="O630" s="11">
        <f t="shared" si="19"/>
        <v>2022</v>
      </c>
      <c r="P630" s="11" t="str">
        <f>TEXT(orders!$B630, "DDD")</f>
        <v>Fri</v>
      </c>
      <c r="Q630" s="11" t="str">
        <f>VLOOKUP(orders!C630,[1]customers!$A$1:$I$1001, 6,FALSE)</f>
        <v>Castlerea</v>
      </c>
    </row>
    <row r="631" spans="1:17" x14ac:dyDescent="0.3">
      <c r="A631" s="14" t="s">
        <v>1244</v>
      </c>
      <c r="B631" s="15">
        <v>44680</v>
      </c>
      <c r="C631" s="16" t="s">
        <v>1245</v>
      </c>
      <c r="D631" s="17" t="s">
        <v>140</v>
      </c>
      <c r="E631" s="16">
        <v>4</v>
      </c>
      <c r="F631" s="9" t="str">
        <f>VLOOKUP(C631,[1]customers!$A$1:$I$1001, 2, FALSE)</f>
        <v>Faunie Brigham</v>
      </c>
      <c r="G631" s="16" t="str">
        <f>VLOOKUP(orders!C631,[1]customers!$A$1:$I$1001, 3, FALSE)</f>
        <v>fbrighamhg@blog.com</v>
      </c>
      <c r="H631" s="16" t="str">
        <f>VLOOKUP(C631, [1]customers!$A$1:$I$1001, 7, FALSE)</f>
        <v>Ireland</v>
      </c>
      <c r="I631" s="18" t="str">
        <f>VLOOKUP(orders!D631,[1]products!$A$1:$G$49, 2,FALSE)</f>
        <v>Lib</v>
      </c>
      <c r="J631" s="18" t="str">
        <f>VLOOKUP(orders!D631,[1]products!$A$1:$G$49, 3,FALSE)</f>
        <v>D</v>
      </c>
      <c r="K631" s="19">
        <f>VLOOKUP(orders!D631,[1]products!$A$1:$G$49, 4,FALSE)</f>
        <v>0.5</v>
      </c>
      <c r="L631" s="19">
        <f>VLOOKUP(orders!D631,[1]products!$A$1:$G$49, 5,FALSE)</f>
        <v>7.77</v>
      </c>
      <c r="M631" s="13">
        <f>PRODUCT(orders!$E631,orders!$L631)</f>
        <v>31.08</v>
      </c>
      <c r="N631" s="18" t="str">
        <f t="shared" si="18"/>
        <v>April</v>
      </c>
      <c r="O631" s="18">
        <f t="shared" si="19"/>
        <v>2022</v>
      </c>
      <c r="P631" s="11" t="str">
        <f>TEXT(orders!$B631, "DDD")</f>
        <v>Fri</v>
      </c>
      <c r="Q631" s="11" t="str">
        <f>VLOOKUP(orders!C631,[1]customers!$A$1:$I$1001, 6,FALSE)</f>
        <v>Castlerea</v>
      </c>
    </row>
    <row r="632" spans="1:17" x14ac:dyDescent="0.3">
      <c r="A632" s="7" t="s">
        <v>1244</v>
      </c>
      <c r="B632" s="8">
        <v>44680</v>
      </c>
      <c r="C632" s="9" t="s">
        <v>1245</v>
      </c>
      <c r="D632" s="10" t="s">
        <v>71</v>
      </c>
      <c r="E632" s="9">
        <v>1</v>
      </c>
      <c r="F632" s="9" t="str">
        <f>VLOOKUP(C632,[1]customers!$A$1:$I$1001, 2, FALSE)</f>
        <v>Faunie Brigham</v>
      </c>
      <c r="G632" s="9" t="str">
        <f>VLOOKUP(orders!C632,[1]customers!$A$1:$I$1001, 3, FALSE)</f>
        <v>fbrighamhg@blog.com</v>
      </c>
      <c r="H632" s="9" t="str">
        <f>VLOOKUP(C632, [1]customers!$A$1:$I$1001, 7, FALSE)</f>
        <v>Ireland</v>
      </c>
      <c r="I632" s="11" t="str">
        <f>VLOOKUP(orders!D632,[1]products!$A$1:$G$49, 2,FALSE)</f>
        <v>Ara</v>
      </c>
      <c r="J632" s="11" t="str">
        <f>VLOOKUP(orders!D632,[1]products!$A$1:$G$49, 3,FALSE)</f>
        <v>D</v>
      </c>
      <c r="K632" s="12">
        <f>VLOOKUP(orders!D632,[1]products!$A$1:$G$49, 4,FALSE)</f>
        <v>0.2</v>
      </c>
      <c r="L632" s="12">
        <f>VLOOKUP(orders!D632,[1]products!$A$1:$G$49, 5,FALSE)</f>
        <v>2.9849999999999999</v>
      </c>
      <c r="M632" s="13">
        <f>PRODUCT(orders!$E632,orders!$L632)</f>
        <v>2.9849999999999999</v>
      </c>
      <c r="N632" s="11" t="str">
        <f t="shared" si="18"/>
        <v>April</v>
      </c>
      <c r="O632" s="11">
        <f t="shared" si="19"/>
        <v>2022</v>
      </c>
      <c r="P632" s="11" t="str">
        <f>TEXT(orders!$B632, "DDD")</f>
        <v>Fri</v>
      </c>
      <c r="Q632" s="11" t="str">
        <f>VLOOKUP(orders!C632,[1]customers!$A$1:$I$1001, 6,FALSE)</f>
        <v>Castlerea</v>
      </c>
    </row>
    <row r="633" spans="1:17" x14ac:dyDescent="0.3">
      <c r="A633" s="14" t="s">
        <v>1244</v>
      </c>
      <c r="B633" s="15">
        <v>44680</v>
      </c>
      <c r="C633" s="16" t="s">
        <v>1245</v>
      </c>
      <c r="D633" s="17" t="s">
        <v>52</v>
      </c>
      <c r="E633" s="16">
        <v>5</v>
      </c>
      <c r="F633" s="9" t="str">
        <f>VLOOKUP(C633,[1]customers!$A$1:$I$1001, 2, FALSE)</f>
        <v>Faunie Brigham</v>
      </c>
      <c r="G633" s="16" t="str">
        <f>VLOOKUP(orders!C633,[1]customers!$A$1:$I$1001, 3, FALSE)</f>
        <v>fbrighamhg@blog.com</v>
      </c>
      <c r="H633" s="16" t="str">
        <f>VLOOKUP(C633, [1]customers!$A$1:$I$1001, 7, FALSE)</f>
        <v>Ireland</v>
      </c>
      <c r="I633" s="18" t="str">
        <f>VLOOKUP(orders!D633,[1]products!$A$1:$G$49, 2,FALSE)</f>
        <v>Rob</v>
      </c>
      <c r="J633" s="18" t="str">
        <f>VLOOKUP(orders!D633,[1]products!$A$1:$G$49, 3,FALSE)</f>
        <v>D</v>
      </c>
      <c r="K633" s="19">
        <f>VLOOKUP(orders!D633,[1]products!$A$1:$G$49, 4,FALSE)</f>
        <v>2.5</v>
      </c>
      <c r="L633" s="19">
        <f>VLOOKUP(orders!D633,[1]products!$A$1:$G$49, 5,FALSE)</f>
        <v>20.584999999999997</v>
      </c>
      <c r="M633" s="13">
        <f>PRODUCT(orders!$E633,orders!$L633)</f>
        <v>102.92499999999998</v>
      </c>
      <c r="N633" s="18" t="str">
        <f t="shared" si="18"/>
        <v>April</v>
      </c>
      <c r="O633" s="18">
        <f t="shared" si="19"/>
        <v>2022</v>
      </c>
      <c r="P633" s="11" t="str">
        <f>TEXT(orders!$B633, "DDD")</f>
        <v>Fri</v>
      </c>
      <c r="Q633" s="11" t="str">
        <f>VLOOKUP(orders!C633,[1]customers!$A$1:$I$1001, 6,FALSE)</f>
        <v>Castlerea</v>
      </c>
    </row>
    <row r="634" spans="1:17" x14ac:dyDescent="0.3">
      <c r="A634" s="7" t="s">
        <v>1246</v>
      </c>
      <c r="B634" s="8">
        <v>44049</v>
      </c>
      <c r="C634" s="9" t="s">
        <v>1247</v>
      </c>
      <c r="D634" s="10" t="s">
        <v>193</v>
      </c>
      <c r="E634" s="9">
        <v>4</v>
      </c>
      <c r="F634" s="9" t="str">
        <f>VLOOKUP(C634,[1]customers!$A$1:$I$1001, 2, FALSE)</f>
        <v>Marjorie Yoxen</v>
      </c>
      <c r="G634" s="9" t="str">
        <f>VLOOKUP(orders!C634,[1]customers!$A$1:$I$1001, 3, FALSE)</f>
        <v>myoxenhk@google.com</v>
      </c>
      <c r="H634" s="9" t="str">
        <f>VLOOKUP(C634, [1]customers!$A$1:$I$1001, 7, FALSE)</f>
        <v>United States</v>
      </c>
      <c r="I634" s="11" t="str">
        <f>VLOOKUP(orders!D634,[1]products!$A$1:$G$49, 2,FALSE)</f>
        <v>Exc</v>
      </c>
      <c r="J634" s="11" t="str">
        <f>VLOOKUP(orders!D634,[1]products!$A$1:$G$49, 3,FALSE)</f>
        <v>L</v>
      </c>
      <c r="K634" s="12">
        <f>VLOOKUP(orders!D634,[1]products!$A$1:$G$49, 4,FALSE)</f>
        <v>0.5</v>
      </c>
      <c r="L634" s="12">
        <f>VLOOKUP(orders!D634,[1]products!$A$1:$G$49, 5,FALSE)</f>
        <v>8.91</v>
      </c>
      <c r="M634" s="13">
        <f>PRODUCT(orders!$E634,orders!$L634)</f>
        <v>35.64</v>
      </c>
      <c r="N634" s="11" t="str">
        <f t="shared" si="18"/>
        <v>August</v>
      </c>
      <c r="O634" s="11">
        <f t="shared" si="19"/>
        <v>2020</v>
      </c>
      <c r="P634" s="11" t="str">
        <f>TEXT(orders!$B634, "DDD")</f>
        <v>Thu</v>
      </c>
      <c r="Q634" s="11" t="str">
        <f>VLOOKUP(orders!C634,[1]customers!$A$1:$I$1001, 6,FALSE)</f>
        <v>Los Angeles</v>
      </c>
    </row>
    <row r="635" spans="1:17" x14ac:dyDescent="0.3">
      <c r="A635" s="14" t="s">
        <v>1248</v>
      </c>
      <c r="B635" s="15">
        <v>43820</v>
      </c>
      <c r="C635" s="16" t="s">
        <v>1249</v>
      </c>
      <c r="D635" s="17" t="s">
        <v>206</v>
      </c>
      <c r="E635" s="16">
        <v>4</v>
      </c>
      <c r="F635" s="9" t="str">
        <f>VLOOKUP(C635,[1]customers!$A$1:$I$1001, 2, FALSE)</f>
        <v>Gaspar McGavin</v>
      </c>
      <c r="G635" s="16" t="str">
        <f>VLOOKUP(orders!C635,[1]customers!$A$1:$I$1001, 3, FALSE)</f>
        <v>gmcgavinhl@histats.com</v>
      </c>
      <c r="H635" s="16" t="str">
        <f>VLOOKUP(C635, [1]customers!$A$1:$I$1001, 7, FALSE)</f>
        <v>United States</v>
      </c>
      <c r="I635" s="18" t="str">
        <f>VLOOKUP(orders!D635,[1]products!$A$1:$G$49, 2,FALSE)</f>
        <v>Rob</v>
      </c>
      <c r="J635" s="18" t="str">
        <f>VLOOKUP(orders!D635,[1]products!$A$1:$G$49, 3,FALSE)</f>
        <v>L</v>
      </c>
      <c r="K635" s="19">
        <f>VLOOKUP(orders!D635,[1]products!$A$1:$G$49, 4,FALSE)</f>
        <v>1</v>
      </c>
      <c r="L635" s="19">
        <f>VLOOKUP(orders!D635,[1]products!$A$1:$G$49, 5,FALSE)</f>
        <v>11.95</v>
      </c>
      <c r="M635" s="13">
        <f>PRODUCT(orders!$E635,orders!$L635)</f>
        <v>47.8</v>
      </c>
      <c r="N635" s="18" t="str">
        <f t="shared" si="18"/>
        <v>December</v>
      </c>
      <c r="O635" s="18">
        <f t="shared" si="19"/>
        <v>2019</v>
      </c>
      <c r="P635" s="11" t="str">
        <f>TEXT(orders!$B635, "DDD")</f>
        <v>Sat</v>
      </c>
      <c r="Q635" s="11" t="str">
        <f>VLOOKUP(orders!C635,[1]customers!$A$1:$I$1001, 6,FALSE)</f>
        <v>Wilkes Barre</v>
      </c>
    </row>
    <row r="636" spans="1:17" x14ac:dyDescent="0.3">
      <c r="A636" s="7" t="s">
        <v>1250</v>
      </c>
      <c r="B636" s="8">
        <v>43940</v>
      </c>
      <c r="C636" s="9" t="s">
        <v>1251</v>
      </c>
      <c r="D636" s="10" t="s">
        <v>113</v>
      </c>
      <c r="E636" s="9">
        <v>3</v>
      </c>
      <c r="F636" s="9" t="str">
        <f>VLOOKUP(C636,[1]customers!$A$1:$I$1001, 2, FALSE)</f>
        <v>Lindy Uttermare</v>
      </c>
      <c r="G636" s="9" t="str">
        <f>VLOOKUP(orders!C636,[1]customers!$A$1:$I$1001, 3, FALSE)</f>
        <v>luttermarehm@engadget.com</v>
      </c>
      <c r="H636" s="9" t="str">
        <f>VLOOKUP(C636, [1]customers!$A$1:$I$1001, 7, FALSE)</f>
        <v>United States</v>
      </c>
      <c r="I636" s="11" t="str">
        <f>VLOOKUP(orders!D636,[1]products!$A$1:$G$49, 2,FALSE)</f>
        <v>Lib</v>
      </c>
      <c r="J636" s="11" t="str">
        <f>VLOOKUP(orders!D636,[1]products!$A$1:$G$49, 3,FALSE)</f>
        <v>M</v>
      </c>
      <c r="K636" s="12">
        <f>VLOOKUP(orders!D636,[1]products!$A$1:$G$49, 4,FALSE)</f>
        <v>1</v>
      </c>
      <c r="L636" s="12">
        <f>VLOOKUP(orders!D636,[1]products!$A$1:$G$49, 5,FALSE)</f>
        <v>14.55</v>
      </c>
      <c r="M636" s="13">
        <f>PRODUCT(orders!$E636,orders!$L636)</f>
        <v>43.650000000000006</v>
      </c>
      <c r="N636" s="11" t="str">
        <f t="shared" si="18"/>
        <v>April</v>
      </c>
      <c r="O636" s="11">
        <f t="shared" si="19"/>
        <v>2020</v>
      </c>
      <c r="P636" s="11" t="str">
        <f>TEXT(orders!$B636, "DDD")</f>
        <v>Sun</v>
      </c>
      <c r="Q636" s="11" t="str">
        <f>VLOOKUP(orders!C636,[1]customers!$A$1:$I$1001, 6,FALSE)</f>
        <v>Denton</v>
      </c>
    </row>
    <row r="637" spans="1:17" x14ac:dyDescent="0.3">
      <c r="A637" s="14" t="s">
        <v>1252</v>
      </c>
      <c r="B637" s="15">
        <v>44578</v>
      </c>
      <c r="C637" s="16" t="s">
        <v>1253</v>
      </c>
      <c r="D637" s="17" t="s">
        <v>193</v>
      </c>
      <c r="E637" s="16">
        <v>4</v>
      </c>
      <c r="F637" s="9" t="str">
        <f>VLOOKUP(C637,[1]customers!$A$1:$I$1001, 2, FALSE)</f>
        <v>Eal D'Ambrogio</v>
      </c>
      <c r="G637" s="16" t="str">
        <f>VLOOKUP(orders!C637,[1]customers!$A$1:$I$1001, 3, FALSE)</f>
        <v>edambrogiohn@techcrunch.com</v>
      </c>
      <c r="H637" s="16" t="str">
        <f>VLOOKUP(C637, [1]customers!$A$1:$I$1001, 7, FALSE)</f>
        <v>United States</v>
      </c>
      <c r="I637" s="18" t="str">
        <f>VLOOKUP(orders!D637,[1]products!$A$1:$G$49, 2,FALSE)</f>
        <v>Exc</v>
      </c>
      <c r="J637" s="18" t="str">
        <f>VLOOKUP(orders!D637,[1]products!$A$1:$G$49, 3,FALSE)</f>
        <v>L</v>
      </c>
      <c r="K637" s="19">
        <f>VLOOKUP(orders!D637,[1]products!$A$1:$G$49, 4,FALSE)</f>
        <v>0.5</v>
      </c>
      <c r="L637" s="19">
        <f>VLOOKUP(orders!D637,[1]products!$A$1:$G$49, 5,FALSE)</f>
        <v>8.91</v>
      </c>
      <c r="M637" s="13">
        <f>PRODUCT(orders!$E637,orders!$L637)</f>
        <v>35.64</v>
      </c>
      <c r="N637" s="18" t="str">
        <f t="shared" si="18"/>
        <v>January</v>
      </c>
      <c r="O637" s="18">
        <f t="shared" si="19"/>
        <v>2022</v>
      </c>
      <c r="P637" s="11" t="str">
        <f>TEXT(orders!$B637, "DDD")</f>
        <v>Mon</v>
      </c>
      <c r="Q637" s="11" t="str">
        <f>VLOOKUP(orders!C637,[1]customers!$A$1:$I$1001, 6,FALSE)</f>
        <v>Lees Summit</v>
      </c>
    </row>
    <row r="638" spans="1:17" x14ac:dyDescent="0.3">
      <c r="A638" s="7" t="s">
        <v>1254</v>
      </c>
      <c r="B638" s="8">
        <v>43487</v>
      </c>
      <c r="C638" s="9" t="s">
        <v>1255</v>
      </c>
      <c r="D638" s="10" t="s">
        <v>149</v>
      </c>
      <c r="E638" s="9">
        <v>6</v>
      </c>
      <c r="F638" s="9" t="str">
        <f>VLOOKUP(C638,[1]customers!$A$1:$I$1001, 2, FALSE)</f>
        <v>Carolee Winchcombe</v>
      </c>
      <c r="G638" s="9" t="str">
        <f>VLOOKUP(orders!C638,[1]customers!$A$1:$I$1001, 3, FALSE)</f>
        <v>cwinchcombeho@jiathis.com</v>
      </c>
      <c r="H638" s="9" t="str">
        <f>VLOOKUP(C638, [1]customers!$A$1:$I$1001, 7, FALSE)</f>
        <v>United States</v>
      </c>
      <c r="I638" s="11" t="str">
        <f>VLOOKUP(orders!D638,[1]products!$A$1:$G$49, 2,FALSE)</f>
        <v>Lib</v>
      </c>
      <c r="J638" s="11" t="str">
        <f>VLOOKUP(orders!D638,[1]products!$A$1:$G$49, 3,FALSE)</f>
        <v>L</v>
      </c>
      <c r="K638" s="12">
        <f>VLOOKUP(orders!D638,[1]products!$A$1:$G$49, 4,FALSE)</f>
        <v>1</v>
      </c>
      <c r="L638" s="12">
        <f>VLOOKUP(orders!D638,[1]products!$A$1:$G$49, 5,FALSE)</f>
        <v>15.85</v>
      </c>
      <c r="M638" s="13">
        <f>PRODUCT(orders!$E638,orders!$L638)</f>
        <v>95.1</v>
      </c>
      <c r="N638" s="11" t="str">
        <f t="shared" si="18"/>
        <v>January</v>
      </c>
      <c r="O638" s="11">
        <f t="shared" si="19"/>
        <v>2019</v>
      </c>
      <c r="P638" s="11" t="str">
        <f>TEXT(orders!$B638, "DDD")</f>
        <v>Tue</v>
      </c>
      <c r="Q638" s="11" t="str">
        <f>VLOOKUP(orders!C638,[1]customers!$A$1:$I$1001, 6,FALSE)</f>
        <v>Little Rock</v>
      </c>
    </row>
    <row r="639" spans="1:17" x14ac:dyDescent="0.3">
      <c r="A639" s="14" t="s">
        <v>1256</v>
      </c>
      <c r="B639" s="15">
        <v>43889</v>
      </c>
      <c r="C639" s="16" t="s">
        <v>1257</v>
      </c>
      <c r="D639" s="17" t="s">
        <v>129</v>
      </c>
      <c r="E639" s="16">
        <v>1</v>
      </c>
      <c r="F639" s="9" t="str">
        <f>VLOOKUP(C639,[1]customers!$A$1:$I$1001, 2, FALSE)</f>
        <v>Benedikta Paumier</v>
      </c>
      <c r="G639" s="16" t="str">
        <f>VLOOKUP(orders!C639,[1]customers!$A$1:$I$1001, 3, FALSE)</f>
        <v>bpaumierhp@umn.edu</v>
      </c>
      <c r="H639" s="16" t="str">
        <f>VLOOKUP(C639, [1]customers!$A$1:$I$1001, 7, FALSE)</f>
        <v>Ireland</v>
      </c>
      <c r="I639" s="18" t="str">
        <f>VLOOKUP(orders!D639,[1]products!$A$1:$G$49, 2,FALSE)</f>
        <v>Exc</v>
      </c>
      <c r="J639" s="18" t="str">
        <f>VLOOKUP(orders!D639,[1]products!$A$1:$G$49, 3,FALSE)</f>
        <v>M</v>
      </c>
      <c r="K639" s="19">
        <f>VLOOKUP(orders!D639,[1]products!$A$1:$G$49, 4,FALSE)</f>
        <v>2.5</v>
      </c>
      <c r="L639" s="19">
        <f>VLOOKUP(orders!D639,[1]products!$A$1:$G$49, 5,FALSE)</f>
        <v>31.624999999999996</v>
      </c>
      <c r="M639" s="13">
        <f>PRODUCT(orders!$E639,orders!$L639)</f>
        <v>31.624999999999996</v>
      </c>
      <c r="N639" s="18" t="str">
        <f t="shared" si="18"/>
        <v>February</v>
      </c>
      <c r="O639" s="18">
        <f t="shared" si="19"/>
        <v>2020</v>
      </c>
      <c r="P639" s="11" t="str">
        <f>TEXT(orders!$B639, "DDD")</f>
        <v>Fri</v>
      </c>
      <c r="Q639" s="11" t="str">
        <f>VLOOKUP(orders!C639,[1]customers!$A$1:$I$1001, 6,FALSE)</f>
        <v>Ballisodare</v>
      </c>
    </row>
    <row r="640" spans="1:17" x14ac:dyDescent="0.3">
      <c r="A640" s="7" t="s">
        <v>1258</v>
      </c>
      <c r="B640" s="8">
        <v>43684</v>
      </c>
      <c r="C640" s="9" t="s">
        <v>1259</v>
      </c>
      <c r="D640" s="10" t="s">
        <v>188</v>
      </c>
      <c r="E640" s="9">
        <v>3</v>
      </c>
      <c r="F640" s="9" t="str">
        <f>VLOOKUP(C640,[1]customers!$A$1:$I$1001, 2, FALSE)</f>
        <v>Neville Piatto</v>
      </c>
      <c r="G640" s="9">
        <f>VLOOKUP(orders!C640,[1]customers!$A$1:$I$1001, 3, FALSE)</f>
        <v>0</v>
      </c>
      <c r="H640" s="9" t="str">
        <f>VLOOKUP(C640, [1]customers!$A$1:$I$1001, 7, FALSE)</f>
        <v>Ireland</v>
      </c>
      <c r="I640" s="11" t="str">
        <f>VLOOKUP(orders!D640,[1]products!$A$1:$G$49, 2,FALSE)</f>
        <v>Ara</v>
      </c>
      <c r="J640" s="11" t="str">
        <f>VLOOKUP(orders!D640,[1]products!$A$1:$G$49, 3,FALSE)</f>
        <v>M</v>
      </c>
      <c r="K640" s="12">
        <f>VLOOKUP(orders!D640,[1]products!$A$1:$G$49, 4,FALSE)</f>
        <v>2.5</v>
      </c>
      <c r="L640" s="12">
        <f>VLOOKUP(orders!D640,[1]products!$A$1:$G$49, 5,FALSE)</f>
        <v>25.874999999999996</v>
      </c>
      <c r="M640" s="13">
        <f>PRODUCT(orders!$E640,orders!$L640)</f>
        <v>77.624999999999986</v>
      </c>
      <c r="N640" s="11" t="str">
        <f t="shared" si="18"/>
        <v>August</v>
      </c>
      <c r="O640" s="11">
        <f t="shared" si="19"/>
        <v>2019</v>
      </c>
      <c r="P640" s="11" t="str">
        <f>TEXT(orders!$B640, "DDD")</f>
        <v>Wed</v>
      </c>
      <c r="Q640" s="11" t="str">
        <f>VLOOKUP(orders!C640,[1]customers!$A$1:$I$1001, 6,FALSE)</f>
        <v>Daingean</v>
      </c>
    </row>
    <row r="641" spans="1:17" x14ac:dyDescent="0.3">
      <c r="A641" s="14" t="s">
        <v>1260</v>
      </c>
      <c r="B641" s="15">
        <v>44331</v>
      </c>
      <c r="C641" s="16" t="s">
        <v>1261</v>
      </c>
      <c r="D641" s="17" t="s">
        <v>55</v>
      </c>
      <c r="E641" s="16">
        <v>1</v>
      </c>
      <c r="F641" s="9" t="str">
        <f>VLOOKUP(C641,[1]customers!$A$1:$I$1001, 2, FALSE)</f>
        <v>Jeno Capey</v>
      </c>
      <c r="G641" s="16" t="str">
        <f>VLOOKUP(orders!C641,[1]customers!$A$1:$I$1001, 3, FALSE)</f>
        <v>jcapeyhr@bravesites.com</v>
      </c>
      <c r="H641" s="16" t="str">
        <f>VLOOKUP(C641, [1]customers!$A$1:$I$1001, 7, FALSE)</f>
        <v>United States</v>
      </c>
      <c r="I641" s="18" t="str">
        <f>VLOOKUP(orders!D641,[1]products!$A$1:$G$49, 2,FALSE)</f>
        <v>Lib</v>
      </c>
      <c r="J641" s="18" t="str">
        <f>VLOOKUP(orders!D641,[1]products!$A$1:$G$49, 3,FALSE)</f>
        <v>D</v>
      </c>
      <c r="K641" s="19">
        <f>VLOOKUP(orders!D641,[1]products!$A$1:$G$49, 4,FALSE)</f>
        <v>0.2</v>
      </c>
      <c r="L641" s="19">
        <f>VLOOKUP(orders!D641,[1]products!$A$1:$G$49, 5,FALSE)</f>
        <v>3.8849999999999998</v>
      </c>
      <c r="M641" s="13">
        <f>PRODUCT(orders!$E641,orders!$L641)</f>
        <v>3.8849999999999998</v>
      </c>
      <c r="N641" s="18" t="str">
        <f t="shared" si="18"/>
        <v>May</v>
      </c>
      <c r="O641" s="18">
        <f t="shared" si="19"/>
        <v>2021</v>
      </c>
      <c r="P641" s="11" t="str">
        <f>TEXT(orders!$B641, "DDD")</f>
        <v>Sat</v>
      </c>
      <c r="Q641" s="11" t="str">
        <f>VLOOKUP(orders!C641,[1]customers!$A$1:$I$1001, 6,FALSE)</f>
        <v>Erie</v>
      </c>
    </row>
    <row r="642" spans="1:17" x14ac:dyDescent="0.3">
      <c r="A642" s="7" t="s">
        <v>1262</v>
      </c>
      <c r="B642" s="8">
        <v>44547</v>
      </c>
      <c r="C642" s="9" t="s">
        <v>1263</v>
      </c>
      <c r="D642" s="10" t="s">
        <v>27</v>
      </c>
      <c r="E642" s="9">
        <v>5</v>
      </c>
      <c r="F642" s="9" t="str">
        <f>VLOOKUP(C642,[1]customers!$A$1:$I$1001, 2, FALSE)</f>
        <v>Tuckie Mathonnet</v>
      </c>
      <c r="G642" s="9" t="str">
        <f>VLOOKUP(orders!C642,[1]customers!$A$1:$I$1001, 3, FALSE)</f>
        <v>tmathonneti0@google.co.jp</v>
      </c>
      <c r="H642" s="9" t="str">
        <f>VLOOKUP(C642, [1]customers!$A$1:$I$1001, 7, FALSE)</f>
        <v>United States</v>
      </c>
      <c r="I642" s="11" t="str">
        <f>VLOOKUP(orders!D642,[1]products!$A$1:$G$49, 2,FALSE)</f>
        <v>Rob</v>
      </c>
      <c r="J642" s="11" t="str">
        <f>VLOOKUP(orders!D642,[1]products!$A$1:$G$49, 3,FALSE)</f>
        <v>L</v>
      </c>
      <c r="K642" s="12">
        <f>VLOOKUP(orders!D642,[1]products!$A$1:$G$49, 4,FALSE)</f>
        <v>2.5</v>
      </c>
      <c r="L642" s="12">
        <f>VLOOKUP(orders!D642,[1]products!$A$1:$G$49, 5,FALSE)</f>
        <v>27.484999999999996</v>
      </c>
      <c r="M642" s="13">
        <f>PRODUCT(orders!$E642,orders!$L642)</f>
        <v>137.42499999999998</v>
      </c>
      <c r="N642" s="11" t="str">
        <f t="shared" ref="N642:N705" si="20">TEXT(B642, "mmmm")</f>
        <v>December</v>
      </c>
      <c r="O642" s="11">
        <f t="shared" ref="O642:O705" si="21">YEAR(B642)</f>
        <v>2021</v>
      </c>
      <c r="P642" s="11" t="str">
        <f>TEXT(orders!$B642, "DDD")</f>
        <v>Fri</v>
      </c>
      <c r="Q642" s="11" t="str">
        <f>VLOOKUP(orders!C642,[1]customers!$A$1:$I$1001, 6,FALSE)</f>
        <v>Columbus</v>
      </c>
    </row>
    <row r="643" spans="1:17" x14ac:dyDescent="0.3">
      <c r="A643" s="14" t="s">
        <v>1264</v>
      </c>
      <c r="B643" s="15">
        <v>44448</v>
      </c>
      <c r="C643" s="16" t="s">
        <v>1265</v>
      </c>
      <c r="D643" s="17" t="s">
        <v>206</v>
      </c>
      <c r="E643" s="16">
        <v>3</v>
      </c>
      <c r="F643" s="9" t="str">
        <f>VLOOKUP(C643,[1]customers!$A$1:$I$1001, 2, FALSE)</f>
        <v>Yardley Basill</v>
      </c>
      <c r="G643" s="16" t="str">
        <f>VLOOKUP(orders!C643,[1]customers!$A$1:$I$1001, 3, FALSE)</f>
        <v>ybasillht@theguardian.com</v>
      </c>
      <c r="H643" s="16" t="str">
        <f>VLOOKUP(C643, [1]customers!$A$1:$I$1001, 7, FALSE)</f>
        <v>United States</v>
      </c>
      <c r="I643" s="18" t="str">
        <f>VLOOKUP(orders!D643,[1]products!$A$1:$G$49, 2,FALSE)</f>
        <v>Rob</v>
      </c>
      <c r="J643" s="18" t="str">
        <f>VLOOKUP(orders!D643,[1]products!$A$1:$G$49, 3,FALSE)</f>
        <v>L</v>
      </c>
      <c r="K643" s="19">
        <f>VLOOKUP(orders!D643,[1]products!$A$1:$G$49, 4,FALSE)</f>
        <v>1</v>
      </c>
      <c r="L643" s="19">
        <f>VLOOKUP(orders!D643,[1]products!$A$1:$G$49, 5,FALSE)</f>
        <v>11.95</v>
      </c>
      <c r="M643" s="13">
        <f>PRODUCT(orders!$E643,orders!$L643)</f>
        <v>35.849999999999994</v>
      </c>
      <c r="N643" s="18" t="str">
        <f t="shared" si="20"/>
        <v>September</v>
      </c>
      <c r="O643" s="18">
        <f t="shared" si="21"/>
        <v>2021</v>
      </c>
      <c r="P643" s="11" t="str">
        <f>TEXT(orders!$B643, "DDD")</f>
        <v>Thu</v>
      </c>
      <c r="Q643" s="11" t="str">
        <f>VLOOKUP(orders!C643,[1]customers!$A$1:$I$1001, 6,FALSE)</f>
        <v>Pittsburgh</v>
      </c>
    </row>
    <row r="644" spans="1:17" x14ac:dyDescent="0.3">
      <c r="A644" s="7" t="s">
        <v>1266</v>
      </c>
      <c r="B644" s="8">
        <v>43880</v>
      </c>
      <c r="C644" s="9" t="s">
        <v>1267</v>
      </c>
      <c r="D644" s="10" t="s">
        <v>81</v>
      </c>
      <c r="E644" s="9">
        <v>2</v>
      </c>
      <c r="F644" s="9" t="str">
        <f>VLOOKUP(C644,[1]customers!$A$1:$I$1001, 2, FALSE)</f>
        <v>Maggy Baistow</v>
      </c>
      <c r="G644" s="9" t="str">
        <f>VLOOKUP(orders!C644,[1]customers!$A$1:$I$1001, 3, FALSE)</f>
        <v>mbaistowhu@i2i.jp</v>
      </c>
      <c r="H644" s="9" t="str">
        <f>VLOOKUP(C644, [1]customers!$A$1:$I$1001, 7, FALSE)</f>
        <v>United Kingdom</v>
      </c>
      <c r="I644" s="11" t="str">
        <f>VLOOKUP(orders!D644,[1]products!$A$1:$G$49, 2,FALSE)</f>
        <v>Exc</v>
      </c>
      <c r="J644" s="11" t="str">
        <f>VLOOKUP(orders!D644,[1]products!$A$1:$G$49, 3,FALSE)</f>
        <v>M</v>
      </c>
      <c r="K644" s="12">
        <f>VLOOKUP(orders!D644,[1]products!$A$1:$G$49, 4,FALSE)</f>
        <v>0.2</v>
      </c>
      <c r="L644" s="12">
        <f>VLOOKUP(orders!D644,[1]products!$A$1:$G$49, 5,FALSE)</f>
        <v>4.125</v>
      </c>
      <c r="M644" s="13">
        <f>PRODUCT(orders!$E644,orders!$L644)</f>
        <v>8.25</v>
      </c>
      <c r="N644" s="11" t="str">
        <f t="shared" si="20"/>
        <v>February</v>
      </c>
      <c r="O644" s="11">
        <f t="shared" si="21"/>
        <v>2020</v>
      </c>
      <c r="P644" s="11" t="str">
        <f>TEXT(orders!$B644, "DDD")</f>
        <v>Wed</v>
      </c>
      <c r="Q644" s="11" t="str">
        <f>VLOOKUP(orders!C644,[1]customers!$A$1:$I$1001, 6,FALSE)</f>
        <v>Ford</v>
      </c>
    </row>
    <row r="645" spans="1:17" x14ac:dyDescent="0.3">
      <c r="A645" s="14" t="s">
        <v>1268</v>
      </c>
      <c r="B645" s="15">
        <v>44011</v>
      </c>
      <c r="C645" s="16" t="s">
        <v>1269</v>
      </c>
      <c r="D645" s="17" t="s">
        <v>47</v>
      </c>
      <c r="E645" s="16">
        <v>3</v>
      </c>
      <c r="F645" s="9" t="str">
        <f>VLOOKUP(C645,[1]customers!$A$1:$I$1001, 2, FALSE)</f>
        <v>Courtney Pallant</v>
      </c>
      <c r="G645" s="16" t="str">
        <f>VLOOKUP(orders!C645,[1]customers!$A$1:$I$1001, 3, FALSE)</f>
        <v>cpallanthv@typepad.com</v>
      </c>
      <c r="H645" s="16" t="str">
        <f>VLOOKUP(C645, [1]customers!$A$1:$I$1001, 7, FALSE)</f>
        <v>United States</v>
      </c>
      <c r="I645" s="18" t="str">
        <f>VLOOKUP(orders!D645,[1]products!$A$1:$G$49, 2,FALSE)</f>
        <v>Exc</v>
      </c>
      <c r="J645" s="18" t="str">
        <f>VLOOKUP(orders!D645,[1]products!$A$1:$G$49, 3,FALSE)</f>
        <v>L</v>
      </c>
      <c r="K645" s="19">
        <f>VLOOKUP(orders!D645,[1]products!$A$1:$G$49, 4,FALSE)</f>
        <v>2.5</v>
      </c>
      <c r="L645" s="19">
        <f>VLOOKUP(orders!D645,[1]products!$A$1:$G$49, 5,FALSE)</f>
        <v>34.154999999999994</v>
      </c>
      <c r="M645" s="13">
        <f>PRODUCT(orders!$E645,orders!$L645)</f>
        <v>102.46499999999997</v>
      </c>
      <c r="N645" s="18" t="str">
        <f t="shared" si="20"/>
        <v>June</v>
      </c>
      <c r="O645" s="18">
        <f t="shared" si="21"/>
        <v>2020</v>
      </c>
      <c r="P645" s="11" t="str">
        <f>TEXT(orders!$B645, "DDD")</f>
        <v>Mon</v>
      </c>
      <c r="Q645" s="11" t="str">
        <f>VLOOKUP(orders!C645,[1]customers!$A$1:$I$1001, 6,FALSE)</f>
        <v>Dallas</v>
      </c>
    </row>
    <row r="646" spans="1:17" x14ac:dyDescent="0.3">
      <c r="A646" s="7" t="s">
        <v>1270</v>
      </c>
      <c r="B646" s="8">
        <v>44694</v>
      </c>
      <c r="C646" s="9" t="s">
        <v>1271</v>
      </c>
      <c r="D646" s="10" t="s">
        <v>52</v>
      </c>
      <c r="E646" s="9">
        <v>2</v>
      </c>
      <c r="F646" s="9" t="str">
        <f>VLOOKUP(C646,[1]customers!$A$1:$I$1001, 2, FALSE)</f>
        <v>Marne Mingey</v>
      </c>
      <c r="G646" s="9">
        <f>VLOOKUP(orders!C646,[1]customers!$A$1:$I$1001, 3, FALSE)</f>
        <v>0</v>
      </c>
      <c r="H646" s="9" t="str">
        <f>VLOOKUP(C646, [1]customers!$A$1:$I$1001, 7, FALSE)</f>
        <v>United States</v>
      </c>
      <c r="I646" s="11" t="str">
        <f>VLOOKUP(orders!D646,[1]products!$A$1:$G$49, 2,FALSE)</f>
        <v>Rob</v>
      </c>
      <c r="J646" s="11" t="str">
        <f>VLOOKUP(orders!D646,[1]products!$A$1:$G$49, 3,FALSE)</f>
        <v>D</v>
      </c>
      <c r="K646" s="12">
        <f>VLOOKUP(orders!D646,[1]products!$A$1:$G$49, 4,FALSE)</f>
        <v>2.5</v>
      </c>
      <c r="L646" s="12">
        <f>VLOOKUP(orders!D646,[1]products!$A$1:$G$49, 5,FALSE)</f>
        <v>20.584999999999997</v>
      </c>
      <c r="M646" s="13">
        <f>PRODUCT(orders!$E646,orders!$L646)</f>
        <v>41.169999999999995</v>
      </c>
      <c r="N646" s="11" t="str">
        <f t="shared" si="20"/>
        <v>May</v>
      </c>
      <c r="O646" s="11">
        <f t="shared" si="21"/>
        <v>2022</v>
      </c>
      <c r="P646" s="11" t="str">
        <f>TEXT(orders!$B646, "DDD")</f>
        <v>Fri</v>
      </c>
      <c r="Q646" s="11" t="str">
        <f>VLOOKUP(orders!C646,[1]customers!$A$1:$I$1001, 6,FALSE)</f>
        <v>Miami</v>
      </c>
    </row>
    <row r="647" spans="1:17" x14ac:dyDescent="0.3">
      <c r="A647" s="14" t="s">
        <v>1272</v>
      </c>
      <c r="B647" s="15">
        <v>44106</v>
      </c>
      <c r="C647" s="16" t="s">
        <v>1273</v>
      </c>
      <c r="D647" s="17" t="s">
        <v>135</v>
      </c>
      <c r="E647" s="16">
        <v>3</v>
      </c>
      <c r="F647" s="9" t="str">
        <f>VLOOKUP(C647,[1]customers!$A$1:$I$1001, 2, FALSE)</f>
        <v>Denny O' Ronan</v>
      </c>
      <c r="G647" s="16" t="str">
        <f>VLOOKUP(orders!C647,[1]customers!$A$1:$I$1001, 3, FALSE)</f>
        <v>dohx@redcross.org</v>
      </c>
      <c r="H647" s="16" t="str">
        <f>VLOOKUP(C647, [1]customers!$A$1:$I$1001, 7, FALSE)</f>
        <v>United States</v>
      </c>
      <c r="I647" s="18" t="str">
        <f>VLOOKUP(orders!D647,[1]products!$A$1:$G$49, 2,FALSE)</f>
        <v>Ara</v>
      </c>
      <c r="J647" s="18" t="str">
        <f>VLOOKUP(orders!D647,[1]products!$A$1:$G$49, 3,FALSE)</f>
        <v>D</v>
      </c>
      <c r="K647" s="19">
        <f>VLOOKUP(orders!D647,[1]products!$A$1:$G$49, 4,FALSE)</f>
        <v>2.5</v>
      </c>
      <c r="L647" s="19">
        <f>VLOOKUP(orders!D647,[1]products!$A$1:$G$49, 5,FALSE)</f>
        <v>22.884999999999998</v>
      </c>
      <c r="M647" s="13">
        <f>PRODUCT(orders!$E647,orders!$L647)</f>
        <v>68.655000000000001</v>
      </c>
      <c r="N647" s="18" t="str">
        <f t="shared" si="20"/>
        <v>October</v>
      </c>
      <c r="O647" s="18">
        <f t="shared" si="21"/>
        <v>2020</v>
      </c>
      <c r="P647" s="11" t="str">
        <f>TEXT(orders!$B647, "DDD")</f>
        <v>Fri</v>
      </c>
      <c r="Q647" s="11" t="str">
        <f>VLOOKUP(orders!C647,[1]customers!$A$1:$I$1001, 6,FALSE)</f>
        <v>San Angelo</v>
      </c>
    </row>
    <row r="648" spans="1:17" x14ac:dyDescent="0.3">
      <c r="A648" s="7" t="s">
        <v>1274</v>
      </c>
      <c r="B648" s="8">
        <v>44532</v>
      </c>
      <c r="C648" s="9" t="s">
        <v>1275</v>
      </c>
      <c r="D648" s="10" t="s">
        <v>44</v>
      </c>
      <c r="E648" s="9">
        <v>1</v>
      </c>
      <c r="F648" s="9" t="str">
        <f>VLOOKUP(C648,[1]customers!$A$1:$I$1001, 2, FALSE)</f>
        <v>Dottie Rallin</v>
      </c>
      <c r="G648" s="9" t="str">
        <f>VLOOKUP(orders!C648,[1]customers!$A$1:$I$1001, 3, FALSE)</f>
        <v>drallinhy@howstuffworks.com</v>
      </c>
      <c r="H648" s="9" t="str">
        <f>VLOOKUP(C648, [1]customers!$A$1:$I$1001, 7, FALSE)</f>
        <v>United States</v>
      </c>
      <c r="I648" s="11" t="str">
        <f>VLOOKUP(orders!D648,[1]products!$A$1:$G$49, 2,FALSE)</f>
        <v>Ara</v>
      </c>
      <c r="J648" s="11" t="str">
        <f>VLOOKUP(orders!D648,[1]products!$A$1:$G$49, 3,FALSE)</f>
        <v>D</v>
      </c>
      <c r="K648" s="12">
        <f>VLOOKUP(orders!D648,[1]products!$A$1:$G$49, 4,FALSE)</f>
        <v>1</v>
      </c>
      <c r="L648" s="12">
        <f>VLOOKUP(orders!D648,[1]products!$A$1:$G$49, 5,FALSE)</f>
        <v>9.9499999999999993</v>
      </c>
      <c r="M648" s="13">
        <f>PRODUCT(orders!$E648,orders!$L648)</f>
        <v>9.9499999999999993</v>
      </c>
      <c r="N648" s="11" t="str">
        <f t="shared" si="20"/>
        <v>December</v>
      </c>
      <c r="O648" s="11">
        <f t="shared" si="21"/>
        <v>2021</v>
      </c>
      <c r="P648" s="11" t="str">
        <f>TEXT(orders!$B648, "DDD")</f>
        <v>Thu</v>
      </c>
      <c r="Q648" s="11" t="str">
        <f>VLOOKUP(orders!C648,[1]customers!$A$1:$I$1001, 6,FALSE)</f>
        <v>Albany</v>
      </c>
    </row>
    <row r="649" spans="1:17" x14ac:dyDescent="0.3">
      <c r="A649" s="14" t="s">
        <v>1276</v>
      </c>
      <c r="B649" s="15">
        <v>44502</v>
      </c>
      <c r="C649" s="16" t="s">
        <v>1277</v>
      </c>
      <c r="D649" s="17" t="s">
        <v>100</v>
      </c>
      <c r="E649" s="16">
        <v>3</v>
      </c>
      <c r="F649" s="9" t="str">
        <f>VLOOKUP(C649,[1]customers!$A$1:$I$1001, 2, FALSE)</f>
        <v>Ardith Chill</v>
      </c>
      <c r="G649" s="16" t="str">
        <f>VLOOKUP(orders!C649,[1]customers!$A$1:$I$1001, 3, FALSE)</f>
        <v>achillhz@epa.gov</v>
      </c>
      <c r="H649" s="16" t="str">
        <f>VLOOKUP(C649, [1]customers!$A$1:$I$1001, 7, FALSE)</f>
        <v>United Kingdom</v>
      </c>
      <c r="I649" s="18" t="str">
        <f>VLOOKUP(orders!D649,[1]products!$A$1:$G$49, 2,FALSE)</f>
        <v>Lib</v>
      </c>
      <c r="J649" s="18" t="str">
        <f>VLOOKUP(orders!D649,[1]products!$A$1:$G$49, 3,FALSE)</f>
        <v>L</v>
      </c>
      <c r="K649" s="19">
        <f>VLOOKUP(orders!D649,[1]products!$A$1:$G$49, 4,FALSE)</f>
        <v>0.5</v>
      </c>
      <c r="L649" s="19">
        <f>VLOOKUP(orders!D649,[1]products!$A$1:$G$49, 5,FALSE)</f>
        <v>9.51</v>
      </c>
      <c r="M649" s="13">
        <f>PRODUCT(orders!$E649,orders!$L649)</f>
        <v>28.53</v>
      </c>
      <c r="N649" s="18" t="str">
        <f t="shared" si="20"/>
        <v>November</v>
      </c>
      <c r="O649" s="18">
        <f t="shared" si="21"/>
        <v>2021</v>
      </c>
      <c r="P649" s="11" t="str">
        <f>TEXT(orders!$B649, "DDD")</f>
        <v>Tue</v>
      </c>
      <c r="Q649" s="11" t="str">
        <f>VLOOKUP(orders!C649,[1]customers!$A$1:$I$1001, 6,FALSE)</f>
        <v>Thorpe</v>
      </c>
    </row>
    <row r="650" spans="1:17" x14ac:dyDescent="0.3">
      <c r="A650" s="7" t="s">
        <v>1278</v>
      </c>
      <c r="B650" s="8">
        <v>43884</v>
      </c>
      <c r="C650" s="9" t="s">
        <v>1263</v>
      </c>
      <c r="D650" s="10" t="s">
        <v>118</v>
      </c>
      <c r="E650" s="9">
        <v>6</v>
      </c>
      <c r="F650" s="9" t="str">
        <f>VLOOKUP(C650,[1]customers!$A$1:$I$1001, 2, FALSE)</f>
        <v>Tuckie Mathonnet</v>
      </c>
      <c r="G650" s="9" t="str">
        <f>VLOOKUP(orders!C650,[1]customers!$A$1:$I$1001, 3, FALSE)</f>
        <v>tmathonneti0@google.co.jp</v>
      </c>
      <c r="H650" s="9" t="str">
        <f>VLOOKUP(C650, [1]customers!$A$1:$I$1001, 7, FALSE)</f>
        <v>United States</v>
      </c>
      <c r="I650" s="11" t="str">
        <f>VLOOKUP(orders!D650,[1]products!$A$1:$G$49, 2,FALSE)</f>
        <v>Rob</v>
      </c>
      <c r="J650" s="11" t="str">
        <f>VLOOKUP(orders!D650,[1]products!$A$1:$G$49, 3,FALSE)</f>
        <v>D</v>
      </c>
      <c r="K650" s="12">
        <f>VLOOKUP(orders!D650,[1]products!$A$1:$G$49, 4,FALSE)</f>
        <v>0.2</v>
      </c>
      <c r="L650" s="12">
        <f>VLOOKUP(orders!D650,[1]products!$A$1:$G$49, 5,FALSE)</f>
        <v>2.6849999999999996</v>
      </c>
      <c r="M650" s="13">
        <f>PRODUCT(orders!$E650,orders!$L650)</f>
        <v>16.11</v>
      </c>
      <c r="N650" s="11" t="str">
        <f t="shared" si="20"/>
        <v>February</v>
      </c>
      <c r="O650" s="11">
        <f t="shared" si="21"/>
        <v>2020</v>
      </c>
      <c r="P650" s="11" t="str">
        <f>TEXT(orders!$B650, "DDD")</f>
        <v>Sun</v>
      </c>
      <c r="Q650" s="11" t="str">
        <f>VLOOKUP(orders!C650,[1]customers!$A$1:$I$1001, 6,FALSE)</f>
        <v>Columbus</v>
      </c>
    </row>
    <row r="651" spans="1:17" x14ac:dyDescent="0.3">
      <c r="A651" s="14" t="s">
        <v>1279</v>
      </c>
      <c r="B651" s="15">
        <v>44015</v>
      </c>
      <c r="C651" s="16" t="s">
        <v>1280</v>
      </c>
      <c r="D651" s="17" t="s">
        <v>149</v>
      </c>
      <c r="E651" s="16">
        <v>6</v>
      </c>
      <c r="F651" s="9" t="str">
        <f>VLOOKUP(C651,[1]customers!$A$1:$I$1001, 2, FALSE)</f>
        <v>Charmane Denys</v>
      </c>
      <c r="G651" s="16" t="str">
        <f>VLOOKUP(orders!C651,[1]customers!$A$1:$I$1001, 3, FALSE)</f>
        <v>cdenysi1@is.gd</v>
      </c>
      <c r="H651" s="16" t="str">
        <f>VLOOKUP(C651, [1]customers!$A$1:$I$1001, 7, FALSE)</f>
        <v>United Kingdom</v>
      </c>
      <c r="I651" s="18" t="str">
        <f>VLOOKUP(orders!D651,[1]products!$A$1:$G$49, 2,FALSE)</f>
        <v>Lib</v>
      </c>
      <c r="J651" s="18" t="str">
        <f>VLOOKUP(orders!D651,[1]products!$A$1:$G$49, 3,FALSE)</f>
        <v>L</v>
      </c>
      <c r="K651" s="19">
        <f>VLOOKUP(orders!D651,[1]products!$A$1:$G$49, 4,FALSE)</f>
        <v>1</v>
      </c>
      <c r="L651" s="19">
        <f>VLOOKUP(orders!D651,[1]products!$A$1:$G$49, 5,FALSE)</f>
        <v>15.85</v>
      </c>
      <c r="M651" s="13">
        <f>PRODUCT(orders!$E651,orders!$L651)</f>
        <v>95.1</v>
      </c>
      <c r="N651" s="18" t="str">
        <f t="shared" si="20"/>
        <v>July</v>
      </c>
      <c r="O651" s="18">
        <f t="shared" si="21"/>
        <v>2020</v>
      </c>
      <c r="P651" s="11" t="str">
        <f>TEXT(orders!$B651, "DDD")</f>
        <v>Fri</v>
      </c>
      <c r="Q651" s="11" t="str">
        <f>VLOOKUP(orders!C651,[1]customers!$A$1:$I$1001, 6,FALSE)</f>
        <v>Carlton</v>
      </c>
    </row>
    <row r="652" spans="1:17" x14ac:dyDescent="0.3">
      <c r="A652" s="7" t="s">
        <v>1281</v>
      </c>
      <c r="B652" s="8">
        <v>43507</v>
      </c>
      <c r="C652" s="9" t="s">
        <v>1282</v>
      </c>
      <c r="D652" s="10" t="s">
        <v>163</v>
      </c>
      <c r="E652" s="9">
        <v>1</v>
      </c>
      <c r="F652" s="9" t="str">
        <f>VLOOKUP(C652,[1]customers!$A$1:$I$1001, 2, FALSE)</f>
        <v>Cecily Stebbings</v>
      </c>
      <c r="G652" s="9" t="str">
        <f>VLOOKUP(orders!C652,[1]customers!$A$1:$I$1001, 3, FALSE)</f>
        <v>cstebbingsi2@drupal.org</v>
      </c>
      <c r="H652" s="9" t="str">
        <f>VLOOKUP(C652, [1]customers!$A$1:$I$1001, 7, FALSE)</f>
        <v>United States</v>
      </c>
      <c r="I652" s="11" t="str">
        <f>VLOOKUP(orders!D652,[1]products!$A$1:$G$49, 2,FALSE)</f>
        <v>Rob</v>
      </c>
      <c r="J652" s="11" t="str">
        <f>VLOOKUP(orders!D652,[1]products!$A$1:$G$49, 3,FALSE)</f>
        <v>D</v>
      </c>
      <c r="K652" s="12">
        <f>VLOOKUP(orders!D652,[1]products!$A$1:$G$49, 4,FALSE)</f>
        <v>0.5</v>
      </c>
      <c r="L652" s="12">
        <f>VLOOKUP(orders!D652,[1]products!$A$1:$G$49, 5,FALSE)</f>
        <v>5.3699999999999992</v>
      </c>
      <c r="M652" s="13">
        <f>PRODUCT(orders!$E652,orders!$L652)</f>
        <v>5.3699999999999992</v>
      </c>
      <c r="N652" s="11" t="str">
        <f t="shared" si="20"/>
        <v>February</v>
      </c>
      <c r="O652" s="11">
        <f t="shared" si="21"/>
        <v>2019</v>
      </c>
      <c r="P652" s="11" t="str">
        <f>TEXT(orders!$B652, "DDD")</f>
        <v>Mon</v>
      </c>
      <c r="Q652" s="11" t="str">
        <f>VLOOKUP(orders!C652,[1]customers!$A$1:$I$1001, 6,FALSE)</f>
        <v>Corona</v>
      </c>
    </row>
    <row r="653" spans="1:17" x14ac:dyDescent="0.3">
      <c r="A653" s="14" t="s">
        <v>1283</v>
      </c>
      <c r="B653" s="15">
        <v>44084</v>
      </c>
      <c r="C653" s="16" t="s">
        <v>1284</v>
      </c>
      <c r="D653" s="17" t="s">
        <v>206</v>
      </c>
      <c r="E653" s="16">
        <v>4</v>
      </c>
      <c r="F653" s="9" t="str">
        <f>VLOOKUP(C653,[1]customers!$A$1:$I$1001, 2, FALSE)</f>
        <v>Giana Tonnesen</v>
      </c>
      <c r="G653" s="16">
        <f>VLOOKUP(orders!C653,[1]customers!$A$1:$I$1001, 3, FALSE)</f>
        <v>0</v>
      </c>
      <c r="H653" s="16" t="str">
        <f>VLOOKUP(C653, [1]customers!$A$1:$I$1001, 7, FALSE)</f>
        <v>United States</v>
      </c>
      <c r="I653" s="18" t="str">
        <f>VLOOKUP(orders!D653,[1]products!$A$1:$G$49, 2,FALSE)</f>
        <v>Rob</v>
      </c>
      <c r="J653" s="18" t="str">
        <f>VLOOKUP(orders!D653,[1]products!$A$1:$G$49, 3,FALSE)</f>
        <v>L</v>
      </c>
      <c r="K653" s="19">
        <f>VLOOKUP(orders!D653,[1]products!$A$1:$G$49, 4,FALSE)</f>
        <v>1</v>
      </c>
      <c r="L653" s="19">
        <f>VLOOKUP(orders!D653,[1]products!$A$1:$G$49, 5,FALSE)</f>
        <v>11.95</v>
      </c>
      <c r="M653" s="13">
        <f>PRODUCT(orders!$E653,orders!$L653)</f>
        <v>47.8</v>
      </c>
      <c r="N653" s="18" t="str">
        <f t="shared" si="20"/>
        <v>September</v>
      </c>
      <c r="O653" s="18">
        <f t="shared" si="21"/>
        <v>2020</v>
      </c>
      <c r="P653" s="11" t="str">
        <f>TEXT(orders!$B653, "DDD")</f>
        <v>Thu</v>
      </c>
      <c r="Q653" s="11" t="str">
        <f>VLOOKUP(orders!C653,[1]customers!$A$1:$I$1001, 6,FALSE)</f>
        <v>Washington</v>
      </c>
    </row>
    <row r="654" spans="1:17" x14ac:dyDescent="0.3">
      <c r="A654" s="7" t="s">
        <v>1285</v>
      </c>
      <c r="B654" s="8">
        <v>43892</v>
      </c>
      <c r="C654" s="9" t="s">
        <v>1286</v>
      </c>
      <c r="D654" s="10" t="s">
        <v>149</v>
      </c>
      <c r="E654" s="9">
        <v>4</v>
      </c>
      <c r="F654" s="9" t="str">
        <f>VLOOKUP(C654,[1]customers!$A$1:$I$1001, 2, FALSE)</f>
        <v>Rhetta Zywicki</v>
      </c>
      <c r="G654" s="9" t="str">
        <f>VLOOKUP(orders!C654,[1]customers!$A$1:$I$1001, 3, FALSE)</f>
        <v>rzywickii4@ifeng.com</v>
      </c>
      <c r="H654" s="9" t="str">
        <f>VLOOKUP(C654, [1]customers!$A$1:$I$1001, 7, FALSE)</f>
        <v>Ireland</v>
      </c>
      <c r="I654" s="11" t="str">
        <f>VLOOKUP(orders!D654,[1]products!$A$1:$G$49, 2,FALSE)</f>
        <v>Lib</v>
      </c>
      <c r="J654" s="11" t="str">
        <f>VLOOKUP(orders!D654,[1]products!$A$1:$G$49, 3,FALSE)</f>
        <v>L</v>
      </c>
      <c r="K654" s="12">
        <f>VLOOKUP(orders!D654,[1]products!$A$1:$G$49, 4,FALSE)</f>
        <v>1</v>
      </c>
      <c r="L654" s="12">
        <f>VLOOKUP(orders!D654,[1]products!$A$1:$G$49, 5,FALSE)</f>
        <v>15.85</v>
      </c>
      <c r="M654" s="13">
        <f>PRODUCT(orders!$E654,orders!$L654)</f>
        <v>63.4</v>
      </c>
      <c r="N654" s="11" t="str">
        <f t="shared" si="20"/>
        <v>March</v>
      </c>
      <c r="O654" s="11">
        <f t="shared" si="21"/>
        <v>2020</v>
      </c>
      <c r="P654" s="11" t="str">
        <f>TEXT(orders!$B654, "DDD")</f>
        <v>Mon</v>
      </c>
      <c r="Q654" s="11" t="str">
        <f>VLOOKUP(orders!C654,[1]customers!$A$1:$I$1001, 6,FALSE)</f>
        <v>Ballinteer</v>
      </c>
    </row>
    <row r="655" spans="1:17" x14ac:dyDescent="0.3">
      <c r="A655" s="14" t="s">
        <v>1287</v>
      </c>
      <c r="B655" s="15">
        <v>44375</v>
      </c>
      <c r="C655" s="16" t="s">
        <v>1288</v>
      </c>
      <c r="D655" s="17" t="s">
        <v>188</v>
      </c>
      <c r="E655" s="16">
        <v>4</v>
      </c>
      <c r="F655" s="9" t="str">
        <f>VLOOKUP(C655,[1]customers!$A$1:$I$1001, 2, FALSE)</f>
        <v>Almeria Burgett</v>
      </c>
      <c r="G655" s="16" t="str">
        <f>VLOOKUP(orders!C655,[1]customers!$A$1:$I$1001, 3, FALSE)</f>
        <v>aburgetti5@moonfruit.com</v>
      </c>
      <c r="H655" s="16" t="str">
        <f>VLOOKUP(C655, [1]customers!$A$1:$I$1001, 7, FALSE)</f>
        <v>United States</v>
      </c>
      <c r="I655" s="18" t="str">
        <f>VLOOKUP(orders!D655,[1]products!$A$1:$G$49, 2,FALSE)</f>
        <v>Ara</v>
      </c>
      <c r="J655" s="18" t="str">
        <f>VLOOKUP(orders!D655,[1]products!$A$1:$G$49, 3,FALSE)</f>
        <v>M</v>
      </c>
      <c r="K655" s="19">
        <f>VLOOKUP(orders!D655,[1]products!$A$1:$G$49, 4,FALSE)</f>
        <v>2.5</v>
      </c>
      <c r="L655" s="19">
        <f>VLOOKUP(orders!D655,[1]products!$A$1:$G$49, 5,FALSE)</f>
        <v>25.874999999999996</v>
      </c>
      <c r="M655" s="13">
        <f>PRODUCT(orders!$E655,orders!$L655)</f>
        <v>103.49999999999999</v>
      </c>
      <c r="N655" s="18" t="str">
        <f t="shared" si="20"/>
        <v>June</v>
      </c>
      <c r="O655" s="18">
        <f t="shared" si="21"/>
        <v>2021</v>
      </c>
      <c r="P655" s="11" t="str">
        <f>TEXT(orders!$B655, "DDD")</f>
        <v>Mon</v>
      </c>
      <c r="Q655" s="11" t="str">
        <f>VLOOKUP(orders!C655,[1]customers!$A$1:$I$1001, 6,FALSE)</f>
        <v>Toledo</v>
      </c>
    </row>
    <row r="656" spans="1:17" x14ac:dyDescent="0.3">
      <c r="A656" s="7" t="s">
        <v>1289</v>
      </c>
      <c r="B656" s="8">
        <v>43476</v>
      </c>
      <c r="C656" s="9" t="s">
        <v>1290</v>
      </c>
      <c r="D656" s="10" t="s">
        <v>135</v>
      </c>
      <c r="E656" s="9">
        <v>3</v>
      </c>
      <c r="F656" s="9" t="str">
        <f>VLOOKUP(C656,[1]customers!$A$1:$I$1001, 2, FALSE)</f>
        <v>Marvin Malloy</v>
      </c>
      <c r="G656" s="9" t="str">
        <f>VLOOKUP(orders!C656,[1]customers!$A$1:$I$1001, 3, FALSE)</f>
        <v>mmalloyi6@seattletimes.com</v>
      </c>
      <c r="H656" s="9" t="str">
        <f>VLOOKUP(C656, [1]customers!$A$1:$I$1001, 7, FALSE)</f>
        <v>United States</v>
      </c>
      <c r="I656" s="11" t="str">
        <f>VLOOKUP(orders!D656,[1]products!$A$1:$G$49, 2,FALSE)</f>
        <v>Ara</v>
      </c>
      <c r="J656" s="11" t="str">
        <f>VLOOKUP(orders!D656,[1]products!$A$1:$G$49, 3,FALSE)</f>
        <v>D</v>
      </c>
      <c r="K656" s="12">
        <f>VLOOKUP(orders!D656,[1]products!$A$1:$G$49, 4,FALSE)</f>
        <v>2.5</v>
      </c>
      <c r="L656" s="12">
        <f>VLOOKUP(orders!D656,[1]products!$A$1:$G$49, 5,FALSE)</f>
        <v>22.884999999999998</v>
      </c>
      <c r="M656" s="13">
        <f>PRODUCT(orders!$E656,orders!$L656)</f>
        <v>68.655000000000001</v>
      </c>
      <c r="N656" s="11" t="str">
        <f t="shared" si="20"/>
        <v>January</v>
      </c>
      <c r="O656" s="11">
        <f t="shared" si="21"/>
        <v>2019</v>
      </c>
      <c r="P656" s="11" t="str">
        <f>TEXT(orders!$B656, "DDD")</f>
        <v>Fri</v>
      </c>
      <c r="Q656" s="11" t="str">
        <f>VLOOKUP(orders!C656,[1]customers!$A$1:$I$1001, 6,FALSE)</f>
        <v>Washington</v>
      </c>
    </row>
    <row r="657" spans="1:17" x14ac:dyDescent="0.3">
      <c r="A657" s="14" t="s">
        <v>1291</v>
      </c>
      <c r="B657" s="15">
        <v>43728</v>
      </c>
      <c r="C657" s="16" t="s">
        <v>1292</v>
      </c>
      <c r="D657" s="17" t="s">
        <v>58</v>
      </c>
      <c r="E657" s="16">
        <v>2</v>
      </c>
      <c r="F657" s="9" t="str">
        <f>VLOOKUP(C657,[1]customers!$A$1:$I$1001, 2, FALSE)</f>
        <v>Maxim McParland</v>
      </c>
      <c r="G657" s="16" t="str">
        <f>VLOOKUP(orders!C657,[1]customers!$A$1:$I$1001, 3, FALSE)</f>
        <v>mmcparlandi7@w3.org</v>
      </c>
      <c r="H657" s="16" t="str">
        <f>VLOOKUP(C657, [1]customers!$A$1:$I$1001, 7, FALSE)</f>
        <v>United States</v>
      </c>
      <c r="I657" s="18" t="str">
        <f>VLOOKUP(orders!D657,[1]products!$A$1:$G$49, 2,FALSE)</f>
        <v>Rob</v>
      </c>
      <c r="J657" s="18" t="str">
        <f>VLOOKUP(orders!D657,[1]products!$A$1:$G$49, 3,FALSE)</f>
        <v>M</v>
      </c>
      <c r="K657" s="19">
        <f>VLOOKUP(orders!D657,[1]products!$A$1:$G$49, 4,FALSE)</f>
        <v>2.5</v>
      </c>
      <c r="L657" s="19">
        <f>VLOOKUP(orders!D657,[1]products!$A$1:$G$49, 5,FALSE)</f>
        <v>22.884999999999998</v>
      </c>
      <c r="M657" s="13">
        <f>PRODUCT(orders!$E657,orders!$L657)</f>
        <v>45.769999999999996</v>
      </c>
      <c r="N657" s="18" t="str">
        <f t="shared" si="20"/>
        <v>September</v>
      </c>
      <c r="O657" s="18">
        <f t="shared" si="21"/>
        <v>2019</v>
      </c>
      <c r="P657" s="11" t="str">
        <f>TEXT(orders!$B657, "DDD")</f>
        <v>Fri</v>
      </c>
      <c r="Q657" s="11" t="str">
        <f>VLOOKUP(orders!C657,[1]customers!$A$1:$I$1001, 6,FALSE)</f>
        <v>Cedar Rapids</v>
      </c>
    </row>
    <row r="658" spans="1:17" x14ac:dyDescent="0.3">
      <c r="A658" s="7" t="s">
        <v>1293</v>
      </c>
      <c r="B658" s="8">
        <v>44485</v>
      </c>
      <c r="C658" s="9" t="s">
        <v>1294</v>
      </c>
      <c r="D658" s="10" t="s">
        <v>30</v>
      </c>
      <c r="E658" s="9">
        <v>4</v>
      </c>
      <c r="F658" s="9" t="str">
        <f>VLOOKUP(C658,[1]customers!$A$1:$I$1001, 2, FALSE)</f>
        <v>Sylas Jennaroy</v>
      </c>
      <c r="G658" s="9" t="str">
        <f>VLOOKUP(orders!C658,[1]customers!$A$1:$I$1001, 3, FALSE)</f>
        <v>sjennaroyi8@purevolume.com</v>
      </c>
      <c r="H658" s="9" t="str">
        <f>VLOOKUP(C658, [1]customers!$A$1:$I$1001, 7, FALSE)</f>
        <v>United States</v>
      </c>
      <c r="I658" s="11" t="str">
        <f>VLOOKUP(orders!D658,[1]products!$A$1:$G$49, 2,FALSE)</f>
        <v>Lib</v>
      </c>
      <c r="J658" s="11" t="str">
        <f>VLOOKUP(orders!D658,[1]products!$A$1:$G$49, 3,FALSE)</f>
        <v>D</v>
      </c>
      <c r="K658" s="12">
        <f>VLOOKUP(orders!D658,[1]products!$A$1:$G$49, 4,FALSE)</f>
        <v>1</v>
      </c>
      <c r="L658" s="12">
        <f>VLOOKUP(orders!D658,[1]products!$A$1:$G$49, 5,FALSE)</f>
        <v>12.95</v>
      </c>
      <c r="M658" s="13">
        <f>PRODUCT(orders!$E658,orders!$L658)</f>
        <v>51.8</v>
      </c>
      <c r="N658" s="11" t="str">
        <f t="shared" si="20"/>
        <v>October</v>
      </c>
      <c r="O658" s="11">
        <f t="shared" si="21"/>
        <v>2021</v>
      </c>
      <c r="P658" s="11" t="str">
        <f>TEXT(orders!$B658, "DDD")</f>
        <v>Sat</v>
      </c>
      <c r="Q658" s="11" t="str">
        <f>VLOOKUP(orders!C658,[1]customers!$A$1:$I$1001, 6,FALSE)</f>
        <v>Aurora</v>
      </c>
    </row>
    <row r="659" spans="1:17" x14ac:dyDescent="0.3">
      <c r="A659" s="14" t="s">
        <v>1295</v>
      </c>
      <c r="B659" s="15">
        <v>43831</v>
      </c>
      <c r="C659" s="16" t="s">
        <v>1296</v>
      </c>
      <c r="D659" s="17" t="s">
        <v>84</v>
      </c>
      <c r="E659" s="16">
        <v>2</v>
      </c>
      <c r="F659" s="9" t="str">
        <f>VLOOKUP(C659,[1]customers!$A$1:$I$1001, 2, FALSE)</f>
        <v>Wren Place</v>
      </c>
      <c r="G659" s="16" t="str">
        <f>VLOOKUP(orders!C659,[1]customers!$A$1:$I$1001, 3, FALSE)</f>
        <v>wplacei9@wsj.com</v>
      </c>
      <c r="H659" s="16" t="str">
        <f>VLOOKUP(C659, [1]customers!$A$1:$I$1001, 7, FALSE)</f>
        <v>United States</v>
      </c>
      <c r="I659" s="18" t="str">
        <f>VLOOKUP(orders!D659,[1]products!$A$1:$G$49, 2,FALSE)</f>
        <v>Ara</v>
      </c>
      <c r="J659" s="18" t="str">
        <f>VLOOKUP(orders!D659,[1]products!$A$1:$G$49, 3,FALSE)</f>
        <v>M</v>
      </c>
      <c r="K659" s="19">
        <f>VLOOKUP(orders!D659,[1]products!$A$1:$G$49, 4,FALSE)</f>
        <v>0.5</v>
      </c>
      <c r="L659" s="19">
        <f>VLOOKUP(orders!D659,[1]products!$A$1:$G$49, 5,FALSE)</f>
        <v>6.75</v>
      </c>
      <c r="M659" s="13">
        <f>PRODUCT(orders!$E659,orders!$L659)</f>
        <v>13.5</v>
      </c>
      <c r="N659" s="18" t="str">
        <f t="shared" si="20"/>
        <v>January</v>
      </c>
      <c r="O659" s="18">
        <f t="shared" si="21"/>
        <v>2020</v>
      </c>
      <c r="P659" s="11" t="str">
        <f>TEXT(orders!$B659, "DDD")</f>
        <v>Wed</v>
      </c>
      <c r="Q659" s="11" t="str">
        <f>VLOOKUP(orders!C659,[1]customers!$A$1:$I$1001, 6,FALSE)</f>
        <v>Sunnyvale</v>
      </c>
    </row>
    <row r="660" spans="1:17" x14ac:dyDescent="0.3">
      <c r="A660" s="7" t="s">
        <v>1297</v>
      </c>
      <c r="B660" s="8">
        <v>44630</v>
      </c>
      <c r="C660" s="9" t="s">
        <v>1298</v>
      </c>
      <c r="D660" s="10" t="s">
        <v>20</v>
      </c>
      <c r="E660" s="9">
        <v>3</v>
      </c>
      <c r="F660" s="9" t="str">
        <f>VLOOKUP(C660,[1]customers!$A$1:$I$1001, 2, FALSE)</f>
        <v>Janella Millett</v>
      </c>
      <c r="G660" s="9" t="str">
        <f>VLOOKUP(orders!C660,[1]customers!$A$1:$I$1001, 3, FALSE)</f>
        <v>jmillettik@addtoany.com</v>
      </c>
      <c r="H660" s="9" t="str">
        <f>VLOOKUP(C660, [1]customers!$A$1:$I$1001, 7, FALSE)</f>
        <v>United States</v>
      </c>
      <c r="I660" s="11" t="str">
        <f>VLOOKUP(orders!D660,[1]products!$A$1:$G$49, 2,FALSE)</f>
        <v>Exc</v>
      </c>
      <c r="J660" s="11" t="str">
        <f>VLOOKUP(orders!D660,[1]products!$A$1:$G$49, 3,FALSE)</f>
        <v>M</v>
      </c>
      <c r="K660" s="12">
        <f>VLOOKUP(orders!D660,[1]products!$A$1:$G$49, 4,FALSE)</f>
        <v>0.5</v>
      </c>
      <c r="L660" s="12">
        <f>VLOOKUP(orders!D660,[1]products!$A$1:$G$49, 5,FALSE)</f>
        <v>8.25</v>
      </c>
      <c r="M660" s="13">
        <f>PRODUCT(orders!$E660,orders!$L660)</f>
        <v>24.75</v>
      </c>
      <c r="N660" s="11" t="str">
        <f t="shared" si="20"/>
        <v>March</v>
      </c>
      <c r="O660" s="11">
        <f t="shared" si="21"/>
        <v>2022</v>
      </c>
      <c r="P660" s="11" t="str">
        <f>TEXT(orders!$B660, "DDD")</f>
        <v>Thu</v>
      </c>
      <c r="Q660" s="11" t="str">
        <f>VLOOKUP(orders!C660,[1]customers!$A$1:$I$1001, 6,FALSE)</f>
        <v>Durham</v>
      </c>
    </row>
    <row r="661" spans="1:17" x14ac:dyDescent="0.3">
      <c r="A661" s="14" t="s">
        <v>1299</v>
      </c>
      <c r="B661" s="15">
        <v>44693</v>
      </c>
      <c r="C661" s="16" t="s">
        <v>1300</v>
      </c>
      <c r="D661" s="17" t="s">
        <v>135</v>
      </c>
      <c r="E661" s="16">
        <v>2</v>
      </c>
      <c r="F661" s="9" t="str">
        <f>VLOOKUP(C661,[1]customers!$A$1:$I$1001, 2, FALSE)</f>
        <v>Dollie Gadsden</v>
      </c>
      <c r="G661" s="16" t="str">
        <f>VLOOKUP(orders!C661,[1]customers!$A$1:$I$1001, 3, FALSE)</f>
        <v>dgadsdenib@google.com.hk</v>
      </c>
      <c r="H661" s="16" t="str">
        <f>VLOOKUP(C661, [1]customers!$A$1:$I$1001, 7, FALSE)</f>
        <v>Ireland</v>
      </c>
      <c r="I661" s="18" t="str">
        <f>VLOOKUP(orders!D661,[1]products!$A$1:$G$49, 2,FALSE)</f>
        <v>Ara</v>
      </c>
      <c r="J661" s="18" t="str">
        <f>VLOOKUP(orders!D661,[1]products!$A$1:$G$49, 3,FALSE)</f>
        <v>D</v>
      </c>
      <c r="K661" s="19">
        <f>VLOOKUP(orders!D661,[1]products!$A$1:$G$49, 4,FALSE)</f>
        <v>2.5</v>
      </c>
      <c r="L661" s="19">
        <f>VLOOKUP(orders!D661,[1]products!$A$1:$G$49, 5,FALSE)</f>
        <v>22.884999999999998</v>
      </c>
      <c r="M661" s="13">
        <f>PRODUCT(orders!$E661,orders!$L661)</f>
        <v>45.769999999999996</v>
      </c>
      <c r="N661" s="18" t="str">
        <f t="shared" si="20"/>
        <v>May</v>
      </c>
      <c r="O661" s="18">
        <f t="shared" si="21"/>
        <v>2022</v>
      </c>
      <c r="P661" s="11" t="str">
        <f>TEXT(orders!$B661, "DDD")</f>
        <v>Thu</v>
      </c>
      <c r="Q661" s="11" t="str">
        <f>VLOOKUP(orders!C661,[1]customers!$A$1:$I$1001, 6,FALSE)</f>
        <v>Cluain Meala</v>
      </c>
    </row>
    <row r="662" spans="1:17" x14ac:dyDescent="0.3">
      <c r="A662" s="7" t="s">
        <v>1301</v>
      </c>
      <c r="B662" s="8">
        <v>44084</v>
      </c>
      <c r="C662" s="9" t="s">
        <v>1302</v>
      </c>
      <c r="D662" s="10" t="s">
        <v>193</v>
      </c>
      <c r="E662" s="9">
        <v>6</v>
      </c>
      <c r="F662" s="9" t="str">
        <f>VLOOKUP(C662,[1]customers!$A$1:$I$1001, 2, FALSE)</f>
        <v>Val Wakelin</v>
      </c>
      <c r="G662" s="9" t="str">
        <f>VLOOKUP(orders!C662,[1]customers!$A$1:$I$1001, 3, FALSE)</f>
        <v>vwakelinic@unesco.org</v>
      </c>
      <c r="H662" s="9" t="str">
        <f>VLOOKUP(C662, [1]customers!$A$1:$I$1001, 7, FALSE)</f>
        <v>United States</v>
      </c>
      <c r="I662" s="11" t="str">
        <f>VLOOKUP(orders!D662,[1]products!$A$1:$G$49, 2,FALSE)</f>
        <v>Exc</v>
      </c>
      <c r="J662" s="11" t="str">
        <f>VLOOKUP(orders!D662,[1]products!$A$1:$G$49, 3,FALSE)</f>
        <v>L</v>
      </c>
      <c r="K662" s="12">
        <f>VLOOKUP(orders!D662,[1]products!$A$1:$G$49, 4,FALSE)</f>
        <v>0.5</v>
      </c>
      <c r="L662" s="12">
        <f>VLOOKUP(orders!D662,[1]products!$A$1:$G$49, 5,FALSE)</f>
        <v>8.91</v>
      </c>
      <c r="M662" s="13">
        <f>PRODUCT(orders!$E662,orders!$L662)</f>
        <v>53.46</v>
      </c>
      <c r="N662" s="11" t="str">
        <f t="shared" si="20"/>
        <v>September</v>
      </c>
      <c r="O662" s="11">
        <f t="shared" si="21"/>
        <v>2020</v>
      </c>
      <c r="P662" s="11" t="str">
        <f>TEXT(orders!$B662, "DDD")</f>
        <v>Thu</v>
      </c>
      <c r="Q662" s="11" t="str">
        <f>VLOOKUP(orders!C662,[1]customers!$A$1:$I$1001, 6,FALSE)</f>
        <v>Lansing</v>
      </c>
    </row>
    <row r="663" spans="1:17" x14ac:dyDescent="0.3">
      <c r="A663" s="14" t="s">
        <v>1303</v>
      </c>
      <c r="B663" s="15">
        <v>44485</v>
      </c>
      <c r="C663" s="16" t="s">
        <v>1304</v>
      </c>
      <c r="D663" s="17" t="s">
        <v>61</v>
      </c>
      <c r="E663" s="16">
        <v>6</v>
      </c>
      <c r="F663" s="9" t="str">
        <f>VLOOKUP(C663,[1]customers!$A$1:$I$1001, 2, FALSE)</f>
        <v>Annie Campsall</v>
      </c>
      <c r="G663" s="16" t="str">
        <f>VLOOKUP(orders!C663,[1]customers!$A$1:$I$1001, 3, FALSE)</f>
        <v>acampsallid@zimbio.com</v>
      </c>
      <c r="H663" s="16" t="str">
        <f>VLOOKUP(C663, [1]customers!$A$1:$I$1001, 7, FALSE)</f>
        <v>United States</v>
      </c>
      <c r="I663" s="18" t="str">
        <f>VLOOKUP(orders!D663,[1]products!$A$1:$G$49, 2,FALSE)</f>
        <v>Ara</v>
      </c>
      <c r="J663" s="18" t="str">
        <f>VLOOKUP(orders!D663,[1]products!$A$1:$G$49, 3,FALSE)</f>
        <v>M</v>
      </c>
      <c r="K663" s="19">
        <f>VLOOKUP(orders!D663,[1]products!$A$1:$G$49, 4,FALSE)</f>
        <v>0.2</v>
      </c>
      <c r="L663" s="19">
        <f>VLOOKUP(orders!D663,[1]products!$A$1:$G$49, 5,FALSE)</f>
        <v>3.375</v>
      </c>
      <c r="M663" s="13">
        <f>PRODUCT(orders!$E663,orders!$L663)</f>
        <v>20.25</v>
      </c>
      <c r="N663" s="18" t="str">
        <f t="shared" si="20"/>
        <v>October</v>
      </c>
      <c r="O663" s="18">
        <f t="shared" si="21"/>
        <v>2021</v>
      </c>
      <c r="P663" s="11" t="str">
        <f>TEXT(orders!$B663, "DDD")</f>
        <v>Sat</v>
      </c>
      <c r="Q663" s="11" t="str">
        <f>VLOOKUP(orders!C663,[1]customers!$A$1:$I$1001, 6,FALSE)</f>
        <v>Houston</v>
      </c>
    </row>
    <row r="664" spans="1:17" x14ac:dyDescent="0.3">
      <c r="A664" s="7" t="s">
        <v>1305</v>
      </c>
      <c r="B664" s="8">
        <v>44364</v>
      </c>
      <c r="C664" s="9" t="s">
        <v>1306</v>
      </c>
      <c r="D664" s="10" t="s">
        <v>126</v>
      </c>
      <c r="E664" s="9">
        <v>5</v>
      </c>
      <c r="F664" s="9" t="str">
        <f>VLOOKUP(C664,[1]customers!$A$1:$I$1001, 2, FALSE)</f>
        <v>Shermy Moseby</v>
      </c>
      <c r="G664" s="9" t="str">
        <f>VLOOKUP(orders!C664,[1]customers!$A$1:$I$1001, 3, FALSE)</f>
        <v>smosebyie@stanford.edu</v>
      </c>
      <c r="H664" s="9" t="str">
        <f>VLOOKUP(C664, [1]customers!$A$1:$I$1001, 7, FALSE)</f>
        <v>United States</v>
      </c>
      <c r="I664" s="11" t="str">
        <f>VLOOKUP(orders!D664,[1]products!$A$1:$G$49, 2,FALSE)</f>
        <v>Lib</v>
      </c>
      <c r="J664" s="11" t="str">
        <f>VLOOKUP(orders!D664,[1]products!$A$1:$G$49, 3,FALSE)</f>
        <v>D</v>
      </c>
      <c r="K664" s="12">
        <f>VLOOKUP(orders!D664,[1]products!$A$1:$G$49, 4,FALSE)</f>
        <v>2.5</v>
      </c>
      <c r="L664" s="12">
        <f>VLOOKUP(orders!D664,[1]products!$A$1:$G$49, 5,FALSE)</f>
        <v>29.784999999999997</v>
      </c>
      <c r="M664" s="13">
        <f>PRODUCT(orders!$E664,orders!$L664)</f>
        <v>148.92499999999998</v>
      </c>
      <c r="N664" s="11" t="str">
        <f t="shared" si="20"/>
        <v>June</v>
      </c>
      <c r="O664" s="11">
        <f t="shared" si="21"/>
        <v>2021</v>
      </c>
      <c r="P664" s="11" t="str">
        <f>TEXT(orders!$B664, "DDD")</f>
        <v>Thu</v>
      </c>
      <c r="Q664" s="11" t="str">
        <f>VLOOKUP(orders!C664,[1]customers!$A$1:$I$1001, 6,FALSE)</f>
        <v>Murfreesboro</v>
      </c>
    </row>
    <row r="665" spans="1:17" x14ac:dyDescent="0.3">
      <c r="A665" s="14" t="s">
        <v>1307</v>
      </c>
      <c r="B665" s="15">
        <v>43554</v>
      </c>
      <c r="C665" s="16" t="s">
        <v>1308</v>
      </c>
      <c r="D665" s="17" t="s">
        <v>78</v>
      </c>
      <c r="E665" s="16">
        <v>6</v>
      </c>
      <c r="F665" s="9" t="str">
        <f>VLOOKUP(C665,[1]customers!$A$1:$I$1001, 2, FALSE)</f>
        <v>Corrie Wass</v>
      </c>
      <c r="G665" s="16" t="str">
        <f>VLOOKUP(orders!C665,[1]customers!$A$1:$I$1001, 3, FALSE)</f>
        <v>cwassif@prweb.com</v>
      </c>
      <c r="H665" s="16" t="str">
        <f>VLOOKUP(C665, [1]customers!$A$1:$I$1001, 7, FALSE)</f>
        <v>United States</v>
      </c>
      <c r="I665" s="18" t="str">
        <f>VLOOKUP(orders!D665,[1]products!$A$1:$G$49, 2,FALSE)</f>
        <v>Ara</v>
      </c>
      <c r="J665" s="18" t="str">
        <f>VLOOKUP(orders!D665,[1]products!$A$1:$G$49, 3,FALSE)</f>
        <v>M</v>
      </c>
      <c r="K665" s="19">
        <f>VLOOKUP(orders!D665,[1]products!$A$1:$G$49, 4,FALSE)</f>
        <v>1</v>
      </c>
      <c r="L665" s="19">
        <f>VLOOKUP(orders!D665,[1]products!$A$1:$G$49, 5,FALSE)</f>
        <v>11.25</v>
      </c>
      <c r="M665" s="13">
        <f>PRODUCT(orders!$E665,orders!$L665)</f>
        <v>67.5</v>
      </c>
      <c r="N665" s="18" t="str">
        <f t="shared" si="20"/>
        <v>March</v>
      </c>
      <c r="O665" s="18">
        <f t="shared" si="21"/>
        <v>2019</v>
      </c>
      <c r="P665" s="11" t="str">
        <f>TEXT(orders!$B665, "DDD")</f>
        <v>Sat</v>
      </c>
      <c r="Q665" s="11" t="str">
        <f>VLOOKUP(orders!C665,[1]customers!$A$1:$I$1001, 6,FALSE)</f>
        <v>Charleston</v>
      </c>
    </row>
    <row r="666" spans="1:17" x14ac:dyDescent="0.3">
      <c r="A666" s="7" t="s">
        <v>1309</v>
      </c>
      <c r="B666" s="8">
        <v>44549</v>
      </c>
      <c r="C666" s="9" t="s">
        <v>1310</v>
      </c>
      <c r="D666" s="10" t="s">
        <v>262</v>
      </c>
      <c r="E666" s="9">
        <v>6</v>
      </c>
      <c r="F666" s="9" t="str">
        <f>VLOOKUP(C666,[1]customers!$A$1:$I$1001, 2, FALSE)</f>
        <v>Ira Sjostrom</v>
      </c>
      <c r="G666" s="9" t="str">
        <f>VLOOKUP(orders!C666,[1]customers!$A$1:$I$1001, 3, FALSE)</f>
        <v>isjostromig@pbs.org</v>
      </c>
      <c r="H666" s="9" t="str">
        <f>VLOOKUP(C666, [1]customers!$A$1:$I$1001, 7, FALSE)</f>
        <v>United States</v>
      </c>
      <c r="I666" s="11" t="str">
        <f>VLOOKUP(orders!D666,[1]products!$A$1:$G$49, 2,FALSE)</f>
        <v>Exc</v>
      </c>
      <c r="J666" s="11" t="str">
        <f>VLOOKUP(orders!D666,[1]products!$A$1:$G$49, 3,FALSE)</f>
        <v>D</v>
      </c>
      <c r="K666" s="12">
        <f>VLOOKUP(orders!D666,[1]products!$A$1:$G$49, 4,FALSE)</f>
        <v>1</v>
      </c>
      <c r="L666" s="12">
        <f>VLOOKUP(orders!D666,[1]products!$A$1:$G$49, 5,FALSE)</f>
        <v>12.15</v>
      </c>
      <c r="M666" s="13">
        <f>PRODUCT(orders!$E666,orders!$L666)</f>
        <v>72.900000000000006</v>
      </c>
      <c r="N666" s="11" t="str">
        <f t="shared" si="20"/>
        <v>December</v>
      </c>
      <c r="O666" s="11">
        <f t="shared" si="21"/>
        <v>2021</v>
      </c>
      <c r="P666" s="11" t="str">
        <f>TEXT(orders!$B666, "DDD")</f>
        <v>Sun</v>
      </c>
      <c r="Q666" s="11" t="str">
        <f>VLOOKUP(orders!C666,[1]customers!$A$1:$I$1001, 6,FALSE)</f>
        <v>Erie</v>
      </c>
    </row>
    <row r="667" spans="1:17" x14ac:dyDescent="0.3">
      <c r="A667" s="14" t="s">
        <v>1309</v>
      </c>
      <c r="B667" s="15">
        <v>44549</v>
      </c>
      <c r="C667" s="16" t="s">
        <v>1310</v>
      </c>
      <c r="D667" s="17" t="s">
        <v>55</v>
      </c>
      <c r="E667" s="16">
        <v>2</v>
      </c>
      <c r="F667" s="9" t="str">
        <f>VLOOKUP(C667,[1]customers!$A$1:$I$1001, 2, FALSE)</f>
        <v>Ira Sjostrom</v>
      </c>
      <c r="G667" s="16" t="str">
        <f>VLOOKUP(orders!C667,[1]customers!$A$1:$I$1001, 3, FALSE)</f>
        <v>isjostromig@pbs.org</v>
      </c>
      <c r="H667" s="16" t="str">
        <f>VLOOKUP(C667, [1]customers!$A$1:$I$1001, 7, FALSE)</f>
        <v>United States</v>
      </c>
      <c r="I667" s="18" t="str">
        <f>VLOOKUP(orders!D667,[1]products!$A$1:$G$49, 2,FALSE)</f>
        <v>Lib</v>
      </c>
      <c r="J667" s="18" t="str">
        <f>VLOOKUP(orders!D667,[1]products!$A$1:$G$49, 3,FALSE)</f>
        <v>D</v>
      </c>
      <c r="K667" s="19">
        <f>VLOOKUP(orders!D667,[1]products!$A$1:$G$49, 4,FALSE)</f>
        <v>0.2</v>
      </c>
      <c r="L667" s="19">
        <f>VLOOKUP(orders!D667,[1]products!$A$1:$G$49, 5,FALSE)</f>
        <v>3.8849999999999998</v>
      </c>
      <c r="M667" s="13">
        <f>PRODUCT(orders!$E667,orders!$L667)</f>
        <v>7.77</v>
      </c>
      <c r="N667" s="18" t="str">
        <f t="shared" si="20"/>
        <v>December</v>
      </c>
      <c r="O667" s="18">
        <f t="shared" si="21"/>
        <v>2021</v>
      </c>
      <c r="P667" s="11" t="str">
        <f>TEXT(orders!$B667, "DDD")</f>
        <v>Sun</v>
      </c>
      <c r="Q667" s="11" t="str">
        <f>VLOOKUP(orders!C667,[1]customers!$A$1:$I$1001, 6,FALSE)</f>
        <v>Erie</v>
      </c>
    </row>
    <row r="668" spans="1:17" x14ac:dyDescent="0.3">
      <c r="A668" s="7" t="s">
        <v>1311</v>
      </c>
      <c r="B668" s="8">
        <v>43987</v>
      </c>
      <c r="C668" s="9" t="s">
        <v>1312</v>
      </c>
      <c r="D668" s="10" t="s">
        <v>135</v>
      </c>
      <c r="E668" s="9">
        <v>4</v>
      </c>
      <c r="F668" s="9" t="str">
        <f>VLOOKUP(C668,[1]customers!$A$1:$I$1001, 2, FALSE)</f>
        <v>Jermaine Branchett</v>
      </c>
      <c r="G668" s="9" t="str">
        <f>VLOOKUP(orders!C668,[1]customers!$A$1:$I$1001, 3, FALSE)</f>
        <v>jbranchettii@bravesites.com</v>
      </c>
      <c r="H668" s="9" t="str">
        <f>VLOOKUP(C668, [1]customers!$A$1:$I$1001, 7, FALSE)</f>
        <v>United States</v>
      </c>
      <c r="I668" s="11" t="str">
        <f>VLOOKUP(orders!D668,[1]products!$A$1:$G$49, 2,FALSE)</f>
        <v>Ara</v>
      </c>
      <c r="J668" s="11" t="str">
        <f>VLOOKUP(orders!D668,[1]products!$A$1:$G$49, 3,FALSE)</f>
        <v>D</v>
      </c>
      <c r="K668" s="12">
        <f>VLOOKUP(orders!D668,[1]products!$A$1:$G$49, 4,FALSE)</f>
        <v>2.5</v>
      </c>
      <c r="L668" s="12">
        <f>VLOOKUP(orders!D668,[1]products!$A$1:$G$49, 5,FALSE)</f>
        <v>22.884999999999998</v>
      </c>
      <c r="M668" s="13">
        <f>PRODUCT(orders!$E668,orders!$L668)</f>
        <v>91.539999999999992</v>
      </c>
      <c r="N668" s="11" t="str">
        <f t="shared" si="20"/>
        <v>June</v>
      </c>
      <c r="O668" s="11">
        <f t="shared" si="21"/>
        <v>2020</v>
      </c>
      <c r="P668" s="11" t="str">
        <f>TEXT(orders!$B668, "DDD")</f>
        <v>Fri</v>
      </c>
      <c r="Q668" s="11" t="str">
        <f>VLOOKUP(orders!C668,[1]customers!$A$1:$I$1001, 6,FALSE)</f>
        <v>Lubbock</v>
      </c>
    </row>
    <row r="669" spans="1:17" x14ac:dyDescent="0.3">
      <c r="A669" s="14" t="s">
        <v>1313</v>
      </c>
      <c r="B669" s="15">
        <v>44451</v>
      </c>
      <c r="C669" s="16" t="s">
        <v>1314</v>
      </c>
      <c r="D669" s="17" t="s">
        <v>44</v>
      </c>
      <c r="E669" s="16">
        <v>6</v>
      </c>
      <c r="F669" s="9" t="str">
        <f>VLOOKUP(C669,[1]customers!$A$1:$I$1001, 2, FALSE)</f>
        <v>Nissie Rudland</v>
      </c>
      <c r="G669" s="16" t="str">
        <f>VLOOKUP(orders!C669,[1]customers!$A$1:$I$1001, 3, FALSE)</f>
        <v>nrudlandij@blogs.com</v>
      </c>
      <c r="H669" s="16" t="str">
        <f>VLOOKUP(C669, [1]customers!$A$1:$I$1001, 7, FALSE)</f>
        <v>Ireland</v>
      </c>
      <c r="I669" s="18" t="str">
        <f>VLOOKUP(orders!D669,[1]products!$A$1:$G$49, 2,FALSE)</f>
        <v>Ara</v>
      </c>
      <c r="J669" s="18" t="str">
        <f>VLOOKUP(orders!D669,[1]products!$A$1:$G$49, 3,FALSE)</f>
        <v>D</v>
      </c>
      <c r="K669" s="19">
        <f>VLOOKUP(orders!D669,[1]products!$A$1:$G$49, 4,FALSE)</f>
        <v>1</v>
      </c>
      <c r="L669" s="19">
        <f>VLOOKUP(orders!D669,[1]products!$A$1:$G$49, 5,FALSE)</f>
        <v>9.9499999999999993</v>
      </c>
      <c r="M669" s="13">
        <f>PRODUCT(orders!$E669,orders!$L669)</f>
        <v>59.699999999999996</v>
      </c>
      <c r="N669" s="18" t="str">
        <f t="shared" si="20"/>
        <v>September</v>
      </c>
      <c r="O669" s="18">
        <f t="shared" si="21"/>
        <v>2021</v>
      </c>
      <c r="P669" s="11" t="str">
        <f>TEXT(orders!$B669, "DDD")</f>
        <v>Sun</v>
      </c>
      <c r="Q669" s="11" t="str">
        <f>VLOOKUP(orders!C669,[1]customers!$A$1:$I$1001, 6,FALSE)</f>
        <v>Gorey</v>
      </c>
    </row>
    <row r="670" spans="1:17" x14ac:dyDescent="0.3">
      <c r="A670" s="7" t="s">
        <v>1315</v>
      </c>
      <c r="B670" s="8">
        <v>44636</v>
      </c>
      <c r="C670" s="9" t="s">
        <v>1298</v>
      </c>
      <c r="D670" s="10" t="s">
        <v>27</v>
      </c>
      <c r="E670" s="9">
        <v>5</v>
      </c>
      <c r="F670" s="9" t="str">
        <f>VLOOKUP(C670,[1]customers!$A$1:$I$1001, 2, FALSE)</f>
        <v>Janella Millett</v>
      </c>
      <c r="G670" s="9" t="str">
        <f>VLOOKUP(orders!C670,[1]customers!$A$1:$I$1001, 3, FALSE)</f>
        <v>jmillettik@addtoany.com</v>
      </c>
      <c r="H670" s="9" t="str">
        <f>VLOOKUP(C670, [1]customers!$A$1:$I$1001, 7, FALSE)</f>
        <v>United States</v>
      </c>
      <c r="I670" s="11" t="str">
        <f>VLOOKUP(orders!D670,[1]products!$A$1:$G$49, 2,FALSE)</f>
        <v>Rob</v>
      </c>
      <c r="J670" s="11" t="str">
        <f>VLOOKUP(orders!D670,[1]products!$A$1:$G$49, 3,FALSE)</f>
        <v>L</v>
      </c>
      <c r="K670" s="12">
        <f>VLOOKUP(orders!D670,[1]products!$A$1:$G$49, 4,FALSE)</f>
        <v>2.5</v>
      </c>
      <c r="L670" s="12">
        <f>VLOOKUP(orders!D670,[1]products!$A$1:$G$49, 5,FALSE)</f>
        <v>27.484999999999996</v>
      </c>
      <c r="M670" s="13">
        <f>PRODUCT(orders!$E670,orders!$L670)</f>
        <v>137.42499999999998</v>
      </c>
      <c r="N670" s="11" t="str">
        <f t="shared" si="20"/>
        <v>March</v>
      </c>
      <c r="O670" s="11">
        <f t="shared" si="21"/>
        <v>2022</v>
      </c>
      <c r="P670" s="11" t="str">
        <f>TEXT(orders!$B670, "DDD")</f>
        <v>Wed</v>
      </c>
      <c r="Q670" s="11" t="str">
        <f>VLOOKUP(orders!C670,[1]customers!$A$1:$I$1001, 6,FALSE)</f>
        <v>Durham</v>
      </c>
    </row>
    <row r="671" spans="1:17" x14ac:dyDescent="0.3">
      <c r="A671" s="14" t="s">
        <v>1316</v>
      </c>
      <c r="B671" s="15">
        <v>44551</v>
      </c>
      <c r="C671" s="16" t="s">
        <v>1317</v>
      </c>
      <c r="D671" s="17" t="s">
        <v>214</v>
      </c>
      <c r="E671" s="16">
        <v>2</v>
      </c>
      <c r="F671" s="9" t="str">
        <f>VLOOKUP(C671,[1]customers!$A$1:$I$1001, 2, FALSE)</f>
        <v>Ferdie Tourry</v>
      </c>
      <c r="G671" s="16" t="str">
        <f>VLOOKUP(orders!C671,[1]customers!$A$1:$I$1001, 3, FALSE)</f>
        <v>ftourryil@google.de</v>
      </c>
      <c r="H671" s="16" t="str">
        <f>VLOOKUP(C671, [1]customers!$A$1:$I$1001, 7, FALSE)</f>
        <v>United States</v>
      </c>
      <c r="I671" s="18" t="str">
        <f>VLOOKUP(orders!D671,[1]products!$A$1:$G$49, 2,FALSE)</f>
        <v>Lib</v>
      </c>
      <c r="J671" s="18" t="str">
        <f>VLOOKUP(orders!D671,[1]products!$A$1:$G$49, 3,FALSE)</f>
        <v>M</v>
      </c>
      <c r="K671" s="19">
        <f>VLOOKUP(orders!D671,[1]products!$A$1:$G$49, 4,FALSE)</f>
        <v>2.5</v>
      </c>
      <c r="L671" s="19">
        <f>VLOOKUP(orders!D671,[1]products!$A$1:$G$49, 5,FALSE)</f>
        <v>33.464999999999996</v>
      </c>
      <c r="M671" s="13">
        <f>PRODUCT(orders!$E671,orders!$L671)</f>
        <v>66.929999999999993</v>
      </c>
      <c r="N671" s="18" t="str">
        <f t="shared" si="20"/>
        <v>December</v>
      </c>
      <c r="O671" s="18">
        <f t="shared" si="21"/>
        <v>2021</v>
      </c>
      <c r="P671" s="11" t="str">
        <f>TEXT(orders!$B671, "DDD")</f>
        <v>Tue</v>
      </c>
      <c r="Q671" s="11" t="str">
        <f>VLOOKUP(orders!C671,[1]customers!$A$1:$I$1001, 6,FALSE)</f>
        <v>Florence</v>
      </c>
    </row>
    <row r="672" spans="1:17" x14ac:dyDescent="0.3">
      <c r="A672" s="7" t="s">
        <v>1318</v>
      </c>
      <c r="B672" s="8">
        <v>43606</v>
      </c>
      <c r="C672" s="9" t="s">
        <v>1319</v>
      </c>
      <c r="D672" s="10" t="s">
        <v>94</v>
      </c>
      <c r="E672" s="9">
        <v>3</v>
      </c>
      <c r="F672" s="9" t="str">
        <f>VLOOKUP(C672,[1]customers!$A$1:$I$1001, 2, FALSE)</f>
        <v>Cecil Weatherall</v>
      </c>
      <c r="G672" s="9" t="str">
        <f>VLOOKUP(orders!C672,[1]customers!$A$1:$I$1001, 3, FALSE)</f>
        <v>cweatherallim@toplist.cz</v>
      </c>
      <c r="H672" s="9" t="str">
        <f>VLOOKUP(C672, [1]customers!$A$1:$I$1001, 7, FALSE)</f>
        <v>United States</v>
      </c>
      <c r="I672" s="11" t="str">
        <f>VLOOKUP(orders!D672,[1]products!$A$1:$G$49, 2,FALSE)</f>
        <v>Lib</v>
      </c>
      <c r="J672" s="11" t="str">
        <f>VLOOKUP(orders!D672,[1]products!$A$1:$G$49, 3,FALSE)</f>
        <v>M</v>
      </c>
      <c r="K672" s="12">
        <f>VLOOKUP(orders!D672,[1]products!$A$1:$G$49, 4,FALSE)</f>
        <v>0.2</v>
      </c>
      <c r="L672" s="12">
        <f>VLOOKUP(orders!D672,[1]products!$A$1:$G$49, 5,FALSE)</f>
        <v>4.3650000000000002</v>
      </c>
      <c r="M672" s="13">
        <f>PRODUCT(orders!$E672,orders!$L672)</f>
        <v>13.095000000000001</v>
      </c>
      <c r="N672" s="11" t="str">
        <f t="shared" si="20"/>
        <v>May</v>
      </c>
      <c r="O672" s="11">
        <f t="shared" si="21"/>
        <v>2019</v>
      </c>
      <c r="P672" s="11" t="str">
        <f>TEXT(orders!$B672, "DDD")</f>
        <v>Tue</v>
      </c>
      <c r="Q672" s="11" t="str">
        <f>VLOOKUP(orders!C672,[1]customers!$A$1:$I$1001, 6,FALSE)</f>
        <v>Syracuse</v>
      </c>
    </row>
    <row r="673" spans="1:17" x14ac:dyDescent="0.3">
      <c r="A673" s="14" t="s">
        <v>1320</v>
      </c>
      <c r="B673" s="15">
        <v>44495</v>
      </c>
      <c r="C673" s="16" t="s">
        <v>1321</v>
      </c>
      <c r="D673" s="17" t="s">
        <v>206</v>
      </c>
      <c r="E673" s="16">
        <v>5</v>
      </c>
      <c r="F673" s="9" t="str">
        <f>VLOOKUP(C673,[1]customers!$A$1:$I$1001, 2, FALSE)</f>
        <v>Gale Heindrick</v>
      </c>
      <c r="G673" s="16" t="str">
        <f>VLOOKUP(orders!C673,[1]customers!$A$1:$I$1001, 3, FALSE)</f>
        <v>gheindrickin@usda.gov</v>
      </c>
      <c r="H673" s="16" t="str">
        <f>VLOOKUP(C673, [1]customers!$A$1:$I$1001, 7, FALSE)</f>
        <v>United States</v>
      </c>
      <c r="I673" s="18" t="str">
        <f>VLOOKUP(orders!D673,[1]products!$A$1:$G$49, 2,FALSE)</f>
        <v>Rob</v>
      </c>
      <c r="J673" s="18" t="str">
        <f>VLOOKUP(orders!D673,[1]products!$A$1:$G$49, 3,FALSE)</f>
        <v>L</v>
      </c>
      <c r="K673" s="19">
        <f>VLOOKUP(orders!D673,[1]products!$A$1:$G$49, 4,FALSE)</f>
        <v>1</v>
      </c>
      <c r="L673" s="19">
        <f>VLOOKUP(orders!D673,[1]products!$A$1:$G$49, 5,FALSE)</f>
        <v>11.95</v>
      </c>
      <c r="M673" s="13">
        <f>PRODUCT(orders!$E673,orders!$L673)</f>
        <v>59.75</v>
      </c>
      <c r="N673" s="18" t="str">
        <f t="shared" si="20"/>
        <v>October</v>
      </c>
      <c r="O673" s="18">
        <f t="shared" si="21"/>
        <v>2021</v>
      </c>
      <c r="P673" s="11" t="str">
        <f>TEXT(orders!$B673, "DDD")</f>
        <v>Tue</v>
      </c>
      <c r="Q673" s="11" t="str">
        <f>VLOOKUP(orders!C673,[1]customers!$A$1:$I$1001, 6,FALSE)</f>
        <v>Lawrenceville</v>
      </c>
    </row>
    <row r="674" spans="1:17" x14ac:dyDescent="0.3">
      <c r="A674" s="7" t="s">
        <v>1322</v>
      </c>
      <c r="B674" s="8">
        <v>43916</v>
      </c>
      <c r="C674" s="9" t="s">
        <v>1323</v>
      </c>
      <c r="D674" s="10" t="s">
        <v>95</v>
      </c>
      <c r="E674" s="9">
        <v>5</v>
      </c>
      <c r="F674" s="9" t="str">
        <f>VLOOKUP(C674,[1]customers!$A$1:$I$1001, 2, FALSE)</f>
        <v>Layne Imason</v>
      </c>
      <c r="G674" s="9" t="str">
        <f>VLOOKUP(orders!C674,[1]customers!$A$1:$I$1001, 3, FALSE)</f>
        <v>limasonio@discuz.net</v>
      </c>
      <c r="H674" s="9" t="str">
        <f>VLOOKUP(C674, [1]customers!$A$1:$I$1001, 7, FALSE)</f>
        <v>United States</v>
      </c>
      <c r="I674" s="11" t="str">
        <f>VLOOKUP(orders!D674,[1]products!$A$1:$G$49, 2,FALSE)</f>
        <v>Lib</v>
      </c>
      <c r="J674" s="11" t="str">
        <f>VLOOKUP(orders!D674,[1]products!$A$1:$G$49, 3,FALSE)</f>
        <v>M</v>
      </c>
      <c r="K674" s="12">
        <f>VLOOKUP(orders!D674,[1]products!$A$1:$G$49, 4,FALSE)</f>
        <v>0.5</v>
      </c>
      <c r="L674" s="12">
        <f>VLOOKUP(orders!D674,[1]products!$A$1:$G$49, 5,FALSE)</f>
        <v>8.73</v>
      </c>
      <c r="M674" s="13">
        <f>PRODUCT(orders!$E674,orders!$L674)</f>
        <v>43.650000000000006</v>
      </c>
      <c r="N674" s="11" t="str">
        <f t="shared" si="20"/>
        <v>March</v>
      </c>
      <c r="O674" s="11">
        <f t="shared" si="21"/>
        <v>2020</v>
      </c>
      <c r="P674" s="11" t="str">
        <f>TEXT(orders!$B674, "DDD")</f>
        <v>Thu</v>
      </c>
      <c r="Q674" s="11" t="str">
        <f>VLOOKUP(orders!C674,[1]customers!$A$1:$I$1001, 6,FALSE)</f>
        <v>Houston</v>
      </c>
    </row>
    <row r="675" spans="1:17" x14ac:dyDescent="0.3">
      <c r="A675" s="14" t="s">
        <v>1324</v>
      </c>
      <c r="B675" s="15">
        <v>44118</v>
      </c>
      <c r="C675" s="16" t="s">
        <v>1325</v>
      </c>
      <c r="D675" s="17" t="s">
        <v>26</v>
      </c>
      <c r="E675" s="16">
        <v>6</v>
      </c>
      <c r="F675" s="9" t="str">
        <f>VLOOKUP(C675,[1]customers!$A$1:$I$1001, 2, FALSE)</f>
        <v>Hazel Saill</v>
      </c>
      <c r="G675" s="16" t="str">
        <f>VLOOKUP(orders!C675,[1]customers!$A$1:$I$1001, 3, FALSE)</f>
        <v>hsaillip@odnoklassniki.ru</v>
      </c>
      <c r="H675" s="16" t="str">
        <f>VLOOKUP(C675, [1]customers!$A$1:$I$1001, 7, FALSE)</f>
        <v>United States</v>
      </c>
      <c r="I675" s="18" t="str">
        <f>VLOOKUP(orders!D675,[1]products!$A$1:$G$49, 2,FALSE)</f>
        <v>Exc</v>
      </c>
      <c r="J675" s="18" t="str">
        <f>VLOOKUP(orders!D675,[1]products!$A$1:$G$49, 3,FALSE)</f>
        <v>M</v>
      </c>
      <c r="K675" s="19">
        <f>VLOOKUP(orders!D675,[1]products!$A$1:$G$49, 4,FALSE)</f>
        <v>1</v>
      </c>
      <c r="L675" s="19">
        <f>VLOOKUP(orders!D675,[1]products!$A$1:$G$49, 5,FALSE)</f>
        <v>13.75</v>
      </c>
      <c r="M675" s="13">
        <f>PRODUCT(orders!$E675,orders!$L675)</f>
        <v>82.5</v>
      </c>
      <c r="N675" s="18" t="str">
        <f t="shared" si="20"/>
        <v>October</v>
      </c>
      <c r="O675" s="18">
        <f t="shared" si="21"/>
        <v>2020</v>
      </c>
      <c r="P675" s="11" t="str">
        <f>TEXT(orders!$B675, "DDD")</f>
        <v>Wed</v>
      </c>
      <c r="Q675" s="11" t="str">
        <f>VLOOKUP(orders!C675,[1]customers!$A$1:$I$1001, 6,FALSE)</f>
        <v>Kansas City</v>
      </c>
    </row>
    <row r="676" spans="1:17" x14ac:dyDescent="0.3">
      <c r="A676" s="7" t="s">
        <v>1326</v>
      </c>
      <c r="B676" s="8">
        <v>44543</v>
      </c>
      <c r="C676" s="9" t="s">
        <v>1327</v>
      </c>
      <c r="D676" s="10" t="s">
        <v>221</v>
      </c>
      <c r="E676" s="9">
        <v>6</v>
      </c>
      <c r="F676" s="9" t="str">
        <f>VLOOKUP(C676,[1]customers!$A$1:$I$1001, 2, FALSE)</f>
        <v>Hermann Larvor</v>
      </c>
      <c r="G676" s="9" t="str">
        <f>VLOOKUP(orders!C676,[1]customers!$A$1:$I$1001, 3, FALSE)</f>
        <v>hlarvoriq@last.fm</v>
      </c>
      <c r="H676" s="9" t="str">
        <f>VLOOKUP(C676, [1]customers!$A$1:$I$1001, 7, FALSE)</f>
        <v>United States</v>
      </c>
      <c r="I676" s="11" t="str">
        <f>VLOOKUP(orders!D676,[1]products!$A$1:$G$49, 2,FALSE)</f>
        <v>Ara</v>
      </c>
      <c r="J676" s="11" t="str">
        <f>VLOOKUP(orders!D676,[1]products!$A$1:$G$49, 3,FALSE)</f>
        <v>L</v>
      </c>
      <c r="K676" s="12">
        <f>VLOOKUP(orders!D676,[1]products!$A$1:$G$49, 4,FALSE)</f>
        <v>2.5</v>
      </c>
      <c r="L676" s="12">
        <f>VLOOKUP(orders!D676,[1]products!$A$1:$G$49, 5,FALSE)</f>
        <v>29.784999999999997</v>
      </c>
      <c r="M676" s="13">
        <f>PRODUCT(orders!$E676,orders!$L676)</f>
        <v>178.70999999999998</v>
      </c>
      <c r="N676" s="11" t="str">
        <f t="shared" si="20"/>
        <v>December</v>
      </c>
      <c r="O676" s="11">
        <f t="shared" si="21"/>
        <v>2021</v>
      </c>
      <c r="P676" s="11" t="str">
        <f>TEXT(orders!$B676, "DDD")</f>
        <v>Mon</v>
      </c>
      <c r="Q676" s="11" t="str">
        <f>VLOOKUP(orders!C676,[1]customers!$A$1:$I$1001, 6,FALSE)</f>
        <v>Bradenton</v>
      </c>
    </row>
    <row r="677" spans="1:17" x14ac:dyDescent="0.3">
      <c r="A677" s="14" t="s">
        <v>1328</v>
      </c>
      <c r="B677" s="15">
        <v>44263</v>
      </c>
      <c r="C677" s="16" t="s">
        <v>1329</v>
      </c>
      <c r="D677" s="17" t="s">
        <v>126</v>
      </c>
      <c r="E677" s="16">
        <v>4</v>
      </c>
      <c r="F677" s="9" t="str">
        <f>VLOOKUP(C677,[1]customers!$A$1:$I$1001, 2, FALSE)</f>
        <v>Terri Lyford</v>
      </c>
      <c r="G677" s="16">
        <f>VLOOKUP(orders!C677,[1]customers!$A$1:$I$1001, 3, FALSE)</f>
        <v>0</v>
      </c>
      <c r="H677" s="16" t="str">
        <f>VLOOKUP(C677, [1]customers!$A$1:$I$1001, 7, FALSE)</f>
        <v>United States</v>
      </c>
      <c r="I677" s="18" t="str">
        <f>VLOOKUP(orders!D677,[1]products!$A$1:$G$49, 2,FALSE)</f>
        <v>Lib</v>
      </c>
      <c r="J677" s="18" t="str">
        <f>VLOOKUP(orders!D677,[1]products!$A$1:$G$49, 3,FALSE)</f>
        <v>D</v>
      </c>
      <c r="K677" s="19">
        <f>VLOOKUP(orders!D677,[1]products!$A$1:$G$49, 4,FALSE)</f>
        <v>2.5</v>
      </c>
      <c r="L677" s="19">
        <f>VLOOKUP(orders!D677,[1]products!$A$1:$G$49, 5,FALSE)</f>
        <v>29.784999999999997</v>
      </c>
      <c r="M677" s="13">
        <f>PRODUCT(orders!$E677,orders!$L677)</f>
        <v>119.13999999999999</v>
      </c>
      <c r="N677" s="18" t="str">
        <f t="shared" si="20"/>
        <v>March</v>
      </c>
      <c r="O677" s="18">
        <f t="shared" si="21"/>
        <v>2021</v>
      </c>
      <c r="P677" s="11" t="str">
        <f>TEXT(orders!$B677, "DDD")</f>
        <v>Mon</v>
      </c>
      <c r="Q677" s="11" t="str">
        <f>VLOOKUP(orders!C677,[1]customers!$A$1:$I$1001, 6,FALSE)</f>
        <v>Allentown</v>
      </c>
    </row>
    <row r="678" spans="1:17" x14ac:dyDescent="0.3">
      <c r="A678" s="7" t="s">
        <v>1330</v>
      </c>
      <c r="B678" s="8">
        <v>44217</v>
      </c>
      <c r="C678" s="9" t="s">
        <v>1331</v>
      </c>
      <c r="D678" s="10" t="s">
        <v>100</v>
      </c>
      <c r="E678" s="9">
        <v>5</v>
      </c>
      <c r="F678" s="9" t="str">
        <f>VLOOKUP(C678,[1]customers!$A$1:$I$1001, 2, FALSE)</f>
        <v>Gabey Cogan</v>
      </c>
      <c r="G678" s="9">
        <f>VLOOKUP(orders!C678,[1]customers!$A$1:$I$1001, 3, FALSE)</f>
        <v>0</v>
      </c>
      <c r="H678" s="9" t="str">
        <f>VLOOKUP(C678, [1]customers!$A$1:$I$1001, 7, FALSE)</f>
        <v>United States</v>
      </c>
      <c r="I678" s="11" t="str">
        <f>VLOOKUP(orders!D678,[1]products!$A$1:$G$49, 2,FALSE)</f>
        <v>Lib</v>
      </c>
      <c r="J678" s="11" t="str">
        <f>VLOOKUP(orders!D678,[1]products!$A$1:$G$49, 3,FALSE)</f>
        <v>L</v>
      </c>
      <c r="K678" s="12">
        <f>VLOOKUP(orders!D678,[1]products!$A$1:$G$49, 4,FALSE)</f>
        <v>0.5</v>
      </c>
      <c r="L678" s="12">
        <f>VLOOKUP(orders!D678,[1]products!$A$1:$G$49, 5,FALSE)</f>
        <v>9.51</v>
      </c>
      <c r="M678" s="13">
        <f>PRODUCT(orders!$E678,orders!$L678)</f>
        <v>47.55</v>
      </c>
      <c r="N678" s="11" t="str">
        <f t="shared" si="20"/>
        <v>January</v>
      </c>
      <c r="O678" s="11">
        <f t="shared" si="21"/>
        <v>2021</v>
      </c>
      <c r="P678" s="11" t="str">
        <f>TEXT(orders!$B678, "DDD")</f>
        <v>Thu</v>
      </c>
      <c r="Q678" s="11" t="str">
        <f>VLOOKUP(orders!C678,[1]customers!$A$1:$I$1001, 6,FALSE)</f>
        <v>Hampton</v>
      </c>
    </row>
    <row r="679" spans="1:17" x14ac:dyDescent="0.3">
      <c r="A679" s="14" t="s">
        <v>1332</v>
      </c>
      <c r="B679" s="15">
        <v>44206</v>
      </c>
      <c r="C679" s="16" t="s">
        <v>1333</v>
      </c>
      <c r="D679" s="17" t="s">
        <v>95</v>
      </c>
      <c r="E679" s="16">
        <v>5</v>
      </c>
      <c r="F679" s="9" t="str">
        <f>VLOOKUP(C679,[1]customers!$A$1:$I$1001, 2, FALSE)</f>
        <v>Charin Penwarden</v>
      </c>
      <c r="G679" s="16" t="str">
        <f>VLOOKUP(orders!C679,[1]customers!$A$1:$I$1001, 3, FALSE)</f>
        <v>cpenwardenit@mlb.com</v>
      </c>
      <c r="H679" s="16" t="str">
        <f>VLOOKUP(C679, [1]customers!$A$1:$I$1001, 7, FALSE)</f>
        <v>Ireland</v>
      </c>
      <c r="I679" s="18" t="str">
        <f>VLOOKUP(orders!D679,[1]products!$A$1:$G$49, 2,FALSE)</f>
        <v>Lib</v>
      </c>
      <c r="J679" s="18" t="str">
        <f>VLOOKUP(orders!D679,[1]products!$A$1:$G$49, 3,FALSE)</f>
        <v>M</v>
      </c>
      <c r="K679" s="19">
        <f>VLOOKUP(orders!D679,[1]products!$A$1:$G$49, 4,FALSE)</f>
        <v>0.5</v>
      </c>
      <c r="L679" s="19">
        <f>VLOOKUP(orders!D679,[1]products!$A$1:$G$49, 5,FALSE)</f>
        <v>8.73</v>
      </c>
      <c r="M679" s="13">
        <f>PRODUCT(orders!$E679,orders!$L679)</f>
        <v>43.650000000000006</v>
      </c>
      <c r="N679" s="18" t="str">
        <f t="shared" si="20"/>
        <v>January</v>
      </c>
      <c r="O679" s="18">
        <f t="shared" si="21"/>
        <v>2021</v>
      </c>
      <c r="P679" s="11" t="str">
        <f>TEXT(orders!$B679, "DDD")</f>
        <v>Sun</v>
      </c>
      <c r="Q679" s="11" t="str">
        <f>VLOOKUP(orders!C679,[1]customers!$A$1:$I$1001, 6,FALSE)</f>
        <v>Whitegate</v>
      </c>
    </row>
    <row r="680" spans="1:17" x14ac:dyDescent="0.3">
      <c r="A680" s="7" t="s">
        <v>1334</v>
      </c>
      <c r="B680" s="8">
        <v>44281</v>
      </c>
      <c r="C680" s="9" t="s">
        <v>1335</v>
      </c>
      <c r="D680" s="10" t="s">
        <v>221</v>
      </c>
      <c r="E680" s="9">
        <v>6</v>
      </c>
      <c r="F680" s="9" t="str">
        <f>VLOOKUP(C680,[1]customers!$A$1:$I$1001, 2, FALSE)</f>
        <v>Milty Middis</v>
      </c>
      <c r="G680" s="9" t="str">
        <f>VLOOKUP(orders!C680,[1]customers!$A$1:$I$1001, 3, FALSE)</f>
        <v>mmiddisiu@dmoz.org</v>
      </c>
      <c r="H680" s="9" t="str">
        <f>VLOOKUP(C680, [1]customers!$A$1:$I$1001, 7, FALSE)</f>
        <v>United States</v>
      </c>
      <c r="I680" s="11" t="str">
        <f>VLOOKUP(orders!D680,[1]products!$A$1:$G$49, 2,FALSE)</f>
        <v>Ara</v>
      </c>
      <c r="J680" s="11" t="str">
        <f>VLOOKUP(orders!D680,[1]products!$A$1:$G$49, 3,FALSE)</f>
        <v>L</v>
      </c>
      <c r="K680" s="12">
        <f>VLOOKUP(orders!D680,[1]products!$A$1:$G$49, 4,FALSE)</f>
        <v>2.5</v>
      </c>
      <c r="L680" s="12">
        <f>VLOOKUP(orders!D680,[1]products!$A$1:$G$49, 5,FALSE)</f>
        <v>29.784999999999997</v>
      </c>
      <c r="M680" s="13">
        <f>PRODUCT(orders!$E680,orders!$L680)</f>
        <v>178.70999999999998</v>
      </c>
      <c r="N680" s="11" t="str">
        <f t="shared" si="20"/>
        <v>March</v>
      </c>
      <c r="O680" s="11">
        <f t="shared" si="21"/>
        <v>2021</v>
      </c>
      <c r="P680" s="11" t="str">
        <f>TEXT(orders!$B680, "DDD")</f>
        <v>Fri</v>
      </c>
      <c r="Q680" s="11" t="str">
        <f>VLOOKUP(orders!C680,[1]customers!$A$1:$I$1001, 6,FALSE)</f>
        <v>Wichita</v>
      </c>
    </row>
    <row r="681" spans="1:17" x14ac:dyDescent="0.3">
      <c r="A681" s="14" t="s">
        <v>1336</v>
      </c>
      <c r="B681" s="15">
        <v>44645</v>
      </c>
      <c r="C681" s="16" t="s">
        <v>1337</v>
      </c>
      <c r="D681" s="17" t="s">
        <v>27</v>
      </c>
      <c r="E681" s="16">
        <v>1</v>
      </c>
      <c r="F681" s="9" t="str">
        <f>VLOOKUP(C681,[1]customers!$A$1:$I$1001, 2, FALSE)</f>
        <v>Adrianne Vairow</v>
      </c>
      <c r="G681" s="16" t="str">
        <f>VLOOKUP(orders!C681,[1]customers!$A$1:$I$1001, 3, FALSE)</f>
        <v>avairowiv@studiopress.com</v>
      </c>
      <c r="H681" s="16" t="str">
        <f>VLOOKUP(C681, [1]customers!$A$1:$I$1001, 7, FALSE)</f>
        <v>United Kingdom</v>
      </c>
      <c r="I681" s="18" t="str">
        <f>VLOOKUP(orders!D681,[1]products!$A$1:$G$49, 2,FALSE)</f>
        <v>Rob</v>
      </c>
      <c r="J681" s="18" t="str">
        <f>VLOOKUP(orders!D681,[1]products!$A$1:$G$49, 3,FALSE)</f>
        <v>L</v>
      </c>
      <c r="K681" s="19">
        <f>VLOOKUP(orders!D681,[1]products!$A$1:$G$49, 4,FALSE)</f>
        <v>2.5</v>
      </c>
      <c r="L681" s="19">
        <f>VLOOKUP(orders!D681,[1]products!$A$1:$G$49, 5,FALSE)</f>
        <v>27.484999999999996</v>
      </c>
      <c r="M681" s="13">
        <f>PRODUCT(orders!$E681,orders!$L681)</f>
        <v>27.484999999999996</v>
      </c>
      <c r="N681" s="18" t="str">
        <f t="shared" si="20"/>
        <v>March</v>
      </c>
      <c r="O681" s="18">
        <f t="shared" si="21"/>
        <v>2022</v>
      </c>
      <c r="P681" s="11" t="str">
        <f>TEXT(orders!$B681, "DDD")</f>
        <v>Fri</v>
      </c>
      <c r="Q681" s="11" t="str">
        <f>VLOOKUP(orders!C681,[1]customers!$A$1:$I$1001, 6,FALSE)</f>
        <v>Thorpe</v>
      </c>
    </row>
    <row r="682" spans="1:17" x14ac:dyDescent="0.3">
      <c r="A682" s="7" t="s">
        <v>1338</v>
      </c>
      <c r="B682" s="8">
        <v>44399</v>
      </c>
      <c r="C682" s="9" t="s">
        <v>1339</v>
      </c>
      <c r="D682" s="10" t="s">
        <v>78</v>
      </c>
      <c r="E682" s="9">
        <v>5</v>
      </c>
      <c r="F682" s="9" t="str">
        <f>VLOOKUP(C682,[1]customers!$A$1:$I$1001, 2, FALSE)</f>
        <v>Anjanette Goldie</v>
      </c>
      <c r="G682" s="9" t="str">
        <f>VLOOKUP(orders!C682,[1]customers!$A$1:$I$1001, 3, FALSE)</f>
        <v>agoldieiw@goo.gl</v>
      </c>
      <c r="H682" s="9" t="str">
        <f>VLOOKUP(C682, [1]customers!$A$1:$I$1001, 7, FALSE)</f>
        <v>United States</v>
      </c>
      <c r="I682" s="11" t="str">
        <f>VLOOKUP(orders!D682,[1]products!$A$1:$G$49, 2,FALSE)</f>
        <v>Ara</v>
      </c>
      <c r="J682" s="11" t="str">
        <f>VLOOKUP(orders!D682,[1]products!$A$1:$G$49, 3,FALSE)</f>
        <v>M</v>
      </c>
      <c r="K682" s="12">
        <f>VLOOKUP(orders!D682,[1]products!$A$1:$G$49, 4,FALSE)</f>
        <v>1</v>
      </c>
      <c r="L682" s="12">
        <f>VLOOKUP(orders!D682,[1]products!$A$1:$G$49, 5,FALSE)</f>
        <v>11.25</v>
      </c>
      <c r="M682" s="13">
        <f>PRODUCT(orders!$E682,orders!$L682)</f>
        <v>56.25</v>
      </c>
      <c r="N682" s="11" t="str">
        <f t="shared" si="20"/>
        <v>July</v>
      </c>
      <c r="O682" s="11">
        <f t="shared" si="21"/>
        <v>2021</v>
      </c>
      <c r="P682" s="11" t="str">
        <f>TEXT(orders!$B682, "DDD")</f>
        <v>Thu</v>
      </c>
      <c r="Q682" s="11" t="str">
        <f>VLOOKUP(orders!C682,[1]customers!$A$1:$I$1001, 6,FALSE)</f>
        <v>Danbury</v>
      </c>
    </row>
    <row r="683" spans="1:17" x14ac:dyDescent="0.3">
      <c r="A683" s="14" t="s">
        <v>1340</v>
      </c>
      <c r="B683" s="15">
        <v>44080</v>
      </c>
      <c r="C683" s="16" t="s">
        <v>1341</v>
      </c>
      <c r="D683" s="17" t="s">
        <v>36</v>
      </c>
      <c r="E683" s="16">
        <v>2</v>
      </c>
      <c r="F683" s="9" t="str">
        <f>VLOOKUP(C683,[1]customers!$A$1:$I$1001, 2, FALSE)</f>
        <v>Nicky Ayris</v>
      </c>
      <c r="G683" s="16" t="str">
        <f>VLOOKUP(orders!C683,[1]customers!$A$1:$I$1001, 3, FALSE)</f>
        <v>nayrisix@t-online.de</v>
      </c>
      <c r="H683" s="16" t="str">
        <f>VLOOKUP(C683, [1]customers!$A$1:$I$1001, 7, FALSE)</f>
        <v>United Kingdom</v>
      </c>
      <c r="I683" s="18" t="str">
        <f>VLOOKUP(orders!D683,[1]products!$A$1:$G$49, 2,FALSE)</f>
        <v>Lib</v>
      </c>
      <c r="J683" s="18" t="str">
        <f>VLOOKUP(orders!D683,[1]products!$A$1:$G$49, 3,FALSE)</f>
        <v>L</v>
      </c>
      <c r="K683" s="19">
        <f>VLOOKUP(orders!D683,[1]products!$A$1:$G$49, 4,FALSE)</f>
        <v>0.2</v>
      </c>
      <c r="L683" s="19">
        <f>VLOOKUP(orders!D683,[1]products!$A$1:$G$49, 5,FALSE)</f>
        <v>4.7549999999999999</v>
      </c>
      <c r="M683" s="13">
        <f>PRODUCT(orders!$E683,orders!$L683)</f>
        <v>9.51</v>
      </c>
      <c r="N683" s="18" t="str">
        <f t="shared" si="20"/>
        <v>September</v>
      </c>
      <c r="O683" s="18">
        <f t="shared" si="21"/>
        <v>2020</v>
      </c>
      <c r="P683" s="11" t="str">
        <f>TEXT(orders!$B683, "DDD")</f>
        <v>Sun</v>
      </c>
      <c r="Q683" s="11" t="str">
        <f>VLOOKUP(orders!C683,[1]customers!$A$1:$I$1001, 6,FALSE)</f>
        <v>Kinloch</v>
      </c>
    </row>
    <row r="684" spans="1:17" x14ac:dyDescent="0.3">
      <c r="A684" s="7" t="s">
        <v>1342</v>
      </c>
      <c r="B684" s="8">
        <v>43827</v>
      </c>
      <c r="C684" s="9" t="s">
        <v>1343</v>
      </c>
      <c r="D684" s="10" t="s">
        <v>81</v>
      </c>
      <c r="E684" s="9">
        <v>2</v>
      </c>
      <c r="F684" s="9" t="str">
        <f>VLOOKUP(C684,[1]customers!$A$1:$I$1001, 2, FALSE)</f>
        <v>Laryssa Benediktovich</v>
      </c>
      <c r="G684" s="9" t="str">
        <f>VLOOKUP(orders!C684,[1]customers!$A$1:$I$1001, 3, FALSE)</f>
        <v>lbenediktovichiy@wunderground.com</v>
      </c>
      <c r="H684" s="9" t="str">
        <f>VLOOKUP(C684, [1]customers!$A$1:$I$1001, 7, FALSE)</f>
        <v>United States</v>
      </c>
      <c r="I684" s="11" t="str">
        <f>VLOOKUP(orders!D684,[1]products!$A$1:$G$49, 2,FALSE)</f>
        <v>Exc</v>
      </c>
      <c r="J684" s="11" t="str">
        <f>VLOOKUP(orders!D684,[1]products!$A$1:$G$49, 3,FALSE)</f>
        <v>M</v>
      </c>
      <c r="K684" s="12">
        <f>VLOOKUP(orders!D684,[1]products!$A$1:$G$49, 4,FALSE)</f>
        <v>0.2</v>
      </c>
      <c r="L684" s="12">
        <f>VLOOKUP(orders!D684,[1]products!$A$1:$G$49, 5,FALSE)</f>
        <v>4.125</v>
      </c>
      <c r="M684" s="13">
        <f>PRODUCT(orders!$E684,orders!$L684)</f>
        <v>8.25</v>
      </c>
      <c r="N684" s="11" t="str">
        <f t="shared" si="20"/>
        <v>December</v>
      </c>
      <c r="O684" s="11">
        <f t="shared" si="21"/>
        <v>2019</v>
      </c>
      <c r="P684" s="11" t="str">
        <f>TEXT(orders!$B684, "DDD")</f>
        <v>Sat</v>
      </c>
      <c r="Q684" s="11" t="str">
        <f>VLOOKUP(orders!C684,[1]customers!$A$1:$I$1001, 6,FALSE)</f>
        <v>Jacksonville</v>
      </c>
    </row>
    <row r="685" spans="1:17" x14ac:dyDescent="0.3">
      <c r="A685" s="14" t="s">
        <v>1344</v>
      </c>
      <c r="B685" s="15">
        <v>43941</v>
      </c>
      <c r="C685" s="16" t="s">
        <v>1345</v>
      </c>
      <c r="D685" s="17" t="s">
        <v>140</v>
      </c>
      <c r="E685" s="16">
        <v>6</v>
      </c>
      <c r="F685" s="9" t="str">
        <f>VLOOKUP(C685,[1]customers!$A$1:$I$1001, 2, FALSE)</f>
        <v>Theo Jacobovitz</v>
      </c>
      <c r="G685" s="16" t="str">
        <f>VLOOKUP(orders!C685,[1]customers!$A$1:$I$1001, 3, FALSE)</f>
        <v>tjacobovitziz@cbc.ca</v>
      </c>
      <c r="H685" s="16" t="str">
        <f>VLOOKUP(C685, [1]customers!$A$1:$I$1001, 7, FALSE)</f>
        <v>United States</v>
      </c>
      <c r="I685" s="18" t="str">
        <f>VLOOKUP(orders!D685,[1]products!$A$1:$G$49, 2,FALSE)</f>
        <v>Lib</v>
      </c>
      <c r="J685" s="18" t="str">
        <f>VLOOKUP(orders!D685,[1]products!$A$1:$G$49, 3,FALSE)</f>
        <v>D</v>
      </c>
      <c r="K685" s="19">
        <f>VLOOKUP(orders!D685,[1]products!$A$1:$G$49, 4,FALSE)</f>
        <v>0.5</v>
      </c>
      <c r="L685" s="19">
        <f>VLOOKUP(orders!D685,[1]products!$A$1:$G$49, 5,FALSE)</f>
        <v>7.77</v>
      </c>
      <c r="M685" s="13">
        <f>PRODUCT(orders!$E685,orders!$L685)</f>
        <v>46.62</v>
      </c>
      <c r="N685" s="18" t="str">
        <f t="shared" si="20"/>
        <v>April</v>
      </c>
      <c r="O685" s="18">
        <f t="shared" si="21"/>
        <v>2020</v>
      </c>
      <c r="P685" s="11" t="str">
        <f>TEXT(orders!$B685, "DDD")</f>
        <v>Mon</v>
      </c>
      <c r="Q685" s="11" t="str">
        <f>VLOOKUP(orders!C685,[1]customers!$A$1:$I$1001, 6,FALSE)</f>
        <v>Houston</v>
      </c>
    </row>
    <row r="686" spans="1:17" x14ac:dyDescent="0.3">
      <c r="A686" s="7" t="s">
        <v>1346</v>
      </c>
      <c r="B686" s="8">
        <v>43517</v>
      </c>
      <c r="C686" s="9" t="s">
        <v>1347</v>
      </c>
      <c r="D686" s="10" t="s">
        <v>206</v>
      </c>
      <c r="E686" s="9">
        <v>6</v>
      </c>
      <c r="F686" s="9" t="str">
        <f>VLOOKUP(C686,[1]customers!$A$1:$I$1001, 2, FALSE)</f>
        <v>Becca Ableson</v>
      </c>
      <c r="G686" s="9">
        <f>VLOOKUP(orders!C686,[1]customers!$A$1:$I$1001, 3, FALSE)</f>
        <v>0</v>
      </c>
      <c r="H686" s="9" t="str">
        <f>VLOOKUP(C686, [1]customers!$A$1:$I$1001, 7, FALSE)</f>
        <v>United States</v>
      </c>
      <c r="I686" s="11" t="str">
        <f>VLOOKUP(orders!D686,[1]products!$A$1:$G$49, 2,FALSE)</f>
        <v>Rob</v>
      </c>
      <c r="J686" s="11" t="str">
        <f>VLOOKUP(orders!D686,[1]products!$A$1:$G$49, 3,FALSE)</f>
        <v>L</v>
      </c>
      <c r="K686" s="12">
        <f>VLOOKUP(orders!D686,[1]products!$A$1:$G$49, 4,FALSE)</f>
        <v>1</v>
      </c>
      <c r="L686" s="12">
        <f>VLOOKUP(orders!D686,[1]products!$A$1:$G$49, 5,FALSE)</f>
        <v>11.95</v>
      </c>
      <c r="M686" s="13">
        <f>PRODUCT(orders!$E686,orders!$L686)</f>
        <v>71.699999999999989</v>
      </c>
      <c r="N686" s="11" t="str">
        <f t="shared" si="20"/>
        <v>February</v>
      </c>
      <c r="O686" s="11">
        <f t="shared" si="21"/>
        <v>2019</v>
      </c>
      <c r="P686" s="11" t="str">
        <f>TEXT(orders!$B686, "DDD")</f>
        <v>Thu</v>
      </c>
      <c r="Q686" s="11" t="str">
        <f>VLOOKUP(orders!C686,[1]customers!$A$1:$I$1001, 6,FALSE)</f>
        <v>Portland</v>
      </c>
    </row>
    <row r="687" spans="1:17" x14ac:dyDescent="0.3">
      <c r="A687" s="14" t="s">
        <v>1348</v>
      </c>
      <c r="B687" s="15">
        <v>44637</v>
      </c>
      <c r="C687" s="16" t="s">
        <v>1349</v>
      </c>
      <c r="D687" s="17" t="s">
        <v>121</v>
      </c>
      <c r="E687" s="16">
        <v>2</v>
      </c>
      <c r="F687" s="9" t="str">
        <f>VLOOKUP(C687,[1]customers!$A$1:$I$1001, 2, FALSE)</f>
        <v>Jeno Druitt</v>
      </c>
      <c r="G687" s="16" t="str">
        <f>VLOOKUP(orders!C687,[1]customers!$A$1:$I$1001, 3, FALSE)</f>
        <v>jdruittj1@feedburner.com</v>
      </c>
      <c r="H687" s="16" t="str">
        <f>VLOOKUP(C687, [1]customers!$A$1:$I$1001, 7, FALSE)</f>
        <v>United States</v>
      </c>
      <c r="I687" s="18" t="str">
        <f>VLOOKUP(orders!D687,[1]products!$A$1:$G$49, 2,FALSE)</f>
        <v>Lib</v>
      </c>
      <c r="J687" s="18" t="str">
        <f>VLOOKUP(orders!D687,[1]products!$A$1:$G$49, 3,FALSE)</f>
        <v>L</v>
      </c>
      <c r="K687" s="19">
        <f>VLOOKUP(orders!D687,[1]products!$A$1:$G$49, 4,FALSE)</f>
        <v>2.5</v>
      </c>
      <c r="L687" s="19">
        <f>VLOOKUP(orders!D687,[1]products!$A$1:$G$49, 5,FALSE)</f>
        <v>36.454999999999998</v>
      </c>
      <c r="M687" s="13">
        <f>PRODUCT(orders!$E687,orders!$L687)</f>
        <v>72.91</v>
      </c>
      <c r="N687" s="18" t="str">
        <f t="shared" si="20"/>
        <v>March</v>
      </c>
      <c r="O687" s="18">
        <f t="shared" si="21"/>
        <v>2022</v>
      </c>
      <c r="P687" s="11" t="str">
        <f>TEXT(orders!$B687, "DDD")</f>
        <v>Thu</v>
      </c>
      <c r="Q687" s="11" t="str">
        <f>VLOOKUP(orders!C687,[1]customers!$A$1:$I$1001, 6,FALSE)</f>
        <v>Pasadena</v>
      </c>
    </row>
    <row r="688" spans="1:17" x14ac:dyDescent="0.3">
      <c r="A688" s="7" t="s">
        <v>1350</v>
      </c>
      <c r="B688" s="8">
        <v>44330</v>
      </c>
      <c r="C688" s="9" t="s">
        <v>1351</v>
      </c>
      <c r="D688" s="10" t="s">
        <v>118</v>
      </c>
      <c r="E688" s="9">
        <v>3</v>
      </c>
      <c r="F688" s="9" t="str">
        <f>VLOOKUP(C688,[1]customers!$A$1:$I$1001, 2, FALSE)</f>
        <v>Deonne Shortall</v>
      </c>
      <c r="G688" s="9" t="str">
        <f>VLOOKUP(orders!C688,[1]customers!$A$1:$I$1001, 3, FALSE)</f>
        <v>dshortallj2@wikipedia.org</v>
      </c>
      <c r="H688" s="9" t="str">
        <f>VLOOKUP(C688, [1]customers!$A$1:$I$1001, 7, FALSE)</f>
        <v>United States</v>
      </c>
      <c r="I688" s="11" t="str">
        <f>VLOOKUP(orders!D688,[1]products!$A$1:$G$49, 2,FALSE)</f>
        <v>Rob</v>
      </c>
      <c r="J688" s="11" t="str">
        <f>VLOOKUP(orders!D688,[1]products!$A$1:$G$49, 3,FALSE)</f>
        <v>D</v>
      </c>
      <c r="K688" s="12">
        <f>VLOOKUP(orders!D688,[1]products!$A$1:$G$49, 4,FALSE)</f>
        <v>0.2</v>
      </c>
      <c r="L688" s="12">
        <f>VLOOKUP(orders!D688,[1]products!$A$1:$G$49, 5,FALSE)</f>
        <v>2.6849999999999996</v>
      </c>
      <c r="M688" s="13">
        <f>PRODUCT(orders!$E688,orders!$L688)</f>
        <v>8.0549999999999997</v>
      </c>
      <c r="N688" s="11" t="str">
        <f t="shared" si="20"/>
        <v>May</v>
      </c>
      <c r="O688" s="11">
        <f t="shared" si="21"/>
        <v>2021</v>
      </c>
      <c r="P688" s="11" t="str">
        <f>TEXT(orders!$B688, "DDD")</f>
        <v>Fri</v>
      </c>
      <c r="Q688" s="11" t="str">
        <f>VLOOKUP(orders!C688,[1]customers!$A$1:$I$1001, 6,FALSE)</f>
        <v>Santa Ana</v>
      </c>
    </row>
    <row r="689" spans="1:17" x14ac:dyDescent="0.3">
      <c r="A689" s="14" t="s">
        <v>1352</v>
      </c>
      <c r="B689" s="15">
        <v>43471</v>
      </c>
      <c r="C689" s="16" t="s">
        <v>1353</v>
      </c>
      <c r="D689" s="17" t="s">
        <v>20</v>
      </c>
      <c r="E689" s="16">
        <v>2</v>
      </c>
      <c r="F689" s="9" t="str">
        <f>VLOOKUP(C689,[1]customers!$A$1:$I$1001, 2, FALSE)</f>
        <v>Wilton Cottier</v>
      </c>
      <c r="G689" s="16" t="str">
        <f>VLOOKUP(orders!C689,[1]customers!$A$1:$I$1001, 3, FALSE)</f>
        <v>wcottierj3@cafepress.com</v>
      </c>
      <c r="H689" s="16" t="str">
        <f>VLOOKUP(C689, [1]customers!$A$1:$I$1001, 7, FALSE)</f>
        <v>United States</v>
      </c>
      <c r="I689" s="18" t="str">
        <f>VLOOKUP(orders!D689,[1]products!$A$1:$G$49, 2,FALSE)</f>
        <v>Exc</v>
      </c>
      <c r="J689" s="18" t="str">
        <f>VLOOKUP(orders!D689,[1]products!$A$1:$G$49, 3,FALSE)</f>
        <v>M</v>
      </c>
      <c r="K689" s="19">
        <f>VLOOKUP(orders!D689,[1]products!$A$1:$G$49, 4,FALSE)</f>
        <v>0.5</v>
      </c>
      <c r="L689" s="19">
        <f>VLOOKUP(orders!D689,[1]products!$A$1:$G$49, 5,FALSE)</f>
        <v>8.25</v>
      </c>
      <c r="M689" s="13">
        <f>PRODUCT(orders!$E689,orders!$L689)</f>
        <v>16.5</v>
      </c>
      <c r="N689" s="18" t="str">
        <f t="shared" si="20"/>
        <v>January</v>
      </c>
      <c r="O689" s="18">
        <f t="shared" si="21"/>
        <v>2019</v>
      </c>
      <c r="P689" s="11" t="str">
        <f>TEXT(orders!$B689, "DDD")</f>
        <v>Sun</v>
      </c>
      <c r="Q689" s="11" t="str">
        <f>VLOOKUP(orders!C689,[1]customers!$A$1:$I$1001, 6,FALSE)</f>
        <v>San Jose</v>
      </c>
    </row>
    <row r="690" spans="1:17" x14ac:dyDescent="0.3">
      <c r="A690" s="7" t="s">
        <v>1354</v>
      </c>
      <c r="B690" s="8">
        <v>43579</v>
      </c>
      <c r="C690" s="9" t="s">
        <v>1355</v>
      </c>
      <c r="D690" s="10" t="s">
        <v>23</v>
      </c>
      <c r="E690" s="9">
        <v>5</v>
      </c>
      <c r="F690" s="9" t="str">
        <f>VLOOKUP(C690,[1]customers!$A$1:$I$1001, 2, FALSE)</f>
        <v>Kevan Grinsted</v>
      </c>
      <c r="G690" s="9" t="str">
        <f>VLOOKUP(orders!C690,[1]customers!$A$1:$I$1001, 3, FALSE)</f>
        <v>kgrinstedj4@google.com.br</v>
      </c>
      <c r="H690" s="9" t="str">
        <f>VLOOKUP(C690, [1]customers!$A$1:$I$1001, 7, FALSE)</f>
        <v>Ireland</v>
      </c>
      <c r="I690" s="11" t="str">
        <f>VLOOKUP(orders!D690,[1]products!$A$1:$G$49, 2,FALSE)</f>
        <v>Ara</v>
      </c>
      <c r="J690" s="11" t="str">
        <f>VLOOKUP(orders!D690,[1]products!$A$1:$G$49, 3,FALSE)</f>
        <v>L</v>
      </c>
      <c r="K690" s="12">
        <f>VLOOKUP(orders!D690,[1]products!$A$1:$G$49, 4,FALSE)</f>
        <v>1</v>
      </c>
      <c r="L690" s="12">
        <f>VLOOKUP(orders!D690,[1]products!$A$1:$G$49, 5,FALSE)</f>
        <v>12.95</v>
      </c>
      <c r="M690" s="13">
        <f>PRODUCT(orders!$E690,orders!$L690)</f>
        <v>64.75</v>
      </c>
      <c r="N690" s="11" t="str">
        <f t="shared" si="20"/>
        <v>April</v>
      </c>
      <c r="O690" s="11">
        <f t="shared" si="21"/>
        <v>2019</v>
      </c>
      <c r="P690" s="11" t="str">
        <f>TEXT(orders!$B690, "DDD")</f>
        <v>Wed</v>
      </c>
      <c r="Q690" s="11" t="str">
        <f>VLOOKUP(orders!C690,[1]customers!$A$1:$I$1001, 6,FALSE)</f>
        <v>Tallaght</v>
      </c>
    </row>
    <row r="691" spans="1:17" x14ac:dyDescent="0.3">
      <c r="A691" s="14" t="s">
        <v>1356</v>
      </c>
      <c r="B691" s="15">
        <v>44346</v>
      </c>
      <c r="C691" s="16" t="s">
        <v>1357</v>
      </c>
      <c r="D691" s="17" t="s">
        <v>84</v>
      </c>
      <c r="E691" s="16">
        <v>5</v>
      </c>
      <c r="F691" s="9" t="str">
        <f>VLOOKUP(C691,[1]customers!$A$1:$I$1001, 2, FALSE)</f>
        <v>Dionne Skyner</v>
      </c>
      <c r="G691" s="16" t="str">
        <f>VLOOKUP(orders!C691,[1]customers!$A$1:$I$1001, 3, FALSE)</f>
        <v>dskynerj5@hubpages.com</v>
      </c>
      <c r="H691" s="16" t="str">
        <f>VLOOKUP(C691, [1]customers!$A$1:$I$1001, 7, FALSE)</f>
        <v>United States</v>
      </c>
      <c r="I691" s="18" t="str">
        <f>VLOOKUP(orders!D691,[1]products!$A$1:$G$49, 2,FALSE)</f>
        <v>Ara</v>
      </c>
      <c r="J691" s="18" t="str">
        <f>VLOOKUP(orders!D691,[1]products!$A$1:$G$49, 3,FALSE)</f>
        <v>M</v>
      </c>
      <c r="K691" s="19">
        <f>VLOOKUP(orders!D691,[1]products!$A$1:$G$49, 4,FALSE)</f>
        <v>0.5</v>
      </c>
      <c r="L691" s="19">
        <f>VLOOKUP(orders!D691,[1]products!$A$1:$G$49, 5,FALSE)</f>
        <v>6.75</v>
      </c>
      <c r="M691" s="13">
        <f>PRODUCT(orders!$E691,orders!$L691)</f>
        <v>33.75</v>
      </c>
      <c r="N691" s="18" t="str">
        <f t="shared" si="20"/>
        <v>May</v>
      </c>
      <c r="O691" s="18">
        <f t="shared" si="21"/>
        <v>2021</v>
      </c>
      <c r="P691" s="11" t="str">
        <f>TEXT(orders!$B691, "DDD")</f>
        <v>Sun</v>
      </c>
      <c r="Q691" s="11" t="str">
        <f>VLOOKUP(orders!C691,[1]customers!$A$1:$I$1001, 6,FALSE)</f>
        <v>Colorado Springs</v>
      </c>
    </row>
    <row r="692" spans="1:17" x14ac:dyDescent="0.3">
      <c r="A692" s="7" t="s">
        <v>1358</v>
      </c>
      <c r="B692" s="8">
        <v>44754</v>
      </c>
      <c r="C692" s="9" t="s">
        <v>1359</v>
      </c>
      <c r="D692" s="10" t="s">
        <v>126</v>
      </c>
      <c r="E692" s="9">
        <v>6</v>
      </c>
      <c r="F692" s="9" t="str">
        <f>VLOOKUP(C692,[1]customers!$A$1:$I$1001, 2, FALSE)</f>
        <v>Francesco Dressel</v>
      </c>
      <c r="G692" s="9">
        <f>VLOOKUP(orders!C692,[1]customers!$A$1:$I$1001, 3, FALSE)</f>
        <v>0</v>
      </c>
      <c r="H692" s="9" t="str">
        <f>VLOOKUP(C692, [1]customers!$A$1:$I$1001, 7, FALSE)</f>
        <v>United States</v>
      </c>
      <c r="I692" s="11" t="str">
        <f>VLOOKUP(orders!D692,[1]products!$A$1:$G$49, 2,FALSE)</f>
        <v>Lib</v>
      </c>
      <c r="J692" s="11" t="str">
        <f>VLOOKUP(orders!D692,[1]products!$A$1:$G$49, 3,FALSE)</f>
        <v>D</v>
      </c>
      <c r="K692" s="12">
        <f>VLOOKUP(orders!D692,[1]products!$A$1:$G$49, 4,FALSE)</f>
        <v>2.5</v>
      </c>
      <c r="L692" s="12">
        <f>VLOOKUP(orders!D692,[1]products!$A$1:$G$49, 5,FALSE)</f>
        <v>29.784999999999997</v>
      </c>
      <c r="M692" s="13">
        <f>PRODUCT(orders!$E692,orders!$L692)</f>
        <v>178.70999999999998</v>
      </c>
      <c r="N692" s="11" t="str">
        <f t="shared" si="20"/>
        <v>July</v>
      </c>
      <c r="O692" s="11">
        <f t="shared" si="21"/>
        <v>2022</v>
      </c>
      <c r="P692" s="11" t="str">
        <f>TEXT(orders!$B692, "DDD")</f>
        <v>Tue</v>
      </c>
      <c r="Q692" s="11" t="str">
        <f>VLOOKUP(orders!C692,[1]customers!$A$1:$I$1001, 6,FALSE)</f>
        <v>Toledo</v>
      </c>
    </row>
    <row r="693" spans="1:17" x14ac:dyDescent="0.3">
      <c r="A693" s="14" t="s">
        <v>1360</v>
      </c>
      <c r="B693" s="15">
        <v>44227</v>
      </c>
      <c r="C693" s="16" t="s">
        <v>1361</v>
      </c>
      <c r="D693" s="17" t="s">
        <v>78</v>
      </c>
      <c r="E693" s="16">
        <v>2</v>
      </c>
      <c r="F693" s="9" t="str">
        <f>VLOOKUP(C693,[1]customers!$A$1:$I$1001, 2, FALSE)</f>
        <v>Jimmy Dymoke</v>
      </c>
      <c r="G693" s="16" t="str">
        <f>VLOOKUP(orders!C693,[1]customers!$A$1:$I$1001, 3, FALSE)</f>
        <v>jdymokeje@prnewswire.com</v>
      </c>
      <c r="H693" s="16" t="str">
        <f>VLOOKUP(C693, [1]customers!$A$1:$I$1001, 7, FALSE)</f>
        <v>Ireland</v>
      </c>
      <c r="I693" s="18" t="str">
        <f>VLOOKUP(orders!D693,[1]products!$A$1:$G$49, 2,FALSE)</f>
        <v>Ara</v>
      </c>
      <c r="J693" s="18" t="str">
        <f>VLOOKUP(orders!D693,[1]products!$A$1:$G$49, 3,FALSE)</f>
        <v>M</v>
      </c>
      <c r="K693" s="19">
        <f>VLOOKUP(orders!D693,[1]products!$A$1:$G$49, 4,FALSE)</f>
        <v>1</v>
      </c>
      <c r="L693" s="19">
        <f>VLOOKUP(orders!D693,[1]products!$A$1:$G$49, 5,FALSE)</f>
        <v>11.25</v>
      </c>
      <c r="M693" s="13">
        <f>PRODUCT(orders!$E693,orders!$L693)</f>
        <v>22.5</v>
      </c>
      <c r="N693" s="18" t="str">
        <f t="shared" si="20"/>
        <v>January</v>
      </c>
      <c r="O693" s="18">
        <f t="shared" si="21"/>
        <v>2021</v>
      </c>
      <c r="P693" s="11" t="str">
        <f>TEXT(orders!$B693, "DDD")</f>
        <v>Sun</v>
      </c>
      <c r="Q693" s="11" t="str">
        <f>VLOOKUP(orders!C693,[1]customers!$A$1:$I$1001, 6,FALSE)</f>
        <v>Beaumont</v>
      </c>
    </row>
    <row r="694" spans="1:17" x14ac:dyDescent="0.3">
      <c r="A694" s="7" t="s">
        <v>1362</v>
      </c>
      <c r="B694" s="8">
        <v>43720</v>
      </c>
      <c r="C694" s="9" t="s">
        <v>1363</v>
      </c>
      <c r="D694" s="10" t="s">
        <v>30</v>
      </c>
      <c r="E694" s="9">
        <v>1</v>
      </c>
      <c r="F694" s="9" t="str">
        <f>VLOOKUP(C694,[1]customers!$A$1:$I$1001, 2, FALSE)</f>
        <v>Ambrosio Weinmann</v>
      </c>
      <c r="G694" s="9" t="str">
        <f>VLOOKUP(orders!C694,[1]customers!$A$1:$I$1001, 3, FALSE)</f>
        <v>aweinmannj8@shinystat.com</v>
      </c>
      <c r="H694" s="9" t="str">
        <f>VLOOKUP(C694, [1]customers!$A$1:$I$1001, 7, FALSE)</f>
        <v>United States</v>
      </c>
      <c r="I694" s="11" t="str">
        <f>VLOOKUP(orders!D694,[1]products!$A$1:$G$49, 2,FALSE)</f>
        <v>Lib</v>
      </c>
      <c r="J694" s="11" t="str">
        <f>VLOOKUP(orders!D694,[1]products!$A$1:$G$49, 3,FALSE)</f>
        <v>D</v>
      </c>
      <c r="K694" s="12">
        <f>VLOOKUP(orders!D694,[1]products!$A$1:$G$49, 4,FALSE)</f>
        <v>1</v>
      </c>
      <c r="L694" s="12">
        <f>VLOOKUP(orders!D694,[1]products!$A$1:$G$49, 5,FALSE)</f>
        <v>12.95</v>
      </c>
      <c r="M694" s="13">
        <f>PRODUCT(orders!$E694,orders!$L694)</f>
        <v>12.95</v>
      </c>
      <c r="N694" s="11" t="str">
        <f t="shared" si="20"/>
        <v>September</v>
      </c>
      <c r="O694" s="11">
        <f t="shared" si="21"/>
        <v>2019</v>
      </c>
      <c r="P694" s="11" t="str">
        <f>TEXT(orders!$B694, "DDD")</f>
        <v>Thu</v>
      </c>
      <c r="Q694" s="11" t="str">
        <f>VLOOKUP(orders!C694,[1]customers!$A$1:$I$1001, 6,FALSE)</f>
        <v>Cincinnati</v>
      </c>
    </row>
    <row r="695" spans="1:17" x14ac:dyDescent="0.3">
      <c r="A695" s="14" t="s">
        <v>1364</v>
      </c>
      <c r="B695" s="15">
        <v>44012</v>
      </c>
      <c r="C695" s="16" t="s">
        <v>1365</v>
      </c>
      <c r="D695" s="17" t="s">
        <v>188</v>
      </c>
      <c r="E695" s="16">
        <v>2</v>
      </c>
      <c r="F695" s="9" t="str">
        <f>VLOOKUP(C695,[1]customers!$A$1:$I$1001, 2, FALSE)</f>
        <v>Elden Andriessen</v>
      </c>
      <c r="G695" s="16" t="str">
        <f>VLOOKUP(orders!C695,[1]customers!$A$1:$I$1001, 3, FALSE)</f>
        <v>eandriessenj9@europa.eu</v>
      </c>
      <c r="H695" s="16" t="str">
        <f>VLOOKUP(C695, [1]customers!$A$1:$I$1001, 7, FALSE)</f>
        <v>United States</v>
      </c>
      <c r="I695" s="18" t="str">
        <f>VLOOKUP(orders!D695,[1]products!$A$1:$G$49, 2,FALSE)</f>
        <v>Ara</v>
      </c>
      <c r="J695" s="18" t="str">
        <f>VLOOKUP(orders!D695,[1]products!$A$1:$G$49, 3,FALSE)</f>
        <v>M</v>
      </c>
      <c r="K695" s="19">
        <f>VLOOKUP(orders!D695,[1]products!$A$1:$G$49, 4,FALSE)</f>
        <v>2.5</v>
      </c>
      <c r="L695" s="19">
        <f>VLOOKUP(orders!D695,[1]products!$A$1:$G$49, 5,FALSE)</f>
        <v>25.874999999999996</v>
      </c>
      <c r="M695" s="13">
        <f>PRODUCT(orders!$E695,orders!$L695)</f>
        <v>51.749999999999993</v>
      </c>
      <c r="N695" s="18" t="str">
        <f t="shared" si="20"/>
        <v>June</v>
      </c>
      <c r="O695" s="18">
        <f t="shared" si="21"/>
        <v>2020</v>
      </c>
      <c r="P695" s="11" t="str">
        <f>TEXT(orders!$B695, "DDD")</f>
        <v>Tue</v>
      </c>
      <c r="Q695" s="11" t="str">
        <f>VLOOKUP(orders!C695,[1]customers!$A$1:$I$1001, 6,FALSE)</f>
        <v>Saint Louis</v>
      </c>
    </row>
    <row r="696" spans="1:17" x14ac:dyDescent="0.3">
      <c r="A696" s="7" t="s">
        <v>1366</v>
      </c>
      <c r="B696" s="8">
        <v>43915</v>
      </c>
      <c r="C696" s="9" t="s">
        <v>1367</v>
      </c>
      <c r="D696" s="10" t="s">
        <v>33</v>
      </c>
      <c r="E696" s="9">
        <v>5</v>
      </c>
      <c r="F696" s="9" t="str">
        <f>VLOOKUP(C696,[1]customers!$A$1:$I$1001, 2, FALSE)</f>
        <v>Roxie Deaconson</v>
      </c>
      <c r="G696" s="9" t="str">
        <f>VLOOKUP(orders!C696,[1]customers!$A$1:$I$1001, 3, FALSE)</f>
        <v>rdeaconsonja@archive.org</v>
      </c>
      <c r="H696" s="9" t="str">
        <f>VLOOKUP(C696, [1]customers!$A$1:$I$1001, 7, FALSE)</f>
        <v>United States</v>
      </c>
      <c r="I696" s="11" t="str">
        <f>VLOOKUP(orders!D696,[1]products!$A$1:$G$49, 2,FALSE)</f>
        <v>Exc</v>
      </c>
      <c r="J696" s="11" t="str">
        <f>VLOOKUP(orders!D696,[1]products!$A$1:$G$49, 3,FALSE)</f>
        <v>D</v>
      </c>
      <c r="K696" s="12">
        <f>VLOOKUP(orders!D696,[1]products!$A$1:$G$49, 4,FALSE)</f>
        <v>0.5</v>
      </c>
      <c r="L696" s="12">
        <f>VLOOKUP(orders!D696,[1]products!$A$1:$G$49, 5,FALSE)</f>
        <v>7.29</v>
      </c>
      <c r="M696" s="13">
        <f>PRODUCT(orders!$E696,orders!$L696)</f>
        <v>36.450000000000003</v>
      </c>
      <c r="N696" s="11" t="str">
        <f t="shared" si="20"/>
        <v>March</v>
      </c>
      <c r="O696" s="11">
        <f t="shared" si="21"/>
        <v>2020</v>
      </c>
      <c r="P696" s="11" t="str">
        <f>TEXT(orders!$B696, "DDD")</f>
        <v>Wed</v>
      </c>
      <c r="Q696" s="11" t="str">
        <f>VLOOKUP(orders!C696,[1]customers!$A$1:$I$1001, 6,FALSE)</f>
        <v>Yonkers</v>
      </c>
    </row>
    <row r="697" spans="1:17" x14ac:dyDescent="0.3">
      <c r="A697" s="14" t="s">
        <v>1368</v>
      </c>
      <c r="B697" s="15">
        <v>44300</v>
      </c>
      <c r="C697" s="16" t="s">
        <v>1369</v>
      </c>
      <c r="D697" s="17" t="s">
        <v>121</v>
      </c>
      <c r="E697" s="16">
        <v>5</v>
      </c>
      <c r="F697" s="9" t="str">
        <f>VLOOKUP(C697,[1]customers!$A$1:$I$1001, 2, FALSE)</f>
        <v>Davida Caro</v>
      </c>
      <c r="G697" s="16" t="str">
        <f>VLOOKUP(orders!C697,[1]customers!$A$1:$I$1001, 3, FALSE)</f>
        <v>dcarojb@twitter.com</v>
      </c>
      <c r="H697" s="16" t="str">
        <f>VLOOKUP(C697, [1]customers!$A$1:$I$1001, 7, FALSE)</f>
        <v>United States</v>
      </c>
      <c r="I697" s="18" t="str">
        <f>VLOOKUP(orders!D697,[1]products!$A$1:$G$49, 2,FALSE)</f>
        <v>Lib</v>
      </c>
      <c r="J697" s="18" t="str">
        <f>VLOOKUP(orders!D697,[1]products!$A$1:$G$49, 3,FALSE)</f>
        <v>L</v>
      </c>
      <c r="K697" s="19">
        <f>VLOOKUP(orders!D697,[1]products!$A$1:$G$49, 4,FALSE)</f>
        <v>2.5</v>
      </c>
      <c r="L697" s="19">
        <f>VLOOKUP(orders!D697,[1]products!$A$1:$G$49, 5,FALSE)</f>
        <v>36.454999999999998</v>
      </c>
      <c r="M697" s="13">
        <f>PRODUCT(orders!$E697,orders!$L697)</f>
        <v>182.27499999999998</v>
      </c>
      <c r="N697" s="18" t="str">
        <f t="shared" si="20"/>
        <v>April</v>
      </c>
      <c r="O697" s="18">
        <f t="shared" si="21"/>
        <v>2021</v>
      </c>
      <c r="P697" s="11" t="str">
        <f>TEXT(orders!$B697, "DDD")</f>
        <v>Wed</v>
      </c>
      <c r="Q697" s="11" t="str">
        <f>VLOOKUP(orders!C697,[1]customers!$A$1:$I$1001, 6,FALSE)</f>
        <v>Baltimore</v>
      </c>
    </row>
    <row r="698" spans="1:17" x14ac:dyDescent="0.3">
      <c r="A698" s="7" t="s">
        <v>1370</v>
      </c>
      <c r="B698" s="8">
        <v>43693</v>
      </c>
      <c r="C698" s="9" t="s">
        <v>1371</v>
      </c>
      <c r="D698" s="10" t="s">
        <v>140</v>
      </c>
      <c r="E698" s="9">
        <v>4</v>
      </c>
      <c r="F698" s="9" t="str">
        <f>VLOOKUP(C698,[1]customers!$A$1:$I$1001, 2, FALSE)</f>
        <v>Johna Bluck</v>
      </c>
      <c r="G698" s="9" t="str">
        <f>VLOOKUP(orders!C698,[1]customers!$A$1:$I$1001, 3, FALSE)</f>
        <v>jbluckjc@imageshack.us</v>
      </c>
      <c r="H698" s="9" t="str">
        <f>VLOOKUP(C698, [1]customers!$A$1:$I$1001, 7, FALSE)</f>
        <v>United States</v>
      </c>
      <c r="I698" s="11" t="str">
        <f>VLOOKUP(orders!D698,[1]products!$A$1:$G$49, 2,FALSE)</f>
        <v>Lib</v>
      </c>
      <c r="J698" s="11" t="str">
        <f>VLOOKUP(orders!D698,[1]products!$A$1:$G$49, 3,FALSE)</f>
        <v>D</v>
      </c>
      <c r="K698" s="12">
        <f>VLOOKUP(orders!D698,[1]products!$A$1:$G$49, 4,FALSE)</f>
        <v>0.5</v>
      </c>
      <c r="L698" s="12">
        <f>VLOOKUP(orders!D698,[1]products!$A$1:$G$49, 5,FALSE)</f>
        <v>7.77</v>
      </c>
      <c r="M698" s="13">
        <f>PRODUCT(orders!$E698,orders!$L698)</f>
        <v>31.08</v>
      </c>
      <c r="N698" s="11" t="str">
        <f t="shared" si="20"/>
        <v>August</v>
      </c>
      <c r="O698" s="11">
        <f t="shared" si="21"/>
        <v>2019</v>
      </c>
      <c r="P698" s="11" t="str">
        <f>TEXT(orders!$B698, "DDD")</f>
        <v>Fri</v>
      </c>
      <c r="Q698" s="11" t="str">
        <f>VLOOKUP(orders!C698,[1]customers!$A$1:$I$1001, 6,FALSE)</f>
        <v>Jacksonville</v>
      </c>
    </row>
    <row r="699" spans="1:17" x14ac:dyDescent="0.3">
      <c r="A699" s="14" t="s">
        <v>1372</v>
      </c>
      <c r="B699" s="15">
        <v>44547</v>
      </c>
      <c r="C699" s="16" t="s">
        <v>1373</v>
      </c>
      <c r="D699" s="17" t="s">
        <v>84</v>
      </c>
      <c r="E699" s="16">
        <v>3</v>
      </c>
      <c r="F699" s="9" t="str">
        <f>VLOOKUP(C699,[1]customers!$A$1:$I$1001, 2, FALSE)</f>
        <v>Myrle Dearden</v>
      </c>
      <c r="G699" s="16">
        <f>VLOOKUP(orders!C699,[1]customers!$A$1:$I$1001, 3, FALSE)</f>
        <v>0</v>
      </c>
      <c r="H699" s="16" t="str">
        <f>VLOOKUP(C699, [1]customers!$A$1:$I$1001, 7, FALSE)</f>
        <v>Ireland</v>
      </c>
      <c r="I699" s="18" t="str">
        <f>VLOOKUP(orders!D699,[1]products!$A$1:$G$49, 2,FALSE)</f>
        <v>Ara</v>
      </c>
      <c r="J699" s="18" t="str">
        <f>VLOOKUP(orders!D699,[1]products!$A$1:$G$49, 3,FALSE)</f>
        <v>M</v>
      </c>
      <c r="K699" s="19">
        <f>VLOOKUP(orders!D699,[1]products!$A$1:$G$49, 4,FALSE)</f>
        <v>0.5</v>
      </c>
      <c r="L699" s="19">
        <f>VLOOKUP(orders!D699,[1]products!$A$1:$G$49, 5,FALSE)</f>
        <v>6.75</v>
      </c>
      <c r="M699" s="13">
        <f>PRODUCT(orders!$E699,orders!$L699)</f>
        <v>20.25</v>
      </c>
      <c r="N699" s="18" t="str">
        <f t="shared" si="20"/>
        <v>December</v>
      </c>
      <c r="O699" s="18">
        <f t="shared" si="21"/>
        <v>2021</v>
      </c>
      <c r="P699" s="11" t="str">
        <f>TEXT(orders!$B699, "DDD")</f>
        <v>Fri</v>
      </c>
      <c r="Q699" s="11" t="str">
        <f>VLOOKUP(orders!C699,[1]customers!$A$1:$I$1001, 6,FALSE)</f>
        <v>Bayside</v>
      </c>
    </row>
    <row r="700" spans="1:17" x14ac:dyDescent="0.3">
      <c r="A700" s="7" t="s">
        <v>1374</v>
      </c>
      <c r="B700" s="8">
        <v>43830</v>
      </c>
      <c r="C700" s="9" t="s">
        <v>1361</v>
      </c>
      <c r="D700" s="10" t="s">
        <v>30</v>
      </c>
      <c r="E700" s="9">
        <v>2</v>
      </c>
      <c r="F700" s="9" t="str">
        <f>VLOOKUP(C700,[1]customers!$A$1:$I$1001, 2, FALSE)</f>
        <v>Jimmy Dymoke</v>
      </c>
      <c r="G700" s="9" t="str">
        <f>VLOOKUP(orders!C700,[1]customers!$A$1:$I$1001, 3, FALSE)</f>
        <v>jdymokeje@prnewswire.com</v>
      </c>
      <c r="H700" s="9" t="str">
        <f>VLOOKUP(C700, [1]customers!$A$1:$I$1001, 7, FALSE)</f>
        <v>Ireland</v>
      </c>
      <c r="I700" s="11" t="str">
        <f>VLOOKUP(orders!D700,[1]products!$A$1:$G$49, 2,FALSE)</f>
        <v>Lib</v>
      </c>
      <c r="J700" s="11" t="str">
        <f>VLOOKUP(orders!D700,[1]products!$A$1:$G$49, 3,FALSE)</f>
        <v>D</v>
      </c>
      <c r="K700" s="12">
        <f>VLOOKUP(orders!D700,[1]products!$A$1:$G$49, 4,FALSE)</f>
        <v>1</v>
      </c>
      <c r="L700" s="12">
        <f>VLOOKUP(orders!D700,[1]products!$A$1:$G$49, 5,FALSE)</f>
        <v>12.95</v>
      </c>
      <c r="M700" s="13">
        <f>PRODUCT(orders!$E700,orders!$L700)</f>
        <v>25.9</v>
      </c>
      <c r="N700" s="11" t="str">
        <f t="shared" si="20"/>
        <v>December</v>
      </c>
      <c r="O700" s="11">
        <f t="shared" si="21"/>
        <v>2019</v>
      </c>
      <c r="P700" s="11" t="str">
        <f>TEXT(orders!$B700, "DDD")</f>
        <v>Tue</v>
      </c>
      <c r="Q700" s="11" t="str">
        <f>VLOOKUP(orders!C700,[1]customers!$A$1:$I$1001, 6,FALSE)</f>
        <v>Beaumont</v>
      </c>
    </row>
    <row r="701" spans="1:17" x14ac:dyDescent="0.3">
      <c r="A701" s="14" t="s">
        <v>1375</v>
      </c>
      <c r="B701" s="15">
        <v>44298</v>
      </c>
      <c r="C701" s="16" t="s">
        <v>1376</v>
      </c>
      <c r="D701" s="17" t="s">
        <v>89</v>
      </c>
      <c r="E701" s="16">
        <v>4</v>
      </c>
      <c r="F701" s="9" t="str">
        <f>VLOOKUP(C701,[1]customers!$A$1:$I$1001, 2, FALSE)</f>
        <v>Orland Tadman</v>
      </c>
      <c r="G701" s="16" t="str">
        <f>VLOOKUP(orders!C701,[1]customers!$A$1:$I$1001, 3, FALSE)</f>
        <v>otadmanjf@ft.com</v>
      </c>
      <c r="H701" s="16" t="str">
        <f>VLOOKUP(C701, [1]customers!$A$1:$I$1001, 7, FALSE)</f>
        <v>United States</v>
      </c>
      <c r="I701" s="18" t="str">
        <f>VLOOKUP(orders!D701,[1]products!$A$1:$G$49, 2,FALSE)</f>
        <v>Ara</v>
      </c>
      <c r="J701" s="18" t="str">
        <f>VLOOKUP(orders!D701,[1]products!$A$1:$G$49, 3,FALSE)</f>
        <v>D</v>
      </c>
      <c r="K701" s="19">
        <f>VLOOKUP(orders!D701,[1]products!$A$1:$G$49, 4,FALSE)</f>
        <v>0.5</v>
      </c>
      <c r="L701" s="19">
        <f>VLOOKUP(orders!D701,[1]products!$A$1:$G$49, 5,FALSE)</f>
        <v>5.97</v>
      </c>
      <c r="M701" s="13">
        <f>PRODUCT(orders!$E701,orders!$L701)</f>
        <v>23.88</v>
      </c>
      <c r="N701" s="18" t="str">
        <f t="shared" si="20"/>
        <v>April</v>
      </c>
      <c r="O701" s="18">
        <f t="shared" si="21"/>
        <v>2021</v>
      </c>
      <c r="P701" s="11" t="str">
        <f>TEXT(orders!$B701, "DDD")</f>
        <v>Mon</v>
      </c>
      <c r="Q701" s="11" t="str">
        <f>VLOOKUP(orders!C701,[1]customers!$A$1:$I$1001, 6,FALSE)</f>
        <v>Miami</v>
      </c>
    </row>
    <row r="702" spans="1:17" x14ac:dyDescent="0.3">
      <c r="A702" s="7" t="s">
        <v>1377</v>
      </c>
      <c r="B702" s="8">
        <v>43736</v>
      </c>
      <c r="C702" s="9" t="s">
        <v>1378</v>
      </c>
      <c r="D702" s="10" t="s">
        <v>100</v>
      </c>
      <c r="E702" s="9">
        <v>2</v>
      </c>
      <c r="F702" s="9" t="str">
        <f>VLOOKUP(C702,[1]customers!$A$1:$I$1001, 2, FALSE)</f>
        <v>Barrett Gudde</v>
      </c>
      <c r="G702" s="9" t="str">
        <f>VLOOKUP(orders!C702,[1]customers!$A$1:$I$1001, 3, FALSE)</f>
        <v>bguddejg@dailymotion.com</v>
      </c>
      <c r="H702" s="9" t="str">
        <f>VLOOKUP(C702, [1]customers!$A$1:$I$1001, 7, FALSE)</f>
        <v>United States</v>
      </c>
      <c r="I702" s="11" t="str">
        <f>VLOOKUP(orders!D702,[1]products!$A$1:$G$49, 2,FALSE)</f>
        <v>Lib</v>
      </c>
      <c r="J702" s="11" t="str">
        <f>VLOOKUP(orders!D702,[1]products!$A$1:$G$49, 3,FALSE)</f>
        <v>L</v>
      </c>
      <c r="K702" s="12">
        <f>VLOOKUP(orders!D702,[1]products!$A$1:$G$49, 4,FALSE)</f>
        <v>0.5</v>
      </c>
      <c r="L702" s="12">
        <f>VLOOKUP(orders!D702,[1]products!$A$1:$G$49, 5,FALSE)</f>
        <v>9.51</v>
      </c>
      <c r="M702" s="13">
        <f>PRODUCT(orders!$E702,orders!$L702)</f>
        <v>19.02</v>
      </c>
      <c r="N702" s="11" t="str">
        <f t="shared" si="20"/>
        <v>September</v>
      </c>
      <c r="O702" s="11">
        <f t="shared" si="21"/>
        <v>2019</v>
      </c>
      <c r="P702" s="11" t="str">
        <f>TEXT(orders!$B702, "DDD")</f>
        <v>Sat</v>
      </c>
      <c r="Q702" s="11" t="str">
        <f>VLOOKUP(orders!C702,[1]customers!$A$1:$I$1001, 6,FALSE)</f>
        <v>San Francisco</v>
      </c>
    </row>
    <row r="703" spans="1:17" x14ac:dyDescent="0.3">
      <c r="A703" s="14" t="s">
        <v>1379</v>
      </c>
      <c r="B703" s="15">
        <v>44727</v>
      </c>
      <c r="C703" s="16" t="s">
        <v>1380</v>
      </c>
      <c r="D703" s="17" t="s">
        <v>89</v>
      </c>
      <c r="E703" s="16">
        <v>5</v>
      </c>
      <c r="F703" s="9" t="str">
        <f>VLOOKUP(C703,[1]customers!$A$1:$I$1001, 2, FALSE)</f>
        <v>Nathan Sictornes</v>
      </c>
      <c r="G703" s="16" t="str">
        <f>VLOOKUP(orders!C703,[1]customers!$A$1:$I$1001, 3, FALSE)</f>
        <v>nsictornesjh@buzzfeed.com</v>
      </c>
      <c r="H703" s="16" t="str">
        <f>VLOOKUP(C703, [1]customers!$A$1:$I$1001, 7, FALSE)</f>
        <v>Ireland</v>
      </c>
      <c r="I703" s="18" t="str">
        <f>VLOOKUP(orders!D703,[1]products!$A$1:$G$49, 2,FALSE)</f>
        <v>Ara</v>
      </c>
      <c r="J703" s="18" t="str">
        <f>VLOOKUP(orders!D703,[1]products!$A$1:$G$49, 3,FALSE)</f>
        <v>D</v>
      </c>
      <c r="K703" s="19">
        <f>VLOOKUP(orders!D703,[1]products!$A$1:$G$49, 4,FALSE)</f>
        <v>0.5</v>
      </c>
      <c r="L703" s="19">
        <f>VLOOKUP(orders!D703,[1]products!$A$1:$G$49, 5,FALSE)</f>
        <v>5.97</v>
      </c>
      <c r="M703" s="13">
        <f>PRODUCT(orders!$E703,orders!$L703)</f>
        <v>29.849999999999998</v>
      </c>
      <c r="N703" s="18" t="str">
        <f t="shared" si="20"/>
        <v>June</v>
      </c>
      <c r="O703" s="18">
        <f t="shared" si="21"/>
        <v>2022</v>
      </c>
      <c r="P703" s="11" t="str">
        <f>TEXT(orders!$B703, "DDD")</f>
        <v>Wed</v>
      </c>
      <c r="Q703" s="11" t="str">
        <f>VLOOKUP(orders!C703,[1]customers!$A$1:$I$1001, 6,FALSE)</f>
        <v>Sandyford</v>
      </c>
    </row>
    <row r="704" spans="1:17" x14ac:dyDescent="0.3">
      <c r="A704" s="7" t="s">
        <v>1381</v>
      </c>
      <c r="B704" s="8">
        <v>43661</v>
      </c>
      <c r="C704" s="9" t="s">
        <v>1382</v>
      </c>
      <c r="D704" s="10" t="s">
        <v>209</v>
      </c>
      <c r="E704" s="9">
        <v>1</v>
      </c>
      <c r="F704" s="9" t="str">
        <f>VLOOKUP(C704,[1]customers!$A$1:$I$1001, 2, FALSE)</f>
        <v>Vivyan Dunning</v>
      </c>
      <c r="G704" s="9" t="str">
        <f>VLOOKUP(orders!C704,[1]customers!$A$1:$I$1001, 3, FALSE)</f>
        <v>vdunningji@independent.co.uk</v>
      </c>
      <c r="H704" s="9" t="str">
        <f>VLOOKUP(C704, [1]customers!$A$1:$I$1001, 7, FALSE)</f>
        <v>United States</v>
      </c>
      <c r="I704" s="11" t="str">
        <f>VLOOKUP(orders!D704,[1]products!$A$1:$G$49, 2,FALSE)</f>
        <v>Ara</v>
      </c>
      <c r="J704" s="11" t="str">
        <f>VLOOKUP(orders!D704,[1]products!$A$1:$G$49, 3,FALSE)</f>
        <v>L</v>
      </c>
      <c r="K704" s="12">
        <f>VLOOKUP(orders!D704,[1]products!$A$1:$G$49, 4,FALSE)</f>
        <v>0.5</v>
      </c>
      <c r="L704" s="12">
        <f>VLOOKUP(orders!D704,[1]products!$A$1:$G$49, 5,FALSE)</f>
        <v>7.77</v>
      </c>
      <c r="M704" s="13">
        <f>PRODUCT(orders!$E704,orders!$L704)</f>
        <v>7.77</v>
      </c>
      <c r="N704" s="11" t="str">
        <f t="shared" si="20"/>
        <v>July</v>
      </c>
      <c r="O704" s="11">
        <f t="shared" si="21"/>
        <v>2019</v>
      </c>
      <c r="P704" s="11" t="str">
        <f>TEXT(orders!$B704, "DDD")</f>
        <v>Mon</v>
      </c>
      <c r="Q704" s="11" t="str">
        <f>VLOOKUP(orders!C704,[1]customers!$A$1:$I$1001, 6,FALSE)</f>
        <v>Punta Gorda</v>
      </c>
    </row>
    <row r="705" spans="1:17" x14ac:dyDescent="0.3">
      <c r="A705" s="14" t="s">
        <v>1383</v>
      </c>
      <c r="B705" s="15">
        <v>43506</v>
      </c>
      <c r="C705" s="16" t="s">
        <v>1384</v>
      </c>
      <c r="D705" s="17" t="s">
        <v>126</v>
      </c>
      <c r="E705" s="16">
        <v>4</v>
      </c>
      <c r="F705" s="9" t="str">
        <f>VLOOKUP(C705,[1]customers!$A$1:$I$1001, 2, FALSE)</f>
        <v>Doralin Baison</v>
      </c>
      <c r="G705" s="16">
        <f>VLOOKUP(orders!C705,[1]customers!$A$1:$I$1001, 3, FALSE)</f>
        <v>0</v>
      </c>
      <c r="H705" s="16" t="str">
        <f>VLOOKUP(C705, [1]customers!$A$1:$I$1001, 7, FALSE)</f>
        <v>Ireland</v>
      </c>
      <c r="I705" s="18" t="str">
        <f>VLOOKUP(orders!D705,[1]products!$A$1:$G$49, 2,FALSE)</f>
        <v>Lib</v>
      </c>
      <c r="J705" s="18" t="str">
        <f>VLOOKUP(orders!D705,[1]products!$A$1:$G$49, 3,FALSE)</f>
        <v>D</v>
      </c>
      <c r="K705" s="19">
        <f>VLOOKUP(orders!D705,[1]products!$A$1:$G$49, 4,FALSE)</f>
        <v>2.5</v>
      </c>
      <c r="L705" s="19">
        <f>VLOOKUP(orders!D705,[1]products!$A$1:$G$49, 5,FALSE)</f>
        <v>29.784999999999997</v>
      </c>
      <c r="M705" s="13">
        <f>PRODUCT(orders!$E705,orders!$L705)</f>
        <v>119.13999999999999</v>
      </c>
      <c r="N705" s="18" t="str">
        <f t="shared" si="20"/>
        <v>February</v>
      </c>
      <c r="O705" s="18">
        <f t="shared" si="21"/>
        <v>2019</v>
      </c>
      <c r="P705" s="11" t="str">
        <f>TEXT(orders!$B705, "DDD")</f>
        <v>Sun</v>
      </c>
      <c r="Q705" s="11" t="str">
        <f>VLOOKUP(orders!C705,[1]customers!$A$1:$I$1001, 6,FALSE)</f>
        <v>Ballivor</v>
      </c>
    </row>
    <row r="706" spans="1:17" x14ac:dyDescent="0.3">
      <c r="A706" s="7" t="s">
        <v>1385</v>
      </c>
      <c r="B706" s="8">
        <v>44716</v>
      </c>
      <c r="C706" s="9" t="s">
        <v>1386</v>
      </c>
      <c r="D706" s="10" t="s">
        <v>68</v>
      </c>
      <c r="E706" s="9">
        <v>6</v>
      </c>
      <c r="F706" s="9" t="str">
        <f>VLOOKUP(C706,[1]customers!$A$1:$I$1001, 2, FALSE)</f>
        <v>Josefina Ferens</v>
      </c>
      <c r="G706" s="9">
        <f>VLOOKUP(orders!C706,[1]customers!$A$1:$I$1001, 3, FALSE)</f>
        <v>0</v>
      </c>
      <c r="H706" s="9" t="str">
        <f>VLOOKUP(C706, [1]customers!$A$1:$I$1001, 7, FALSE)</f>
        <v>United States</v>
      </c>
      <c r="I706" s="11" t="str">
        <f>VLOOKUP(orders!D706,[1]products!$A$1:$G$49, 2,FALSE)</f>
        <v>Exc</v>
      </c>
      <c r="J706" s="11" t="str">
        <f>VLOOKUP(orders!D706,[1]products!$A$1:$G$49, 3,FALSE)</f>
        <v>D</v>
      </c>
      <c r="K706" s="12">
        <f>VLOOKUP(orders!D706,[1]products!$A$1:$G$49, 4,FALSE)</f>
        <v>0.2</v>
      </c>
      <c r="L706" s="12">
        <f>VLOOKUP(orders!D706,[1]products!$A$1:$G$49, 5,FALSE)</f>
        <v>3.645</v>
      </c>
      <c r="M706" s="13">
        <f>PRODUCT(orders!$E706,orders!$L706)</f>
        <v>21.87</v>
      </c>
      <c r="N706" s="11" t="str">
        <f t="shared" ref="N706:N769" si="22">TEXT(B706, "mmmm")</f>
        <v>June</v>
      </c>
      <c r="O706" s="11">
        <f t="shared" ref="O706:O769" si="23">YEAR(B706)</f>
        <v>2022</v>
      </c>
      <c r="P706" s="11" t="str">
        <f>TEXT(orders!$B706, "DDD")</f>
        <v>Sat</v>
      </c>
      <c r="Q706" s="11" t="str">
        <f>VLOOKUP(orders!C706,[1]customers!$A$1:$I$1001, 6,FALSE)</f>
        <v>New York City</v>
      </c>
    </row>
    <row r="707" spans="1:17" x14ac:dyDescent="0.3">
      <c r="A707" s="14" t="s">
        <v>1387</v>
      </c>
      <c r="B707" s="15">
        <v>44114</v>
      </c>
      <c r="C707" s="16" t="s">
        <v>1388</v>
      </c>
      <c r="D707" s="17" t="s">
        <v>193</v>
      </c>
      <c r="E707" s="16">
        <v>2</v>
      </c>
      <c r="F707" s="9" t="str">
        <f>VLOOKUP(C707,[1]customers!$A$1:$I$1001, 2, FALSE)</f>
        <v>Shelley Gehring</v>
      </c>
      <c r="G707" s="16" t="str">
        <f>VLOOKUP(orders!C707,[1]customers!$A$1:$I$1001, 3, FALSE)</f>
        <v>sgehringjl@gnu.org</v>
      </c>
      <c r="H707" s="16" t="str">
        <f>VLOOKUP(C707, [1]customers!$A$1:$I$1001, 7, FALSE)</f>
        <v>United States</v>
      </c>
      <c r="I707" s="18" t="str">
        <f>VLOOKUP(orders!D707,[1]products!$A$1:$G$49, 2,FALSE)</f>
        <v>Exc</v>
      </c>
      <c r="J707" s="18" t="str">
        <f>VLOOKUP(orders!D707,[1]products!$A$1:$G$49, 3,FALSE)</f>
        <v>L</v>
      </c>
      <c r="K707" s="19">
        <f>VLOOKUP(orders!D707,[1]products!$A$1:$G$49, 4,FALSE)</f>
        <v>0.5</v>
      </c>
      <c r="L707" s="19">
        <f>VLOOKUP(orders!D707,[1]products!$A$1:$G$49, 5,FALSE)</f>
        <v>8.91</v>
      </c>
      <c r="M707" s="13">
        <f>PRODUCT(orders!$E707,orders!$L707)</f>
        <v>17.82</v>
      </c>
      <c r="N707" s="18" t="str">
        <f t="shared" si="22"/>
        <v>October</v>
      </c>
      <c r="O707" s="18">
        <f t="shared" si="23"/>
        <v>2020</v>
      </c>
      <c r="P707" s="11" t="str">
        <f>TEXT(orders!$B707, "DDD")</f>
        <v>Sat</v>
      </c>
      <c r="Q707" s="11" t="str">
        <f>VLOOKUP(orders!C707,[1]customers!$A$1:$I$1001, 6,FALSE)</f>
        <v>Spartanburg</v>
      </c>
    </row>
    <row r="708" spans="1:17" x14ac:dyDescent="0.3">
      <c r="A708" s="7" t="s">
        <v>1389</v>
      </c>
      <c r="B708" s="8">
        <v>44353</v>
      </c>
      <c r="C708" s="9" t="s">
        <v>1390</v>
      </c>
      <c r="D708" s="10" t="s">
        <v>81</v>
      </c>
      <c r="E708" s="9">
        <v>3</v>
      </c>
      <c r="F708" s="9" t="str">
        <f>VLOOKUP(C708,[1]customers!$A$1:$I$1001, 2, FALSE)</f>
        <v>Barrie Fallowes</v>
      </c>
      <c r="G708" s="9" t="str">
        <f>VLOOKUP(orders!C708,[1]customers!$A$1:$I$1001, 3, FALSE)</f>
        <v>bfallowesjm@purevolume.com</v>
      </c>
      <c r="H708" s="9" t="str">
        <f>VLOOKUP(C708, [1]customers!$A$1:$I$1001, 7, FALSE)</f>
        <v>United States</v>
      </c>
      <c r="I708" s="11" t="str">
        <f>VLOOKUP(orders!D708,[1]products!$A$1:$G$49, 2,FALSE)</f>
        <v>Exc</v>
      </c>
      <c r="J708" s="11" t="str">
        <f>VLOOKUP(orders!D708,[1]products!$A$1:$G$49, 3,FALSE)</f>
        <v>M</v>
      </c>
      <c r="K708" s="12">
        <f>VLOOKUP(orders!D708,[1]products!$A$1:$G$49, 4,FALSE)</f>
        <v>0.2</v>
      </c>
      <c r="L708" s="12">
        <f>VLOOKUP(orders!D708,[1]products!$A$1:$G$49, 5,FALSE)</f>
        <v>4.125</v>
      </c>
      <c r="M708" s="13">
        <f>PRODUCT(orders!$E708,orders!$L708)</f>
        <v>12.375</v>
      </c>
      <c r="N708" s="11" t="str">
        <f t="shared" si="22"/>
        <v>June</v>
      </c>
      <c r="O708" s="11">
        <f t="shared" si="23"/>
        <v>2021</v>
      </c>
      <c r="P708" s="11" t="str">
        <f>TEXT(orders!$B708, "DDD")</f>
        <v>Sun</v>
      </c>
      <c r="Q708" s="11" t="str">
        <f>VLOOKUP(orders!C708,[1]customers!$A$1:$I$1001, 6,FALSE)</f>
        <v>Bakersfield</v>
      </c>
    </row>
    <row r="709" spans="1:17" x14ac:dyDescent="0.3">
      <c r="A709" s="14" t="s">
        <v>1391</v>
      </c>
      <c r="B709" s="15">
        <v>43540</v>
      </c>
      <c r="C709" s="16" t="s">
        <v>1392</v>
      </c>
      <c r="D709" s="17" t="s">
        <v>30</v>
      </c>
      <c r="E709" s="16">
        <v>2</v>
      </c>
      <c r="F709" s="9" t="str">
        <f>VLOOKUP(C709,[1]customers!$A$1:$I$1001, 2, FALSE)</f>
        <v>Nicolas Aiton</v>
      </c>
      <c r="G709" s="16">
        <f>VLOOKUP(orders!C709,[1]customers!$A$1:$I$1001, 3, FALSE)</f>
        <v>0</v>
      </c>
      <c r="H709" s="16" t="str">
        <f>VLOOKUP(C709, [1]customers!$A$1:$I$1001, 7, FALSE)</f>
        <v>Ireland</v>
      </c>
      <c r="I709" s="18" t="str">
        <f>VLOOKUP(orders!D709,[1]products!$A$1:$G$49, 2,FALSE)</f>
        <v>Lib</v>
      </c>
      <c r="J709" s="18" t="str">
        <f>VLOOKUP(orders!D709,[1]products!$A$1:$G$49, 3,FALSE)</f>
        <v>D</v>
      </c>
      <c r="K709" s="19">
        <f>VLOOKUP(orders!D709,[1]products!$A$1:$G$49, 4,FALSE)</f>
        <v>1</v>
      </c>
      <c r="L709" s="19">
        <f>VLOOKUP(orders!D709,[1]products!$A$1:$G$49, 5,FALSE)</f>
        <v>12.95</v>
      </c>
      <c r="M709" s="13">
        <f>PRODUCT(orders!$E709,orders!$L709)</f>
        <v>25.9</v>
      </c>
      <c r="N709" s="18" t="str">
        <f t="shared" si="22"/>
        <v>March</v>
      </c>
      <c r="O709" s="18">
        <f t="shared" si="23"/>
        <v>2019</v>
      </c>
      <c r="P709" s="11" t="str">
        <f>TEXT(orders!$B709, "DDD")</f>
        <v>Sat</v>
      </c>
      <c r="Q709" s="11" t="str">
        <f>VLOOKUP(orders!C709,[1]customers!$A$1:$I$1001, 6,FALSE)</f>
        <v>Dungarvan</v>
      </c>
    </row>
    <row r="710" spans="1:17" x14ac:dyDescent="0.3">
      <c r="A710" s="7" t="s">
        <v>1393</v>
      </c>
      <c r="B710" s="8">
        <v>43804</v>
      </c>
      <c r="C710" s="9" t="s">
        <v>1394</v>
      </c>
      <c r="D710" s="10" t="s">
        <v>84</v>
      </c>
      <c r="E710" s="9">
        <v>2</v>
      </c>
      <c r="F710" s="9" t="str">
        <f>VLOOKUP(C710,[1]customers!$A$1:$I$1001, 2, FALSE)</f>
        <v>Shelli De Banke</v>
      </c>
      <c r="G710" s="9" t="str">
        <f>VLOOKUP(orders!C710,[1]customers!$A$1:$I$1001, 3, FALSE)</f>
        <v>sdejo@newsvine.com</v>
      </c>
      <c r="H710" s="9" t="str">
        <f>VLOOKUP(C710, [1]customers!$A$1:$I$1001, 7, FALSE)</f>
        <v>United States</v>
      </c>
      <c r="I710" s="11" t="str">
        <f>VLOOKUP(orders!D710,[1]products!$A$1:$G$49, 2,FALSE)</f>
        <v>Ara</v>
      </c>
      <c r="J710" s="11" t="str">
        <f>VLOOKUP(orders!D710,[1]products!$A$1:$G$49, 3,FALSE)</f>
        <v>M</v>
      </c>
      <c r="K710" s="12">
        <f>VLOOKUP(orders!D710,[1]products!$A$1:$G$49, 4,FALSE)</f>
        <v>0.5</v>
      </c>
      <c r="L710" s="12">
        <f>VLOOKUP(orders!D710,[1]products!$A$1:$G$49, 5,FALSE)</f>
        <v>6.75</v>
      </c>
      <c r="M710" s="13">
        <f>PRODUCT(orders!$E710,orders!$L710)</f>
        <v>13.5</v>
      </c>
      <c r="N710" s="11" t="str">
        <f t="shared" si="22"/>
        <v>December</v>
      </c>
      <c r="O710" s="11">
        <f t="shared" si="23"/>
        <v>2019</v>
      </c>
      <c r="P710" s="11" t="str">
        <f>TEXT(orders!$B710, "DDD")</f>
        <v>Thu</v>
      </c>
      <c r="Q710" s="11" t="str">
        <f>VLOOKUP(orders!C710,[1]customers!$A$1:$I$1001, 6,FALSE)</f>
        <v>Saint Louis</v>
      </c>
    </row>
    <row r="711" spans="1:17" x14ac:dyDescent="0.3">
      <c r="A711" s="14" t="s">
        <v>1395</v>
      </c>
      <c r="B711" s="15">
        <v>43485</v>
      </c>
      <c r="C711" s="16" t="s">
        <v>1396</v>
      </c>
      <c r="D711" s="17" t="s">
        <v>193</v>
      </c>
      <c r="E711" s="16">
        <v>2</v>
      </c>
      <c r="F711" s="9" t="str">
        <f>VLOOKUP(C711,[1]customers!$A$1:$I$1001, 2, FALSE)</f>
        <v>Lyell Murch</v>
      </c>
      <c r="G711" s="16">
        <f>VLOOKUP(orders!C711,[1]customers!$A$1:$I$1001, 3, FALSE)</f>
        <v>0</v>
      </c>
      <c r="H711" s="16" t="str">
        <f>VLOOKUP(C711, [1]customers!$A$1:$I$1001, 7, FALSE)</f>
        <v>United States</v>
      </c>
      <c r="I711" s="18" t="str">
        <f>VLOOKUP(orders!D711,[1]products!$A$1:$G$49, 2,FALSE)</f>
        <v>Exc</v>
      </c>
      <c r="J711" s="18" t="str">
        <f>VLOOKUP(orders!D711,[1]products!$A$1:$G$49, 3,FALSE)</f>
        <v>L</v>
      </c>
      <c r="K711" s="19">
        <f>VLOOKUP(orders!D711,[1]products!$A$1:$G$49, 4,FALSE)</f>
        <v>0.5</v>
      </c>
      <c r="L711" s="19">
        <f>VLOOKUP(orders!D711,[1]products!$A$1:$G$49, 5,FALSE)</f>
        <v>8.91</v>
      </c>
      <c r="M711" s="13">
        <f>PRODUCT(orders!$E711,orders!$L711)</f>
        <v>17.82</v>
      </c>
      <c r="N711" s="18" t="str">
        <f t="shared" si="22"/>
        <v>January</v>
      </c>
      <c r="O711" s="18">
        <f t="shared" si="23"/>
        <v>2019</v>
      </c>
      <c r="P711" s="11" t="str">
        <f>TEXT(orders!$B711, "DDD")</f>
        <v>Sun</v>
      </c>
      <c r="Q711" s="11" t="str">
        <f>VLOOKUP(orders!C711,[1]customers!$A$1:$I$1001, 6,FALSE)</f>
        <v>Fort Wayne</v>
      </c>
    </row>
    <row r="712" spans="1:17" x14ac:dyDescent="0.3">
      <c r="A712" s="7" t="s">
        <v>1397</v>
      </c>
      <c r="B712" s="8">
        <v>44655</v>
      </c>
      <c r="C712" s="9" t="s">
        <v>1398</v>
      </c>
      <c r="D712" s="10" t="s">
        <v>20</v>
      </c>
      <c r="E712" s="9">
        <v>3</v>
      </c>
      <c r="F712" s="9" t="str">
        <f>VLOOKUP(C712,[1]customers!$A$1:$I$1001, 2, FALSE)</f>
        <v>Stearne Count</v>
      </c>
      <c r="G712" s="9" t="str">
        <f>VLOOKUP(orders!C712,[1]customers!$A$1:$I$1001, 3, FALSE)</f>
        <v>scountjq@nba.com</v>
      </c>
      <c r="H712" s="9" t="str">
        <f>VLOOKUP(C712, [1]customers!$A$1:$I$1001, 7, FALSE)</f>
        <v>United States</v>
      </c>
      <c r="I712" s="11" t="str">
        <f>VLOOKUP(orders!D712,[1]products!$A$1:$G$49, 2,FALSE)</f>
        <v>Exc</v>
      </c>
      <c r="J712" s="11" t="str">
        <f>VLOOKUP(orders!D712,[1]products!$A$1:$G$49, 3,FALSE)</f>
        <v>M</v>
      </c>
      <c r="K712" s="12">
        <f>VLOOKUP(orders!D712,[1]products!$A$1:$G$49, 4,FALSE)</f>
        <v>0.5</v>
      </c>
      <c r="L712" s="12">
        <f>VLOOKUP(orders!D712,[1]products!$A$1:$G$49, 5,FALSE)</f>
        <v>8.25</v>
      </c>
      <c r="M712" s="13">
        <f>PRODUCT(orders!$E712,orders!$L712)</f>
        <v>24.75</v>
      </c>
      <c r="N712" s="11" t="str">
        <f t="shared" si="22"/>
        <v>April</v>
      </c>
      <c r="O712" s="11">
        <f t="shared" si="23"/>
        <v>2022</v>
      </c>
      <c r="P712" s="11" t="str">
        <f>TEXT(orders!$B712, "DDD")</f>
        <v>Mon</v>
      </c>
      <c r="Q712" s="11" t="str">
        <f>VLOOKUP(orders!C712,[1]customers!$A$1:$I$1001, 6,FALSE)</f>
        <v>Young America</v>
      </c>
    </row>
    <row r="713" spans="1:17" x14ac:dyDescent="0.3">
      <c r="A713" s="14" t="s">
        <v>1399</v>
      </c>
      <c r="B713" s="15">
        <v>44600</v>
      </c>
      <c r="C713" s="16" t="s">
        <v>1400</v>
      </c>
      <c r="D713" s="17" t="s">
        <v>179</v>
      </c>
      <c r="E713" s="16">
        <v>6</v>
      </c>
      <c r="F713" s="9" t="str">
        <f>VLOOKUP(C713,[1]customers!$A$1:$I$1001, 2, FALSE)</f>
        <v>Selia Ragles</v>
      </c>
      <c r="G713" s="16" t="str">
        <f>VLOOKUP(orders!C713,[1]customers!$A$1:$I$1001, 3, FALSE)</f>
        <v>sraglesjr@blogtalkradio.com</v>
      </c>
      <c r="H713" s="16" t="str">
        <f>VLOOKUP(C713, [1]customers!$A$1:$I$1001, 7, FALSE)</f>
        <v>United States</v>
      </c>
      <c r="I713" s="18" t="str">
        <f>VLOOKUP(orders!D713,[1]products!$A$1:$G$49, 2,FALSE)</f>
        <v>Rob</v>
      </c>
      <c r="J713" s="18" t="str">
        <f>VLOOKUP(orders!D713,[1]products!$A$1:$G$49, 3,FALSE)</f>
        <v>M</v>
      </c>
      <c r="K713" s="19">
        <f>VLOOKUP(orders!D713,[1]products!$A$1:$G$49, 4,FALSE)</f>
        <v>0.2</v>
      </c>
      <c r="L713" s="19">
        <f>VLOOKUP(orders!D713,[1]products!$A$1:$G$49, 5,FALSE)</f>
        <v>2.9849999999999999</v>
      </c>
      <c r="M713" s="13">
        <f>PRODUCT(orders!$E713,orders!$L713)</f>
        <v>17.91</v>
      </c>
      <c r="N713" s="18" t="str">
        <f t="shared" si="22"/>
        <v>February</v>
      </c>
      <c r="O713" s="18">
        <f t="shared" si="23"/>
        <v>2022</v>
      </c>
      <c r="P713" s="11" t="str">
        <f>TEXT(orders!$B713, "DDD")</f>
        <v>Tue</v>
      </c>
      <c r="Q713" s="11" t="str">
        <f>VLOOKUP(orders!C713,[1]customers!$A$1:$I$1001, 6,FALSE)</f>
        <v>Fort Smith</v>
      </c>
    </row>
    <row r="714" spans="1:17" x14ac:dyDescent="0.3">
      <c r="A714" s="7" t="s">
        <v>1401</v>
      </c>
      <c r="B714" s="8">
        <v>43646</v>
      </c>
      <c r="C714" s="9" t="s">
        <v>1402</v>
      </c>
      <c r="D714" s="10" t="s">
        <v>20</v>
      </c>
      <c r="E714" s="9">
        <v>2</v>
      </c>
      <c r="F714" s="9" t="str">
        <f>VLOOKUP(C714,[1]customers!$A$1:$I$1001, 2, FALSE)</f>
        <v>Silas Deehan</v>
      </c>
      <c r="G714" s="9">
        <f>VLOOKUP(orders!C714,[1]customers!$A$1:$I$1001, 3, FALSE)</f>
        <v>0</v>
      </c>
      <c r="H714" s="9" t="str">
        <f>VLOOKUP(C714, [1]customers!$A$1:$I$1001, 7, FALSE)</f>
        <v>United Kingdom</v>
      </c>
      <c r="I714" s="11" t="str">
        <f>VLOOKUP(orders!D714,[1]products!$A$1:$G$49, 2,FALSE)</f>
        <v>Exc</v>
      </c>
      <c r="J714" s="11" t="str">
        <f>VLOOKUP(orders!D714,[1]products!$A$1:$G$49, 3,FALSE)</f>
        <v>M</v>
      </c>
      <c r="K714" s="12">
        <f>VLOOKUP(orders!D714,[1]products!$A$1:$G$49, 4,FALSE)</f>
        <v>0.5</v>
      </c>
      <c r="L714" s="12">
        <f>VLOOKUP(orders!D714,[1]products!$A$1:$G$49, 5,FALSE)</f>
        <v>8.25</v>
      </c>
      <c r="M714" s="13">
        <f>PRODUCT(orders!$E714,orders!$L714)</f>
        <v>16.5</v>
      </c>
      <c r="N714" s="11" t="str">
        <f t="shared" si="22"/>
        <v>June</v>
      </c>
      <c r="O714" s="11">
        <f t="shared" si="23"/>
        <v>2019</v>
      </c>
      <c r="P714" s="11" t="str">
        <f>TEXT(orders!$B714, "DDD")</f>
        <v>Sun</v>
      </c>
      <c r="Q714" s="11" t="str">
        <f>VLOOKUP(orders!C714,[1]customers!$A$1:$I$1001, 6,FALSE)</f>
        <v>Charlton</v>
      </c>
    </row>
    <row r="715" spans="1:17" x14ac:dyDescent="0.3">
      <c r="A715" s="14" t="s">
        <v>1403</v>
      </c>
      <c r="B715" s="15">
        <v>43960</v>
      </c>
      <c r="C715" s="16" t="s">
        <v>1404</v>
      </c>
      <c r="D715" s="17" t="s">
        <v>179</v>
      </c>
      <c r="E715" s="16">
        <v>1</v>
      </c>
      <c r="F715" s="9" t="str">
        <f>VLOOKUP(C715,[1]customers!$A$1:$I$1001, 2, FALSE)</f>
        <v>Sacha Bruun</v>
      </c>
      <c r="G715" s="16" t="str">
        <f>VLOOKUP(orders!C715,[1]customers!$A$1:$I$1001, 3, FALSE)</f>
        <v>sbruunjt@blogtalkradio.com</v>
      </c>
      <c r="H715" s="16" t="str">
        <f>VLOOKUP(C715, [1]customers!$A$1:$I$1001, 7, FALSE)</f>
        <v>United States</v>
      </c>
      <c r="I715" s="18" t="str">
        <f>VLOOKUP(orders!D715,[1]products!$A$1:$G$49, 2,FALSE)</f>
        <v>Rob</v>
      </c>
      <c r="J715" s="18" t="str">
        <f>VLOOKUP(orders!D715,[1]products!$A$1:$G$49, 3,FALSE)</f>
        <v>M</v>
      </c>
      <c r="K715" s="19">
        <f>VLOOKUP(orders!D715,[1]products!$A$1:$G$49, 4,FALSE)</f>
        <v>0.2</v>
      </c>
      <c r="L715" s="19">
        <f>VLOOKUP(orders!D715,[1]products!$A$1:$G$49, 5,FALSE)</f>
        <v>2.9849999999999999</v>
      </c>
      <c r="M715" s="13">
        <f>PRODUCT(orders!$E715,orders!$L715)</f>
        <v>2.9849999999999999</v>
      </c>
      <c r="N715" s="18" t="str">
        <f t="shared" si="22"/>
        <v>May</v>
      </c>
      <c r="O715" s="18">
        <f t="shared" si="23"/>
        <v>2020</v>
      </c>
      <c r="P715" s="11" t="str">
        <f>TEXT(orders!$B715, "DDD")</f>
        <v>Sat</v>
      </c>
      <c r="Q715" s="11" t="str">
        <f>VLOOKUP(orders!C715,[1]customers!$A$1:$I$1001, 6,FALSE)</f>
        <v>Stockton</v>
      </c>
    </row>
    <row r="716" spans="1:17" x14ac:dyDescent="0.3">
      <c r="A716" s="7" t="s">
        <v>1405</v>
      </c>
      <c r="B716" s="8">
        <v>44358</v>
      </c>
      <c r="C716" s="9" t="s">
        <v>1406</v>
      </c>
      <c r="D716" s="10" t="s">
        <v>68</v>
      </c>
      <c r="E716" s="9">
        <v>4</v>
      </c>
      <c r="F716" s="9" t="str">
        <f>VLOOKUP(C716,[1]customers!$A$1:$I$1001, 2, FALSE)</f>
        <v>Alon Pllu</v>
      </c>
      <c r="G716" s="9" t="str">
        <f>VLOOKUP(orders!C716,[1]customers!$A$1:$I$1001, 3, FALSE)</f>
        <v>aplluju@dagondesign.com</v>
      </c>
      <c r="H716" s="9" t="str">
        <f>VLOOKUP(C716, [1]customers!$A$1:$I$1001, 7, FALSE)</f>
        <v>Ireland</v>
      </c>
      <c r="I716" s="11" t="str">
        <f>VLOOKUP(orders!D716,[1]products!$A$1:$G$49, 2,FALSE)</f>
        <v>Exc</v>
      </c>
      <c r="J716" s="11" t="str">
        <f>VLOOKUP(orders!D716,[1]products!$A$1:$G$49, 3,FALSE)</f>
        <v>D</v>
      </c>
      <c r="K716" s="12">
        <f>VLOOKUP(orders!D716,[1]products!$A$1:$G$49, 4,FALSE)</f>
        <v>0.2</v>
      </c>
      <c r="L716" s="12">
        <f>VLOOKUP(orders!D716,[1]products!$A$1:$G$49, 5,FALSE)</f>
        <v>3.645</v>
      </c>
      <c r="M716" s="13">
        <f>PRODUCT(orders!$E716,orders!$L716)</f>
        <v>14.58</v>
      </c>
      <c r="N716" s="11" t="str">
        <f t="shared" si="22"/>
        <v>June</v>
      </c>
      <c r="O716" s="11">
        <f t="shared" si="23"/>
        <v>2021</v>
      </c>
      <c r="P716" s="11" t="str">
        <f>TEXT(orders!$B716, "DDD")</f>
        <v>Fri</v>
      </c>
      <c r="Q716" s="11" t="str">
        <f>VLOOKUP(orders!C716,[1]customers!$A$1:$I$1001, 6,FALSE)</f>
        <v>Navan</v>
      </c>
    </row>
    <row r="717" spans="1:17" x14ac:dyDescent="0.3">
      <c r="A717" s="14" t="s">
        <v>1407</v>
      </c>
      <c r="B717" s="15">
        <v>44504</v>
      </c>
      <c r="C717" s="16" t="s">
        <v>1408</v>
      </c>
      <c r="D717" s="17" t="s">
        <v>154</v>
      </c>
      <c r="E717" s="16">
        <v>6</v>
      </c>
      <c r="F717" s="9" t="str">
        <f>VLOOKUP(C717,[1]customers!$A$1:$I$1001, 2, FALSE)</f>
        <v>Gilberto Cornier</v>
      </c>
      <c r="G717" s="16" t="str">
        <f>VLOOKUP(orders!C717,[1]customers!$A$1:$I$1001, 3, FALSE)</f>
        <v>gcornierjv@techcrunch.com</v>
      </c>
      <c r="H717" s="16" t="str">
        <f>VLOOKUP(C717, [1]customers!$A$1:$I$1001, 7, FALSE)</f>
        <v>United States</v>
      </c>
      <c r="I717" s="18" t="str">
        <f>VLOOKUP(orders!D717,[1]products!$A$1:$G$49, 2,FALSE)</f>
        <v>Exc</v>
      </c>
      <c r="J717" s="18" t="str">
        <f>VLOOKUP(orders!D717,[1]products!$A$1:$G$49, 3,FALSE)</f>
        <v>L</v>
      </c>
      <c r="K717" s="19">
        <f>VLOOKUP(orders!D717,[1]products!$A$1:$G$49, 4,FALSE)</f>
        <v>1</v>
      </c>
      <c r="L717" s="19">
        <f>VLOOKUP(orders!D717,[1]products!$A$1:$G$49, 5,FALSE)</f>
        <v>14.85</v>
      </c>
      <c r="M717" s="13">
        <f>PRODUCT(orders!$E717,orders!$L717)</f>
        <v>89.1</v>
      </c>
      <c r="N717" s="18" t="str">
        <f t="shared" si="22"/>
        <v>November</v>
      </c>
      <c r="O717" s="18">
        <f t="shared" si="23"/>
        <v>2021</v>
      </c>
      <c r="P717" s="11" t="str">
        <f>TEXT(orders!$B717, "DDD")</f>
        <v>Thu</v>
      </c>
      <c r="Q717" s="11" t="str">
        <f>VLOOKUP(orders!C717,[1]customers!$A$1:$I$1001, 6,FALSE)</f>
        <v>Tampa</v>
      </c>
    </row>
    <row r="718" spans="1:17" x14ac:dyDescent="0.3">
      <c r="A718" s="7" t="s">
        <v>1409</v>
      </c>
      <c r="B718" s="8">
        <v>44612</v>
      </c>
      <c r="C718" s="9" t="s">
        <v>1361</v>
      </c>
      <c r="D718" s="10" t="s">
        <v>206</v>
      </c>
      <c r="E718" s="9">
        <v>3</v>
      </c>
      <c r="F718" s="9" t="str">
        <f>VLOOKUP(C718,[1]customers!$A$1:$I$1001, 2, FALSE)</f>
        <v>Jimmy Dymoke</v>
      </c>
      <c r="G718" s="9" t="str">
        <f>VLOOKUP(orders!C718,[1]customers!$A$1:$I$1001, 3, FALSE)</f>
        <v>jdymokeje@prnewswire.com</v>
      </c>
      <c r="H718" s="9" t="str">
        <f>VLOOKUP(C718, [1]customers!$A$1:$I$1001, 7, FALSE)</f>
        <v>Ireland</v>
      </c>
      <c r="I718" s="11" t="str">
        <f>VLOOKUP(orders!D718,[1]products!$A$1:$G$49, 2,FALSE)</f>
        <v>Rob</v>
      </c>
      <c r="J718" s="11" t="str">
        <f>VLOOKUP(orders!D718,[1]products!$A$1:$G$49, 3,FALSE)</f>
        <v>L</v>
      </c>
      <c r="K718" s="12">
        <f>VLOOKUP(orders!D718,[1]products!$A$1:$G$49, 4,FALSE)</f>
        <v>1</v>
      </c>
      <c r="L718" s="12">
        <f>VLOOKUP(orders!D718,[1]products!$A$1:$G$49, 5,FALSE)</f>
        <v>11.95</v>
      </c>
      <c r="M718" s="13">
        <f>PRODUCT(orders!$E718,orders!$L718)</f>
        <v>35.849999999999994</v>
      </c>
      <c r="N718" s="11" t="str">
        <f t="shared" si="22"/>
        <v>February</v>
      </c>
      <c r="O718" s="11">
        <f t="shared" si="23"/>
        <v>2022</v>
      </c>
      <c r="P718" s="11" t="str">
        <f>TEXT(orders!$B718, "DDD")</f>
        <v>Sun</v>
      </c>
      <c r="Q718" s="11" t="str">
        <f>VLOOKUP(orders!C718,[1]customers!$A$1:$I$1001, 6,FALSE)</f>
        <v>Beaumont</v>
      </c>
    </row>
    <row r="719" spans="1:17" x14ac:dyDescent="0.3">
      <c r="A719" s="14" t="s">
        <v>1410</v>
      </c>
      <c r="B719" s="15">
        <v>43649</v>
      </c>
      <c r="C719" s="16" t="s">
        <v>1411</v>
      </c>
      <c r="D719" s="17" t="s">
        <v>135</v>
      </c>
      <c r="E719" s="16">
        <v>3</v>
      </c>
      <c r="F719" s="9" t="str">
        <f>VLOOKUP(C719,[1]customers!$A$1:$I$1001, 2, FALSE)</f>
        <v>Willabella Harvison</v>
      </c>
      <c r="G719" s="16" t="str">
        <f>VLOOKUP(orders!C719,[1]customers!$A$1:$I$1001, 3, FALSE)</f>
        <v>wharvisonjx@gizmodo.com</v>
      </c>
      <c r="H719" s="16" t="str">
        <f>VLOOKUP(C719, [1]customers!$A$1:$I$1001, 7, FALSE)</f>
        <v>United States</v>
      </c>
      <c r="I719" s="18" t="str">
        <f>VLOOKUP(orders!D719,[1]products!$A$1:$G$49, 2,FALSE)</f>
        <v>Ara</v>
      </c>
      <c r="J719" s="18" t="str">
        <f>VLOOKUP(orders!D719,[1]products!$A$1:$G$49, 3,FALSE)</f>
        <v>D</v>
      </c>
      <c r="K719" s="19">
        <f>VLOOKUP(orders!D719,[1]products!$A$1:$G$49, 4,FALSE)</f>
        <v>2.5</v>
      </c>
      <c r="L719" s="19">
        <f>VLOOKUP(orders!D719,[1]products!$A$1:$G$49, 5,FALSE)</f>
        <v>22.884999999999998</v>
      </c>
      <c r="M719" s="13">
        <f>PRODUCT(orders!$E719,orders!$L719)</f>
        <v>68.655000000000001</v>
      </c>
      <c r="N719" s="18" t="str">
        <f t="shared" si="22"/>
        <v>July</v>
      </c>
      <c r="O719" s="18">
        <f t="shared" si="23"/>
        <v>2019</v>
      </c>
      <c r="P719" s="11" t="str">
        <f>TEXT(orders!$B719, "DDD")</f>
        <v>Wed</v>
      </c>
      <c r="Q719" s="11" t="str">
        <f>VLOOKUP(orders!C719,[1]customers!$A$1:$I$1001, 6,FALSE)</f>
        <v>Philadelphia</v>
      </c>
    </row>
    <row r="720" spans="1:17" x14ac:dyDescent="0.3">
      <c r="A720" s="7" t="s">
        <v>1412</v>
      </c>
      <c r="B720" s="8">
        <v>44348</v>
      </c>
      <c r="C720" s="9" t="s">
        <v>1413</v>
      </c>
      <c r="D720" s="10" t="s">
        <v>30</v>
      </c>
      <c r="E720" s="9">
        <v>3</v>
      </c>
      <c r="F720" s="9" t="str">
        <f>VLOOKUP(C720,[1]customers!$A$1:$I$1001, 2, FALSE)</f>
        <v>Darice Heaford</v>
      </c>
      <c r="G720" s="9" t="str">
        <f>VLOOKUP(orders!C720,[1]customers!$A$1:$I$1001, 3, FALSE)</f>
        <v>dheafordjy@twitpic.com</v>
      </c>
      <c r="H720" s="9" t="str">
        <f>VLOOKUP(C720, [1]customers!$A$1:$I$1001, 7, FALSE)</f>
        <v>United States</v>
      </c>
      <c r="I720" s="11" t="str">
        <f>VLOOKUP(orders!D720,[1]products!$A$1:$G$49, 2,FALSE)</f>
        <v>Lib</v>
      </c>
      <c r="J720" s="11" t="str">
        <f>VLOOKUP(orders!D720,[1]products!$A$1:$G$49, 3,FALSE)</f>
        <v>D</v>
      </c>
      <c r="K720" s="12">
        <f>VLOOKUP(orders!D720,[1]products!$A$1:$G$49, 4,FALSE)</f>
        <v>1</v>
      </c>
      <c r="L720" s="12">
        <f>VLOOKUP(orders!D720,[1]products!$A$1:$G$49, 5,FALSE)</f>
        <v>12.95</v>
      </c>
      <c r="M720" s="13">
        <f>PRODUCT(orders!$E720,orders!$L720)</f>
        <v>38.849999999999994</v>
      </c>
      <c r="N720" s="11" t="str">
        <f t="shared" si="22"/>
        <v>June</v>
      </c>
      <c r="O720" s="11">
        <f t="shared" si="23"/>
        <v>2021</v>
      </c>
      <c r="P720" s="11" t="str">
        <f>TEXT(orders!$B720, "DDD")</f>
        <v>Tue</v>
      </c>
      <c r="Q720" s="11" t="str">
        <f>VLOOKUP(orders!C720,[1]customers!$A$1:$I$1001, 6,FALSE)</f>
        <v>San Angelo</v>
      </c>
    </row>
    <row r="721" spans="1:17" x14ac:dyDescent="0.3">
      <c r="A721" s="14" t="s">
        <v>1414</v>
      </c>
      <c r="B721" s="15">
        <v>44150</v>
      </c>
      <c r="C721" s="16" t="s">
        <v>1415</v>
      </c>
      <c r="D721" s="17" t="s">
        <v>149</v>
      </c>
      <c r="E721" s="16">
        <v>5</v>
      </c>
      <c r="F721" s="9" t="str">
        <f>VLOOKUP(C721,[1]customers!$A$1:$I$1001, 2, FALSE)</f>
        <v>Granger Fantham</v>
      </c>
      <c r="G721" s="16" t="str">
        <f>VLOOKUP(orders!C721,[1]customers!$A$1:$I$1001, 3, FALSE)</f>
        <v>gfanthamjz@hexun.com</v>
      </c>
      <c r="H721" s="16" t="str">
        <f>VLOOKUP(C721, [1]customers!$A$1:$I$1001, 7, FALSE)</f>
        <v>United States</v>
      </c>
      <c r="I721" s="18" t="str">
        <f>VLOOKUP(orders!D721,[1]products!$A$1:$G$49, 2,FALSE)</f>
        <v>Lib</v>
      </c>
      <c r="J721" s="18" t="str">
        <f>VLOOKUP(orders!D721,[1]products!$A$1:$G$49, 3,FALSE)</f>
        <v>L</v>
      </c>
      <c r="K721" s="19">
        <f>VLOOKUP(orders!D721,[1]products!$A$1:$G$49, 4,FALSE)</f>
        <v>1</v>
      </c>
      <c r="L721" s="19">
        <f>VLOOKUP(orders!D721,[1]products!$A$1:$G$49, 5,FALSE)</f>
        <v>15.85</v>
      </c>
      <c r="M721" s="13">
        <f>PRODUCT(orders!$E721,orders!$L721)</f>
        <v>79.25</v>
      </c>
      <c r="N721" s="18" t="str">
        <f t="shared" si="22"/>
        <v>November</v>
      </c>
      <c r="O721" s="18">
        <f t="shared" si="23"/>
        <v>2020</v>
      </c>
      <c r="P721" s="11" t="str">
        <f>TEXT(orders!$B721, "DDD")</f>
        <v>Sun</v>
      </c>
      <c r="Q721" s="11" t="str">
        <f>VLOOKUP(orders!C721,[1]customers!$A$1:$I$1001, 6,FALSE)</f>
        <v>Los Angeles</v>
      </c>
    </row>
    <row r="722" spans="1:17" x14ac:dyDescent="0.3">
      <c r="A722" s="7" t="s">
        <v>1416</v>
      </c>
      <c r="B722" s="8">
        <v>44215</v>
      </c>
      <c r="C722" s="9" t="s">
        <v>1417</v>
      </c>
      <c r="D722" s="10" t="s">
        <v>33</v>
      </c>
      <c r="E722" s="9">
        <v>5</v>
      </c>
      <c r="F722" s="9" t="str">
        <f>VLOOKUP(C722,[1]customers!$A$1:$I$1001, 2, FALSE)</f>
        <v>Reynolds Crookshanks</v>
      </c>
      <c r="G722" s="9" t="str">
        <f>VLOOKUP(orders!C722,[1]customers!$A$1:$I$1001, 3, FALSE)</f>
        <v>rcrookshanksk0@unc.edu</v>
      </c>
      <c r="H722" s="9" t="str">
        <f>VLOOKUP(C722, [1]customers!$A$1:$I$1001, 7, FALSE)</f>
        <v>United States</v>
      </c>
      <c r="I722" s="11" t="str">
        <f>VLOOKUP(orders!D722,[1]products!$A$1:$G$49, 2,FALSE)</f>
        <v>Exc</v>
      </c>
      <c r="J722" s="11" t="str">
        <f>VLOOKUP(orders!D722,[1]products!$A$1:$G$49, 3,FALSE)</f>
        <v>D</v>
      </c>
      <c r="K722" s="12">
        <f>VLOOKUP(orders!D722,[1]products!$A$1:$G$49, 4,FALSE)</f>
        <v>0.5</v>
      </c>
      <c r="L722" s="12">
        <f>VLOOKUP(orders!D722,[1]products!$A$1:$G$49, 5,FALSE)</f>
        <v>7.29</v>
      </c>
      <c r="M722" s="13">
        <f>PRODUCT(orders!$E722,orders!$L722)</f>
        <v>36.450000000000003</v>
      </c>
      <c r="N722" s="11" t="str">
        <f t="shared" si="22"/>
        <v>January</v>
      </c>
      <c r="O722" s="11">
        <f t="shared" si="23"/>
        <v>2021</v>
      </c>
      <c r="P722" s="11" t="str">
        <f>TEXT(orders!$B722, "DDD")</f>
        <v>Tue</v>
      </c>
      <c r="Q722" s="11" t="str">
        <f>VLOOKUP(orders!C722,[1]customers!$A$1:$I$1001, 6,FALSE)</f>
        <v>Lansing</v>
      </c>
    </row>
    <row r="723" spans="1:17" x14ac:dyDescent="0.3">
      <c r="A723" s="14" t="s">
        <v>1418</v>
      </c>
      <c r="B723" s="15">
        <v>44479</v>
      </c>
      <c r="C723" s="16" t="s">
        <v>1419</v>
      </c>
      <c r="D723" s="17" t="s">
        <v>179</v>
      </c>
      <c r="E723" s="16">
        <v>3</v>
      </c>
      <c r="F723" s="9" t="str">
        <f>VLOOKUP(C723,[1]customers!$A$1:$I$1001, 2, FALSE)</f>
        <v>Niels Leake</v>
      </c>
      <c r="G723" s="16" t="str">
        <f>VLOOKUP(orders!C723,[1]customers!$A$1:$I$1001, 3, FALSE)</f>
        <v>nleakek1@cmu.edu</v>
      </c>
      <c r="H723" s="16" t="str">
        <f>VLOOKUP(C723, [1]customers!$A$1:$I$1001, 7, FALSE)</f>
        <v>United States</v>
      </c>
      <c r="I723" s="18" t="str">
        <f>VLOOKUP(orders!D723,[1]products!$A$1:$G$49, 2,FALSE)</f>
        <v>Rob</v>
      </c>
      <c r="J723" s="18" t="str">
        <f>VLOOKUP(orders!D723,[1]products!$A$1:$G$49, 3,FALSE)</f>
        <v>M</v>
      </c>
      <c r="K723" s="19">
        <f>VLOOKUP(orders!D723,[1]products!$A$1:$G$49, 4,FALSE)</f>
        <v>0.2</v>
      </c>
      <c r="L723" s="19">
        <f>VLOOKUP(orders!D723,[1]products!$A$1:$G$49, 5,FALSE)</f>
        <v>2.9849999999999999</v>
      </c>
      <c r="M723" s="13">
        <f>PRODUCT(orders!$E723,orders!$L723)</f>
        <v>8.9550000000000001</v>
      </c>
      <c r="N723" s="18" t="str">
        <f t="shared" si="22"/>
        <v>October</v>
      </c>
      <c r="O723" s="18">
        <f t="shared" si="23"/>
        <v>2021</v>
      </c>
      <c r="P723" s="11" t="str">
        <f>TEXT(orders!$B723, "DDD")</f>
        <v>Sun</v>
      </c>
      <c r="Q723" s="11" t="str">
        <f>VLOOKUP(orders!C723,[1]customers!$A$1:$I$1001, 6,FALSE)</f>
        <v>Clearwater</v>
      </c>
    </row>
    <row r="724" spans="1:17" x14ac:dyDescent="0.3">
      <c r="A724" s="7" t="s">
        <v>1420</v>
      </c>
      <c r="B724" s="8">
        <v>44620</v>
      </c>
      <c r="C724" s="9" t="s">
        <v>1421</v>
      </c>
      <c r="D724" s="10" t="s">
        <v>262</v>
      </c>
      <c r="E724" s="9">
        <v>2</v>
      </c>
      <c r="F724" s="9" t="str">
        <f>VLOOKUP(C724,[1]customers!$A$1:$I$1001, 2, FALSE)</f>
        <v>Hetti Measures</v>
      </c>
      <c r="G724" s="9">
        <f>VLOOKUP(orders!C724,[1]customers!$A$1:$I$1001, 3, FALSE)</f>
        <v>0</v>
      </c>
      <c r="H724" s="9" t="str">
        <f>VLOOKUP(C724, [1]customers!$A$1:$I$1001, 7, FALSE)</f>
        <v>United States</v>
      </c>
      <c r="I724" s="11" t="str">
        <f>VLOOKUP(orders!D724,[1]products!$A$1:$G$49, 2,FALSE)</f>
        <v>Exc</v>
      </c>
      <c r="J724" s="11" t="str">
        <f>VLOOKUP(orders!D724,[1]products!$A$1:$G$49, 3,FALSE)</f>
        <v>D</v>
      </c>
      <c r="K724" s="12">
        <f>VLOOKUP(orders!D724,[1]products!$A$1:$G$49, 4,FALSE)</f>
        <v>1</v>
      </c>
      <c r="L724" s="12">
        <f>VLOOKUP(orders!D724,[1]products!$A$1:$G$49, 5,FALSE)</f>
        <v>12.15</v>
      </c>
      <c r="M724" s="13">
        <f>PRODUCT(orders!$E724,orders!$L724)</f>
        <v>24.3</v>
      </c>
      <c r="N724" s="11" t="str">
        <f t="shared" si="22"/>
        <v>February</v>
      </c>
      <c r="O724" s="11">
        <f t="shared" si="23"/>
        <v>2022</v>
      </c>
      <c r="P724" s="11" t="str">
        <f>TEXT(orders!$B724, "DDD")</f>
        <v>Mon</v>
      </c>
      <c r="Q724" s="11" t="str">
        <f>VLOOKUP(orders!C724,[1]customers!$A$1:$I$1001, 6,FALSE)</f>
        <v>Whittier</v>
      </c>
    </row>
    <row r="725" spans="1:17" x14ac:dyDescent="0.3">
      <c r="A725" s="14" t="s">
        <v>1422</v>
      </c>
      <c r="B725" s="15">
        <v>44470</v>
      </c>
      <c r="C725" s="16" t="s">
        <v>1423</v>
      </c>
      <c r="D725" s="17" t="s">
        <v>129</v>
      </c>
      <c r="E725" s="16">
        <v>2</v>
      </c>
      <c r="F725" s="9" t="str">
        <f>VLOOKUP(C725,[1]customers!$A$1:$I$1001, 2, FALSE)</f>
        <v>Gay Eilhersen</v>
      </c>
      <c r="G725" s="16" t="str">
        <f>VLOOKUP(orders!C725,[1]customers!$A$1:$I$1001, 3, FALSE)</f>
        <v>geilhersenk3@networksolutions.com</v>
      </c>
      <c r="H725" s="16" t="str">
        <f>VLOOKUP(C725, [1]customers!$A$1:$I$1001, 7, FALSE)</f>
        <v>United States</v>
      </c>
      <c r="I725" s="18" t="str">
        <f>VLOOKUP(orders!D725,[1]products!$A$1:$G$49, 2,FALSE)</f>
        <v>Exc</v>
      </c>
      <c r="J725" s="18" t="str">
        <f>VLOOKUP(orders!D725,[1]products!$A$1:$G$49, 3,FALSE)</f>
        <v>M</v>
      </c>
      <c r="K725" s="19">
        <f>VLOOKUP(orders!D725,[1]products!$A$1:$G$49, 4,FALSE)</f>
        <v>2.5</v>
      </c>
      <c r="L725" s="19">
        <f>VLOOKUP(orders!D725,[1]products!$A$1:$G$49, 5,FALSE)</f>
        <v>31.624999999999996</v>
      </c>
      <c r="M725" s="13">
        <f>PRODUCT(orders!$E725,orders!$L725)</f>
        <v>63.249999999999993</v>
      </c>
      <c r="N725" s="18" t="str">
        <f t="shared" si="22"/>
        <v>October</v>
      </c>
      <c r="O725" s="18">
        <f t="shared" si="23"/>
        <v>2021</v>
      </c>
      <c r="P725" s="11" t="str">
        <f>TEXT(orders!$B725, "DDD")</f>
        <v>Fri</v>
      </c>
      <c r="Q725" s="11" t="str">
        <f>VLOOKUP(orders!C725,[1]customers!$A$1:$I$1001, 6,FALSE)</f>
        <v>Fresno</v>
      </c>
    </row>
    <row r="726" spans="1:17" x14ac:dyDescent="0.3">
      <c r="A726" s="7" t="s">
        <v>1424</v>
      </c>
      <c r="B726" s="8">
        <v>44076</v>
      </c>
      <c r="C726" s="9" t="s">
        <v>1425</v>
      </c>
      <c r="D726" s="10" t="s">
        <v>61</v>
      </c>
      <c r="E726" s="9">
        <v>2</v>
      </c>
      <c r="F726" s="9" t="str">
        <f>VLOOKUP(C726,[1]customers!$A$1:$I$1001, 2, FALSE)</f>
        <v>Nico Hubert</v>
      </c>
      <c r="G726" s="9">
        <f>VLOOKUP(orders!C726,[1]customers!$A$1:$I$1001, 3, FALSE)</f>
        <v>0</v>
      </c>
      <c r="H726" s="9" t="str">
        <f>VLOOKUP(C726, [1]customers!$A$1:$I$1001, 7, FALSE)</f>
        <v>United States</v>
      </c>
      <c r="I726" s="11" t="str">
        <f>VLOOKUP(orders!D726,[1]products!$A$1:$G$49, 2,FALSE)</f>
        <v>Ara</v>
      </c>
      <c r="J726" s="11" t="str">
        <f>VLOOKUP(orders!D726,[1]products!$A$1:$G$49, 3,FALSE)</f>
        <v>M</v>
      </c>
      <c r="K726" s="12">
        <f>VLOOKUP(orders!D726,[1]products!$A$1:$G$49, 4,FALSE)</f>
        <v>0.2</v>
      </c>
      <c r="L726" s="12">
        <f>VLOOKUP(orders!D726,[1]products!$A$1:$G$49, 5,FALSE)</f>
        <v>3.375</v>
      </c>
      <c r="M726" s="13">
        <f>PRODUCT(orders!$E726,orders!$L726)</f>
        <v>6.75</v>
      </c>
      <c r="N726" s="11" t="str">
        <f t="shared" si="22"/>
        <v>September</v>
      </c>
      <c r="O726" s="11">
        <f t="shared" si="23"/>
        <v>2020</v>
      </c>
      <c r="P726" s="11" t="str">
        <f>TEXT(orders!$B726, "DDD")</f>
        <v>Wed</v>
      </c>
      <c r="Q726" s="11" t="str">
        <f>VLOOKUP(orders!C726,[1]customers!$A$1:$I$1001, 6,FALSE)</f>
        <v>New York City</v>
      </c>
    </row>
    <row r="727" spans="1:17" x14ac:dyDescent="0.3">
      <c r="A727" s="14" t="s">
        <v>1426</v>
      </c>
      <c r="B727" s="15">
        <v>44043</v>
      </c>
      <c r="C727" s="16" t="s">
        <v>1427</v>
      </c>
      <c r="D727" s="17" t="s">
        <v>132</v>
      </c>
      <c r="E727" s="16">
        <v>6</v>
      </c>
      <c r="F727" s="9" t="str">
        <f>VLOOKUP(C727,[1]customers!$A$1:$I$1001, 2, FALSE)</f>
        <v>Cristina Aleixo</v>
      </c>
      <c r="G727" s="16" t="str">
        <f>VLOOKUP(orders!C727,[1]customers!$A$1:$I$1001, 3, FALSE)</f>
        <v>caleixok5@globo.com</v>
      </c>
      <c r="H727" s="16" t="str">
        <f>VLOOKUP(C727, [1]customers!$A$1:$I$1001, 7, FALSE)</f>
        <v>United States</v>
      </c>
      <c r="I727" s="18" t="str">
        <f>VLOOKUP(orders!D727,[1]products!$A$1:$G$49, 2,FALSE)</f>
        <v>Ara</v>
      </c>
      <c r="J727" s="18" t="str">
        <f>VLOOKUP(orders!D727,[1]products!$A$1:$G$49, 3,FALSE)</f>
        <v>L</v>
      </c>
      <c r="K727" s="19">
        <f>VLOOKUP(orders!D727,[1]products!$A$1:$G$49, 4,FALSE)</f>
        <v>0.2</v>
      </c>
      <c r="L727" s="19">
        <f>VLOOKUP(orders!D727,[1]products!$A$1:$G$49, 5,FALSE)</f>
        <v>3.8849999999999998</v>
      </c>
      <c r="M727" s="13">
        <f>PRODUCT(orders!$E727,orders!$L727)</f>
        <v>23.31</v>
      </c>
      <c r="N727" s="18" t="str">
        <f t="shared" si="22"/>
        <v>July</v>
      </c>
      <c r="O727" s="18">
        <f t="shared" si="23"/>
        <v>2020</v>
      </c>
      <c r="P727" s="11" t="str">
        <f>TEXT(orders!$B727, "DDD")</f>
        <v>Fri</v>
      </c>
      <c r="Q727" s="11" t="str">
        <f>VLOOKUP(orders!C727,[1]customers!$A$1:$I$1001, 6,FALSE)</f>
        <v>Colorado Springs</v>
      </c>
    </row>
    <row r="728" spans="1:17" x14ac:dyDescent="0.3">
      <c r="A728" s="7" t="s">
        <v>1428</v>
      </c>
      <c r="B728" s="8">
        <v>44571</v>
      </c>
      <c r="C728" s="9" t="s">
        <v>1429</v>
      </c>
      <c r="D728" s="10" t="s">
        <v>121</v>
      </c>
      <c r="E728" s="9">
        <v>4</v>
      </c>
      <c r="F728" s="9" t="str">
        <f>VLOOKUP(C728,[1]customers!$A$1:$I$1001, 2, FALSE)</f>
        <v>Derrek Allpress</v>
      </c>
      <c r="G728" s="9">
        <f>VLOOKUP(orders!C728,[1]customers!$A$1:$I$1001, 3, FALSE)</f>
        <v>0</v>
      </c>
      <c r="H728" s="9" t="str">
        <f>VLOOKUP(C728, [1]customers!$A$1:$I$1001, 7, FALSE)</f>
        <v>United States</v>
      </c>
      <c r="I728" s="11" t="str">
        <f>VLOOKUP(orders!D728,[1]products!$A$1:$G$49, 2,FALSE)</f>
        <v>Lib</v>
      </c>
      <c r="J728" s="11" t="str">
        <f>VLOOKUP(orders!D728,[1]products!$A$1:$G$49, 3,FALSE)</f>
        <v>L</v>
      </c>
      <c r="K728" s="12">
        <f>VLOOKUP(orders!D728,[1]products!$A$1:$G$49, 4,FALSE)</f>
        <v>2.5</v>
      </c>
      <c r="L728" s="12">
        <f>VLOOKUP(orders!D728,[1]products!$A$1:$G$49, 5,FALSE)</f>
        <v>36.454999999999998</v>
      </c>
      <c r="M728" s="13">
        <f>PRODUCT(orders!$E728,orders!$L728)</f>
        <v>145.82</v>
      </c>
      <c r="N728" s="11" t="str">
        <f t="shared" si="22"/>
        <v>January</v>
      </c>
      <c r="O728" s="11">
        <f t="shared" si="23"/>
        <v>2022</v>
      </c>
      <c r="P728" s="11" t="str">
        <f>TEXT(orders!$B728, "DDD")</f>
        <v>Mon</v>
      </c>
      <c r="Q728" s="11" t="str">
        <f>VLOOKUP(orders!C728,[1]customers!$A$1:$I$1001, 6,FALSE)</f>
        <v>Long Beach</v>
      </c>
    </row>
    <row r="729" spans="1:17" x14ac:dyDescent="0.3">
      <c r="A729" s="14" t="s">
        <v>1430</v>
      </c>
      <c r="B729" s="15">
        <v>44264</v>
      </c>
      <c r="C729" s="16" t="s">
        <v>1431</v>
      </c>
      <c r="D729" s="17" t="s">
        <v>39</v>
      </c>
      <c r="E729" s="16">
        <v>5</v>
      </c>
      <c r="F729" s="9" t="str">
        <f>VLOOKUP(C729,[1]customers!$A$1:$I$1001, 2, FALSE)</f>
        <v>Rikki Tomkowicz</v>
      </c>
      <c r="G729" s="16" t="str">
        <f>VLOOKUP(orders!C729,[1]customers!$A$1:$I$1001, 3, FALSE)</f>
        <v>rtomkowiczk7@bravesites.com</v>
      </c>
      <c r="H729" s="16" t="str">
        <f>VLOOKUP(C729, [1]customers!$A$1:$I$1001, 7, FALSE)</f>
        <v>Ireland</v>
      </c>
      <c r="I729" s="18" t="str">
        <f>VLOOKUP(orders!D729,[1]products!$A$1:$G$49, 2,FALSE)</f>
        <v>Rob</v>
      </c>
      <c r="J729" s="18" t="str">
        <f>VLOOKUP(orders!D729,[1]products!$A$1:$G$49, 3,FALSE)</f>
        <v>M</v>
      </c>
      <c r="K729" s="19">
        <f>VLOOKUP(orders!D729,[1]products!$A$1:$G$49, 4,FALSE)</f>
        <v>0.5</v>
      </c>
      <c r="L729" s="19">
        <f>VLOOKUP(orders!D729,[1]products!$A$1:$G$49, 5,FALSE)</f>
        <v>5.97</v>
      </c>
      <c r="M729" s="13">
        <f>PRODUCT(orders!$E729,orders!$L729)</f>
        <v>29.849999999999998</v>
      </c>
      <c r="N729" s="18" t="str">
        <f t="shared" si="22"/>
        <v>March</v>
      </c>
      <c r="O729" s="18">
        <f t="shared" si="23"/>
        <v>2021</v>
      </c>
      <c r="P729" s="11" t="str">
        <f>TEXT(orders!$B729, "DDD")</f>
        <v>Tue</v>
      </c>
      <c r="Q729" s="11" t="str">
        <f>VLOOKUP(orders!C729,[1]customers!$A$1:$I$1001, 6,FALSE)</f>
        <v>Lusk</v>
      </c>
    </row>
    <row r="730" spans="1:17" x14ac:dyDescent="0.3">
      <c r="A730" s="7" t="s">
        <v>1432</v>
      </c>
      <c r="B730" s="8">
        <v>44155</v>
      </c>
      <c r="C730" s="9" t="s">
        <v>1433</v>
      </c>
      <c r="D730" s="10" t="s">
        <v>33</v>
      </c>
      <c r="E730" s="9">
        <v>3</v>
      </c>
      <c r="F730" s="9" t="str">
        <f>VLOOKUP(C730,[1]customers!$A$1:$I$1001, 2, FALSE)</f>
        <v>Rochette Huscroft</v>
      </c>
      <c r="G730" s="9" t="str">
        <f>VLOOKUP(orders!C730,[1]customers!$A$1:$I$1001, 3, FALSE)</f>
        <v>rhuscroftk8@jimdo.com</v>
      </c>
      <c r="H730" s="9" t="str">
        <f>VLOOKUP(C730, [1]customers!$A$1:$I$1001, 7, FALSE)</f>
        <v>United States</v>
      </c>
      <c r="I730" s="11" t="str">
        <f>VLOOKUP(orders!D730,[1]products!$A$1:$G$49, 2,FALSE)</f>
        <v>Exc</v>
      </c>
      <c r="J730" s="11" t="str">
        <f>VLOOKUP(orders!D730,[1]products!$A$1:$G$49, 3,FALSE)</f>
        <v>D</v>
      </c>
      <c r="K730" s="12">
        <f>VLOOKUP(orders!D730,[1]products!$A$1:$G$49, 4,FALSE)</f>
        <v>0.5</v>
      </c>
      <c r="L730" s="12">
        <f>VLOOKUP(orders!D730,[1]products!$A$1:$G$49, 5,FALSE)</f>
        <v>7.29</v>
      </c>
      <c r="M730" s="13">
        <f>PRODUCT(orders!$E730,orders!$L730)</f>
        <v>21.87</v>
      </c>
      <c r="N730" s="11" t="str">
        <f t="shared" si="22"/>
        <v>November</v>
      </c>
      <c r="O730" s="11">
        <f t="shared" si="23"/>
        <v>2020</v>
      </c>
      <c r="P730" s="11" t="str">
        <f>TEXT(orders!$B730, "DDD")</f>
        <v>Fri</v>
      </c>
      <c r="Q730" s="11" t="str">
        <f>VLOOKUP(orders!C730,[1]customers!$A$1:$I$1001, 6,FALSE)</f>
        <v>Reno</v>
      </c>
    </row>
    <row r="731" spans="1:17" x14ac:dyDescent="0.3">
      <c r="A731" s="14" t="s">
        <v>1434</v>
      </c>
      <c r="B731" s="15">
        <v>44634</v>
      </c>
      <c r="C731" s="16" t="s">
        <v>1435</v>
      </c>
      <c r="D731" s="17" t="s">
        <v>94</v>
      </c>
      <c r="E731" s="16">
        <v>1</v>
      </c>
      <c r="F731" s="9" t="str">
        <f>VLOOKUP(C731,[1]customers!$A$1:$I$1001, 2, FALSE)</f>
        <v>Selle Scurrer</v>
      </c>
      <c r="G731" s="16" t="str">
        <f>VLOOKUP(orders!C731,[1]customers!$A$1:$I$1001, 3, FALSE)</f>
        <v>sscurrerk9@flavors.me</v>
      </c>
      <c r="H731" s="16" t="str">
        <f>VLOOKUP(C731, [1]customers!$A$1:$I$1001, 7, FALSE)</f>
        <v>United Kingdom</v>
      </c>
      <c r="I731" s="18" t="str">
        <f>VLOOKUP(orders!D731,[1]products!$A$1:$G$49, 2,FALSE)</f>
        <v>Lib</v>
      </c>
      <c r="J731" s="18" t="str">
        <f>VLOOKUP(orders!D731,[1]products!$A$1:$G$49, 3,FALSE)</f>
        <v>M</v>
      </c>
      <c r="K731" s="19">
        <f>VLOOKUP(orders!D731,[1]products!$A$1:$G$49, 4,FALSE)</f>
        <v>0.2</v>
      </c>
      <c r="L731" s="19">
        <f>VLOOKUP(orders!D731,[1]products!$A$1:$G$49, 5,FALSE)</f>
        <v>4.3650000000000002</v>
      </c>
      <c r="M731" s="13">
        <f>PRODUCT(orders!$E731,orders!$L731)</f>
        <v>4.3650000000000002</v>
      </c>
      <c r="N731" s="18" t="str">
        <f t="shared" si="22"/>
        <v>March</v>
      </c>
      <c r="O731" s="18">
        <f t="shared" si="23"/>
        <v>2022</v>
      </c>
      <c r="P731" s="11" t="str">
        <f>TEXT(orders!$B731, "DDD")</f>
        <v>Mon</v>
      </c>
      <c r="Q731" s="11" t="str">
        <f>VLOOKUP(orders!C731,[1]customers!$A$1:$I$1001, 6,FALSE)</f>
        <v>Upton</v>
      </c>
    </row>
    <row r="732" spans="1:17" x14ac:dyDescent="0.3">
      <c r="A732" s="7" t="s">
        <v>1436</v>
      </c>
      <c r="B732" s="8">
        <v>43475</v>
      </c>
      <c r="C732" s="9" t="s">
        <v>1437</v>
      </c>
      <c r="D732" s="10" t="s">
        <v>121</v>
      </c>
      <c r="E732" s="9">
        <v>1</v>
      </c>
      <c r="F732" s="9" t="str">
        <f>VLOOKUP(C732,[1]customers!$A$1:$I$1001, 2, FALSE)</f>
        <v>Andie Rudram</v>
      </c>
      <c r="G732" s="9" t="str">
        <f>VLOOKUP(orders!C732,[1]customers!$A$1:$I$1001, 3, FALSE)</f>
        <v>arudramka@prnewswire.com</v>
      </c>
      <c r="H732" s="9" t="str">
        <f>VLOOKUP(C732, [1]customers!$A$1:$I$1001, 7, FALSE)</f>
        <v>United States</v>
      </c>
      <c r="I732" s="11" t="str">
        <f>VLOOKUP(orders!D732,[1]products!$A$1:$G$49, 2,FALSE)</f>
        <v>Lib</v>
      </c>
      <c r="J732" s="11" t="str">
        <f>VLOOKUP(orders!D732,[1]products!$A$1:$G$49, 3,FALSE)</f>
        <v>L</v>
      </c>
      <c r="K732" s="12">
        <f>VLOOKUP(orders!D732,[1]products!$A$1:$G$49, 4,FALSE)</f>
        <v>2.5</v>
      </c>
      <c r="L732" s="12">
        <f>VLOOKUP(orders!D732,[1]products!$A$1:$G$49, 5,FALSE)</f>
        <v>36.454999999999998</v>
      </c>
      <c r="M732" s="13">
        <f>PRODUCT(orders!$E732,orders!$L732)</f>
        <v>36.454999999999998</v>
      </c>
      <c r="N732" s="11" t="str">
        <f t="shared" si="22"/>
        <v>January</v>
      </c>
      <c r="O732" s="11">
        <f t="shared" si="23"/>
        <v>2019</v>
      </c>
      <c r="P732" s="11" t="str">
        <f>TEXT(orders!$B732, "DDD")</f>
        <v>Thu</v>
      </c>
      <c r="Q732" s="11" t="str">
        <f>VLOOKUP(orders!C732,[1]customers!$A$1:$I$1001, 6,FALSE)</f>
        <v>Las Vegas</v>
      </c>
    </row>
    <row r="733" spans="1:17" x14ac:dyDescent="0.3">
      <c r="A733" s="14" t="s">
        <v>1438</v>
      </c>
      <c r="B733" s="15">
        <v>44222</v>
      </c>
      <c r="C733" s="16" t="s">
        <v>1439</v>
      </c>
      <c r="D733" s="17" t="s">
        <v>55</v>
      </c>
      <c r="E733" s="16">
        <v>4</v>
      </c>
      <c r="F733" s="9" t="str">
        <f>VLOOKUP(C733,[1]customers!$A$1:$I$1001, 2, FALSE)</f>
        <v>Leta Clarricoates</v>
      </c>
      <c r="G733" s="16">
        <f>VLOOKUP(orders!C733,[1]customers!$A$1:$I$1001, 3, FALSE)</f>
        <v>0</v>
      </c>
      <c r="H733" s="16" t="str">
        <f>VLOOKUP(C733, [1]customers!$A$1:$I$1001, 7, FALSE)</f>
        <v>United States</v>
      </c>
      <c r="I733" s="18" t="str">
        <f>VLOOKUP(orders!D733,[1]products!$A$1:$G$49, 2,FALSE)</f>
        <v>Lib</v>
      </c>
      <c r="J733" s="18" t="str">
        <f>VLOOKUP(orders!D733,[1]products!$A$1:$G$49, 3,FALSE)</f>
        <v>D</v>
      </c>
      <c r="K733" s="19">
        <f>VLOOKUP(orders!D733,[1]products!$A$1:$G$49, 4,FALSE)</f>
        <v>0.2</v>
      </c>
      <c r="L733" s="19">
        <f>VLOOKUP(orders!D733,[1]products!$A$1:$G$49, 5,FALSE)</f>
        <v>3.8849999999999998</v>
      </c>
      <c r="M733" s="13">
        <f>PRODUCT(orders!$E733,orders!$L733)</f>
        <v>15.54</v>
      </c>
      <c r="N733" s="18" t="str">
        <f t="shared" si="22"/>
        <v>January</v>
      </c>
      <c r="O733" s="18">
        <f t="shared" si="23"/>
        <v>2021</v>
      </c>
      <c r="P733" s="11" t="str">
        <f>TEXT(orders!$B733, "DDD")</f>
        <v>Tue</v>
      </c>
      <c r="Q733" s="11" t="str">
        <f>VLOOKUP(orders!C733,[1]customers!$A$1:$I$1001, 6,FALSE)</f>
        <v>Wilmington</v>
      </c>
    </row>
    <row r="734" spans="1:17" x14ac:dyDescent="0.3">
      <c r="A734" s="7" t="s">
        <v>1440</v>
      </c>
      <c r="B734" s="8">
        <v>44312</v>
      </c>
      <c r="C734" s="9" t="s">
        <v>1441</v>
      </c>
      <c r="D734" s="10" t="s">
        <v>271</v>
      </c>
      <c r="E734" s="9">
        <v>2</v>
      </c>
      <c r="F734" s="9" t="str">
        <f>VLOOKUP(C734,[1]customers!$A$1:$I$1001, 2, FALSE)</f>
        <v>Jacquelyn Maha</v>
      </c>
      <c r="G734" s="9" t="str">
        <f>VLOOKUP(orders!C734,[1]customers!$A$1:$I$1001, 3, FALSE)</f>
        <v>jmahakc@cyberchimps.com</v>
      </c>
      <c r="H734" s="9" t="str">
        <f>VLOOKUP(C734, [1]customers!$A$1:$I$1001, 7, FALSE)</f>
        <v>United States</v>
      </c>
      <c r="I734" s="11" t="str">
        <f>VLOOKUP(orders!D734,[1]products!$A$1:$G$49, 2,FALSE)</f>
        <v>Exc</v>
      </c>
      <c r="J734" s="11" t="str">
        <f>VLOOKUP(orders!D734,[1]products!$A$1:$G$49, 3,FALSE)</f>
        <v>L</v>
      </c>
      <c r="K734" s="12">
        <f>VLOOKUP(orders!D734,[1]products!$A$1:$G$49, 4,FALSE)</f>
        <v>0.2</v>
      </c>
      <c r="L734" s="12">
        <f>VLOOKUP(orders!D734,[1]products!$A$1:$G$49, 5,FALSE)</f>
        <v>4.4550000000000001</v>
      </c>
      <c r="M734" s="13">
        <f>PRODUCT(orders!$E734,orders!$L734)</f>
        <v>8.91</v>
      </c>
      <c r="N734" s="11" t="str">
        <f t="shared" si="22"/>
        <v>April</v>
      </c>
      <c r="O734" s="11">
        <f t="shared" si="23"/>
        <v>2021</v>
      </c>
      <c r="P734" s="11" t="str">
        <f>TEXT(orders!$B734, "DDD")</f>
        <v>Mon</v>
      </c>
      <c r="Q734" s="11" t="str">
        <f>VLOOKUP(orders!C734,[1]customers!$A$1:$I$1001, 6,FALSE)</f>
        <v>Reno</v>
      </c>
    </row>
    <row r="735" spans="1:17" x14ac:dyDescent="0.3">
      <c r="A735" s="14" t="s">
        <v>1442</v>
      </c>
      <c r="B735" s="15">
        <v>44565</v>
      </c>
      <c r="C735" s="16" t="s">
        <v>1443</v>
      </c>
      <c r="D735" s="17" t="s">
        <v>214</v>
      </c>
      <c r="E735" s="16">
        <v>3</v>
      </c>
      <c r="F735" s="9" t="str">
        <f>VLOOKUP(C735,[1]customers!$A$1:$I$1001, 2, FALSE)</f>
        <v>Glory Clemon</v>
      </c>
      <c r="G735" s="16" t="str">
        <f>VLOOKUP(orders!C735,[1]customers!$A$1:$I$1001, 3, FALSE)</f>
        <v>gclemonkd@networksolutions.com</v>
      </c>
      <c r="H735" s="16" t="str">
        <f>VLOOKUP(C735, [1]customers!$A$1:$I$1001, 7, FALSE)</f>
        <v>United States</v>
      </c>
      <c r="I735" s="18" t="str">
        <f>VLOOKUP(orders!D735,[1]products!$A$1:$G$49, 2,FALSE)</f>
        <v>Lib</v>
      </c>
      <c r="J735" s="18" t="str">
        <f>VLOOKUP(orders!D735,[1]products!$A$1:$G$49, 3,FALSE)</f>
        <v>M</v>
      </c>
      <c r="K735" s="19">
        <f>VLOOKUP(orders!D735,[1]products!$A$1:$G$49, 4,FALSE)</f>
        <v>2.5</v>
      </c>
      <c r="L735" s="19">
        <f>VLOOKUP(orders!D735,[1]products!$A$1:$G$49, 5,FALSE)</f>
        <v>33.464999999999996</v>
      </c>
      <c r="M735" s="13">
        <f>PRODUCT(orders!$E735,orders!$L735)</f>
        <v>100.39499999999998</v>
      </c>
      <c r="N735" s="18" t="str">
        <f t="shared" si="22"/>
        <v>January</v>
      </c>
      <c r="O735" s="18">
        <f t="shared" si="23"/>
        <v>2022</v>
      </c>
      <c r="P735" s="11" t="str">
        <f>TEXT(orders!$B735, "DDD")</f>
        <v>Tue</v>
      </c>
      <c r="Q735" s="11" t="str">
        <f>VLOOKUP(orders!C735,[1]customers!$A$1:$I$1001, 6,FALSE)</f>
        <v>Tuscaloosa</v>
      </c>
    </row>
    <row r="736" spans="1:17" x14ac:dyDescent="0.3">
      <c r="A736" s="7" t="s">
        <v>1444</v>
      </c>
      <c r="B736" s="8">
        <v>43697</v>
      </c>
      <c r="C736" s="9" t="s">
        <v>1445</v>
      </c>
      <c r="D736" s="10" t="s">
        <v>118</v>
      </c>
      <c r="E736" s="9">
        <v>5</v>
      </c>
      <c r="F736" s="9" t="str">
        <f>VLOOKUP(C736,[1]customers!$A$1:$I$1001, 2, FALSE)</f>
        <v>Alica Kift</v>
      </c>
      <c r="G736" s="9">
        <f>VLOOKUP(orders!C736,[1]customers!$A$1:$I$1001, 3, FALSE)</f>
        <v>0</v>
      </c>
      <c r="H736" s="9" t="str">
        <f>VLOOKUP(C736, [1]customers!$A$1:$I$1001, 7, FALSE)</f>
        <v>United States</v>
      </c>
      <c r="I736" s="11" t="str">
        <f>VLOOKUP(orders!D736,[1]products!$A$1:$G$49, 2,FALSE)</f>
        <v>Rob</v>
      </c>
      <c r="J736" s="11" t="str">
        <f>VLOOKUP(orders!D736,[1]products!$A$1:$G$49, 3,FALSE)</f>
        <v>D</v>
      </c>
      <c r="K736" s="12">
        <f>VLOOKUP(orders!D736,[1]products!$A$1:$G$49, 4,FALSE)</f>
        <v>0.2</v>
      </c>
      <c r="L736" s="12">
        <f>VLOOKUP(orders!D736,[1]products!$A$1:$G$49, 5,FALSE)</f>
        <v>2.6849999999999996</v>
      </c>
      <c r="M736" s="13">
        <f>PRODUCT(orders!$E736,orders!$L736)</f>
        <v>13.424999999999997</v>
      </c>
      <c r="N736" s="11" t="str">
        <f t="shared" si="22"/>
        <v>August</v>
      </c>
      <c r="O736" s="11">
        <f t="shared" si="23"/>
        <v>2019</v>
      </c>
      <c r="P736" s="11" t="str">
        <f>TEXT(orders!$B736, "DDD")</f>
        <v>Tue</v>
      </c>
      <c r="Q736" s="11" t="str">
        <f>VLOOKUP(orders!C736,[1]customers!$A$1:$I$1001, 6,FALSE)</f>
        <v>Garden Grove</v>
      </c>
    </row>
    <row r="737" spans="1:17" x14ac:dyDescent="0.3">
      <c r="A737" s="14" t="s">
        <v>1446</v>
      </c>
      <c r="B737" s="15">
        <v>44757</v>
      </c>
      <c r="C737" s="16" t="s">
        <v>1447</v>
      </c>
      <c r="D737" s="17" t="s">
        <v>68</v>
      </c>
      <c r="E737" s="16">
        <v>6</v>
      </c>
      <c r="F737" s="9" t="str">
        <f>VLOOKUP(C737,[1]customers!$A$1:$I$1001, 2, FALSE)</f>
        <v>Babb Pollins</v>
      </c>
      <c r="G737" s="16" t="str">
        <f>VLOOKUP(orders!C737,[1]customers!$A$1:$I$1001, 3, FALSE)</f>
        <v>bpollinskf@shinystat.com</v>
      </c>
      <c r="H737" s="16" t="str">
        <f>VLOOKUP(C737, [1]customers!$A$1:$I$1001, 7, FALSE)</f>
        <v>United States</v>
      </c>
      <c r="I737" s="18" t="str">
        <f>VLOOKUP(orders!D737,[1]products!$A$1:$G$49, 2,FALSE)</f>
        <v>Exc</v>
      </c>
      <c r="J737" s="18" t="str">
        <f>VLOOKUP(orders!D737,[1]products!$A$1:$G$49, 3,FALSE)</f>
        <v>D</v>
      </c>
      <c r="K737" s="19">
        <f>VLOOKUP(orders!D737,[1]products!$A$1:$G$49, 4,FALSE)</f>
        <v>0.2</v>
      </c>
      <c r="L737" s="19">
        <f>VLOOKUP(orders!D737,[1]products!$A$1:$G$49, 5,FALSE)</f>
        <v>3.645</v>
      </c>
      <c r="M737" s="13">
        <f>PRODUCT(orders!$E737,orders!$L737)</f>
        <v>21.87</v>
      </c>
      <c r="N737" s="18" t="str">
        <f t="shared" si="22"/>
        <v>July</v>
      </c>
      <c r="O737" s="18">
        <f t="shared" si="23"/>
        <v>2022</v>
      </c>
      <c r="P737" s="11" t="str">
        <f>TEXT(orders!$B737, "DDD")</f>
        <v>Fri</v>
      </c>
      <c r="Q737" s="11" t="str">
        <f>VLOOKUP(orders!C737,[1]customers!$A$1:$I$1001, 6,FALSE)</f>
        <v>Shawnee Mission</v>
      </c>
    </row>
    <row r="738" spans="1:17" x14ac:dyDescent="0.3">
      <c r="A738" s="7" t="s">
        <v>1448</v>
      </c>
      <c r="B738" s="8">
        <v>43508</v>
      </c>
      <c r="C738" s="9" t="s">
        <v>1449</v>
      </c>
      <c r="D738" s="10" t="s">
        <v>30</v>
      </c>
      <c r="E738" s="9">
        <v>2</v>
      </c>
      <c r="F738" s="9" t="str">
        <f>VLOOKUP(C738,[1]customers!$A$1:$I$1001, 2, FALSE)</f>
        <v>Jarret Toye</v>
      </c>
      <c r="G738" s="9" t="str">
        <f>VLOOKUP(orders!C738,[1]customers!$A$1:$I$1001, 3, FALSE)</f>
        <v>jtoyekg@pinterest.com</v>
      </c>
      <c r="H738" s="9" t="str">
        <f>VLOOKUP(C738, [1]customers!$A$1:$I$1001, 7, FALSE)</f>
        <v>Ireland</v>
      </c>
      <c r="I738" s="11" t="str">
        <f>VLOOKUP(orders!D738,[1]products!$A$1:$G$49, 2,FALSE)</f>
        <v>Lib</v>
      </c>
      <c r="J738" s="11" t="str">
        <f>VLOOKUP(orders!D738,[1]products!$A$1:$G$49, 3,FALSE)</f>
        <v>D</v>
      </c>
      <c r="K738" s="12">
        <f>VLOOKUP(orders!D738,[1]products!$A$1:$G$49, 4,FALSE)</f>
        <v>1</v>
      </c>
      <c r="L738" s="12">
        <f>VLOOKUP(orders!D738,[1]products!$A$1:$G$49, 5,FALSE)</f>
        <v>12.95</v>
      </c>
      <c r="M738" s="13">
        <f>PRODUCT(orders!$E738,orders!$L738)</f>
        <v>25.9</v>
      </c>
      <c r="N738" s="11" t="str">
        <f t="shared" si="22"/>
        <v>February</v>
      </c>
      <c r="O738" s="11">
        <f t="shared" si="23"/>
        <v>2019</v>
      </c>
      <c r="P738" s="11" t="str">
        <f>TEXT(orders!$B738, "DDD")</f>
        <v>Tue</v>
      </c>
      <c r="Q738" s="11" t="str">
        <f>VLOOKUP(orders!C738,[1]customers!$A$1:$I$1001, 6,FALSE)</f>
        <v>Ballivor</v>
      </c>
    </row>
    <row r="739" spans="1:17" x14ac:dyDescent="0.3">
      <c r="A739" s="14" t="s">
        <v>1450</v>
      </c>
      <c r="B739" s="15">
        <v>44447</v>
      </c>
      <c r="C739" s="16" t="s">
        <v>1451</v>
      </c>
      <c r="D739" s="17" t="s">
        <v>78</v>
      </c>
      <c r="E739" s="16">
        <v>5</v>
      </c>
      <c r="F739" s="9" t="str">
        <f>VLOOKUP(C739,[1]customers!$A$1:$I$1001, 2, FALSE)</f>
        <v>Carlie Linskill</v>
      </c>
      <c r="G739" s="16" t="str">
        <f>VLOOKUP(orders!C739,[1]customers!$A$1:$I$1001, 3, FALSE)</f>
        <v>clinskillkh@sphinn.com</v>
      </c>
      <c r="H739" s="16" t="str">
        <f>VLOOKUP(C739, [1]customers!$A$1:$I$1001, 7, FALSE)</f>
        <v>United States</v>
      </c>
      <c r="I739" s="18" t="str">
        <f>VLOOKUP(orders!D739,[1]products!$A$1:$G$49, 2,FALSE)</f>
        <v>Ara</v>
      </c>
      <c r="J739" s="18" t="str">
        <f>VLOOKUP(orders!D739,[1]products!$A$1:$G$49, 3,FALSE)</f>
        <v>M</v>
      </c>
      <c r="K739" s="19">
        <f>VLOOKUP(orders!D739,[1]products!$A$1:$G$49, 4,FALSE)</f>
        <v>1</v>
      </c>
      <c r="L739" s="19">
        <f>VLOOKUP(orders!D739,[1]products!$A$1:$G$49, 5,FALSE)</f>
        <v>11.25</v>
      </c>
      <c r="M739" s="13">
        <f>PRODUCT(orders!$E739,orders!$L739)</f>
        <v>56.25</v>
      </c>
      <c r="N739" s="18" t="str">
        <f t="shared" si="22"/>
        <v>September</v>
      </c>
      <c r="O739" s="18">
        <f t="shared" si="23"/>
        <v>2021</v>
      </c>
      <c r="P739" s="11" t="str">
        <f>TEXT(orders!$B739, "DDD")</f>
        <v>Wed</v>
      </c>
      <c r="Q739" s="11" t="str">
        <f>VLOOKUP(orders!C739,[1]customers!$A$1:$I$1001, 6,FALSE)</f>
        <v>Cincinnati</v>
      </c>
    </row>
    <row r="740" spans="1:17" x14ac:dyDescent="0.3">
      <c r="A740" s="7" t="s">
        <v>1452</v>
      </c>
      <c r="B740" s="8">
        <v>43812</v>
      </c>
      <c r="C740" s="9" t="s">
        <v>1453</v>
      </c>
      <c r="D740" s="10" t="s">
        <v>199</v>
      </c>
      <c r="E740" s="9">
        <v>3</v>
      </c>
      <c r="F740" s="9" t="str">
        <f>VLOOKUP(C740,[1]customers!$A$1:$I$1001, 2, FALSE)</f>
        <v>Natal Vigrass</v>
      </c>
      <c r="G740" s="9" t="str">
        <f>VLOOKUP(orders!C740,[1]customers!$A$1:$I$1001, 3, FALSE)</f>
        <v>nvigrasski@ezinearticles.com</v>
      </c>
      <c r="H740" s="9" t="str">
        <f>VLOOKUP(C740, [1]customers!$A$1:$I$1001, 7, FALSE)</f>
        <v>United Kingdom</v>
      </c>
      <c r="I740" s="11" t="str">
        <f>VLOOKUP(orders!D740,[1]products!$A$1:$G$49, 2,FALSE)</f>
        <v>Rob</v>
      </c>
      <c r="J740" s="11" t="str">
        <f>VLOOKUP(orders!D740,[1]products!$A$1:$G$49, 3,FALSE)</f>
        <v>L</v>
      </c>
      <c r="K740" s="12">
        <f>VLOOKUP(orders!D740,[1]products!$A$1:$G$49, 4,FALSE)</f>
        <v>0.2</v>
      </c>
      <c r="L740" s="12">
        <f>VLOOKUP(orders!D740,[1]products!$A$1:$G$49, 5,FALSE)</f>
        <v>3.5849999999999995</v>
      </c>
      <c r="M740" s="13">
        <f>PRODUCT(orders!$E740,orders!$L740)</f>
        <v>10.754999999999999</v>
      </c>
      <c r="N740" s="11" t="str">
        <f t="shared" si="22"/>
        <v>December</v>
      </c>
      <c r="O740" s="11">
        <f t="shared" si="23"/>
        <v>2019</v>
      </c>
      <c r="P740" s="11" t="str">
        <f>TEXT(orders!$B740, "DDD")</f>
        <v>Fri</v>
      </c>
      <c r="Q740" s="11" t="str">
        <f>VLOOKUP(orders!C740,[1]customers!$A$1:$I$1001, 6,FALSE)</f>
        <v>Whitwell</v>
      </c>
    </row>
    <row r="741" spans="1:17" x14ac:dyDescent="0.3">
      <c r="A741" s="14" t="s">
        <v>1454</v>
      </c>
      <c r="B741" s="15">
        <v>44433</v>
      </c>
      <c r="C741" s="16" t="s">
        <v>1361</v>
      </c>
      <c r="D741" s="17" t="s">
        <v>68</v>
      </c>
      <c r="E741" s="16">
        <v>5</v>
      </c>
      <c r="F741" s="9" t="str">
        <f>VLOOKUP(C741,[1]customers!$A$1:$I$1001, 2, FALSE)</f>
        <v>Jimmy Dymoke</v>
      </c>
      <c r="G741" s="16" t="str">
        <f>VLOOKUP(orders!C741,[1]customers!$A$1:$I$1001, 3, FALSE)</f>
        <v>jdymokeje@prnewswire.com</v>
      </c>
      <c r="H741" s="16" t="str">
        <f>VLOOKUP(C741, [1]customers!$A$1:$I$1001, 7, FALSE)</f>
        <v>Ireland</v>
      </c>
      <c r="I741" s="18" t="str">
        <f>VLOOKUP(orders!D741,[1]products!$A$1:$G$49, 2,FALSE)</f>
        <v>Exc</v>
      </c>
      <c r="J741" s="18" t="str">
        <f>VLOOKUP(orders!D741,[1]products!$A$1:$G$49, 3,FALSE)</f>
        <v>D</v>
      </c>
      <c r="K741" s="19">
        <f>VLOOKUP(orders!D741,[1]products!$A$1:$G$49, 4,FALSE)</f>
        <v>0.2</v>
      </c>
      <c r="L741" s="19">
        <f>VLOOKUP(orders!D741,[1]products!$A$1:$G$49, 5,FALSE)</f>
        <v>3.645</v>
      </c>
      <c r="M741" s="13">
        <f>PRODUCT(orders!$E741,orders!$L741)</f>
        <v>18.225000000000001</v>
      </c>
      <c r="N741" s="18" t="str">
        <f t="shared" si="22"/>
        <v>August</v>
      </c>
      <c r="O741" s="18">
        <f t="shared" si="23"/>
        <v>2021</v>
      </c>
      <c r="P741" s="11" t="str">
        <f>TEXT(orders!$B741, "DDD")</f>
        <v>Wed</v>
      </c>
      <c r="Q741" s="11" t="str">
        <f>VLOOKUP(orders!C741,[1]customers!$A$1:$I$1001, 6,FALSE)</f>
        <v>Beaumont</v>
      </c>
    </row>
    <row r="742" spans="1:17" x14ac:dyDescent="0.3">
      <c r="A742" s="7" t="s">
        <v>1455</v>
      </c>
      <c r="B742" s="8">
        <v>44643</v>
      </c>
      <c r="C742" s="9" t="s">
        <v>1456</v>
      </c>
      <c r="D742" s="10" t="s">
        <v>174</v>
      </c>
      <c r="E742" s="9">
        <v>4</v>
      </c>
      <c r="F742" s="9" t="str">
        <f>VLOOKUP(C742,[1]customers!$A$1:$I$1001, 2, FALSE)</f>
        <v>Kandace Cragell</v>
      </c>
      <c r="G742" s="9" t="str">
        <f>VLOOKUP(orders!C742,[1]customers!$A$1:$I$1001, 3, FALSE)</f>
        <v>kcragellkk@google.com</v>
      </c>
      <c r="H742" s="9" t="str">
        <f>VLOOKUP(C742, [1]customers!$A$1:$I$1001, 7, FALSE)</f>
        <v>Ireland</v>
      </c>
      <c r="I742" s="11" t="str">
        <f>VLOOKUP(orders!D742,[1]products!$A$1:$G$49, 2,FALSE)</f>
        <v>Rob</v>
      </c>
      <c r="J742" s="11" t="str">
        <f>VLOOKUP(orders!D742,[1]products!$A$1:$G$49, 3,FALSE)</f>
        <v>L</v>
      </c>
      <c r="K742" s="12">
        <f>VLOOKUP(orders!D742,[1]products!$A$1:$G$49, 4,FALSE)</f>
        <v>0.5</v>
      </c>
      <c r="L742" s="12">
        <f>VLOOKUP(orders!D742,[1]products!$A$1:$G$49, 5,FALSE)</f>
        <v>7.169999999999999</v>
      </c>
      <c r="M742" s="13">
        <f>PRODUCT(orders!$E742,orders!$L742)</f>
        <v>28.679999999999996</v>
      </c>
      <c r="N742" s="11" t="str">
        <f t="shared" si="22"/>
        <v>March</v>
      </c>
      <c r="O742" s="11">
        <f t="shared" si="23"/>
        <v>2022</v>
      </c>
      <c r="P742" s="11" t="str">
        <f>TEXT(orders!$B742, "DDD")</f>
        <v>Wed</v>
      </c>
      <c r="Q742" s="11" t="str">
        <f>VLOOKUP(orders!C742,[1]customers!$A$1:$I$1001, 6,FALSE)</f>
        <v>Dungarvan</v>
      </c>
    </row>
    <row r="743" spans="1:17" x14ac:dyDescent="0.3">
      <c r="A743" s="14" t="s">
        <v>1457</v>
      </c>
      <c r="B743" s="15">
        <v>43566</v>
      </c>
      <c r="C743" s="16" t="s">
        <v>1458</v>
      </c>
      <c r="D743" s="17" t="s">
        <v>94</v>
      </c>
      <c r="E743" s="16">
        <v>2</v>
      </c>
      <c r="F743" s="9" t="str">
        <f>VLOOKUP(C743,[1]customers!$A$1:$I$1001, 2, FALSE)</f>
        <v>Lyon Ibert</v>
      </c>
      <c r="G743" s="16" t="str">
        <f>VLOOKUP(orders!C743,[1]customers!$A$1:$I$1001, 3, FALSE)</f>
        <v>libertkl@huffingtonpost.com</v>
      </c>
      <c r="H743" s="16" t="str">
        <f>VLOOKUP(C743, [1]customers!$A$1:$I$1001, 7, FALSE)</f>
        <v>United States</v>
      </c>
      <c r="I743" s="18" t="str">
        <f>VLOOKUP(orders!D743,[1]products!$A$1:$G$49, 2,FALSE)</f>
        <v>Lib</v>
      </c>
      <c r="J743" s="18" t="str">
        <f>VLOOKUP(orders!D743,[1]products!$A$1:$G$49, 3,FALSE)</f>
        <v>M</v>
      </c>
      <c r="K743" s="19">
        <f>VLOOKUP(orders!D743,[1]products!$A$1:$G$49, 4,FALSE)</f>
        <v>0.2</v>
      </c>
      <c r="L743" s="19">
        <f>VLOOKUP(orders!D743,[1]products!$A$1:$G$49, 5,FALSE)</f>
        <v>4.3650000000000002</v>
      </c>
      <c r="M743" s="13">
        <f>PRODUCT(orders!$E743,orders!$L743)</f>
        <v>8.73</v>
      </c>
      <c r="N743" s="18" t="str">
        <f t="shared" si="22"/>
        <v>April</v>
      </c>
      <c r="O743" s="18">
        <f t="shared" si="23"/>
        <v>2019</v>
      </c>
      <c r="P743" s="11" t="str">
        <f>TEXT(orders!$B743, "DDD")</f>
        <v>Thu</v>
      </c>
      <c r="Q743" s="11" t="str">
        <f>VLOOKUP(orders!C743,[1]customers!$A$1:$I$1001, 6,FALSE)</f>
        <v>Sunnyvale</v>
      </c>
    </row>
    <row r="744" spans="1:17" x14ac:dyDescent="0.3">
      <c r="A744" s="7" t="s">
        <v>1459</v>
      </c>
      <c r="B744" s="8">
        <v>44133</v>
      </c>
      <c r="C744" s="9" t="s">
        <v>1460</v>
      </c>
      <c r="D744" s="10" t="s">
        <v>113</v>
      </c>
      <c r="E744" s="9">
        <v>4</v>
      </c>
      <c r="F744" s="9" t="str">
        <f>VLOOKUP(C744,[1]customers!$A$1:$I$1001, 2, FALSE)</f>
        <v>Reese Lidgey</v>
      </c>
      <c r="G744" s="9" t="str">
        <f>VLOOKUP(orders!C744,[1]customers!$A$1:$I$1001, 3, FALSE)</f>
        <v>rlidgeykm@vimeo.com</v>
      </c>
      <c r="H744" s="9" t="str">
        <f>VLOOKUP(C744, [1]customers!$A$1:$I$1001, 7, FALSE)</f>
        <v>United States</v>
      </c>
      <c r="I744" s="11" t="str">
        <f>VLOOKUP(orders!D744,[1]products!$A$1:$G$49, 2,FALSE)</f>
        <v>Lib</v>
      </c>
      <c r="J744" s="11" t="str">
        <f>VLOOKUP(orders!D744,[1]products!$A$1:$G$49, 3,FALSE)</f>
        <v>M</v>
      </c>
      <c r="K744" s="12">
        <f>VLOOKUP(orders!D744,[1]products!$A$1:$G$49, 4,FALSE)</f>
        <v>1</v>
      </c>
      <c r="L744" s="12">
        <f>VLOOKUP(orders!D744,[1]products!$A$1:$G$49, 5,FALSE)</f>
        <v>14.55</v>
      </c>
      <c r="M744" s="13">
        <f>PRODUCT(orders!$E744,orders!$L744)</f>
        <v>58.2</v>
      </c>
      <c r="N744" s="11" t="str">
        <f t="shared" si="22"/>
        <v>October</v>
      </c>
      <c r="O744" s="11">
        <f t="shared" si="23"/>
        <v>2020</v>
      </c>
      <c r="P744" s="11" t="str">
        <f>TEXT(orders!$B744, "DDD")</f>
        <v>Thu</v>
      </c>
      <c r="Q744" s="11" t="str">
        <f>VLOOKUP(orders!C744,[1]customers!$A$1:$I$1001, 6,FALSE)</f>
        <v>Memphis</v>
      </c>
    </row>
    <row r="745" spans="1:17" x14ac:dyDescent="0.3">
      <c r="A745" s="14" t="s">
        <v>1461</v>
      </c>
      <c r="B745" s="15">
        <v>44042</v>
      </c>
      <c r="C745" s="16" t="s">
        <v>1462</v>
      </c>
      <c r="D745" s="17" t="s">
        <v>89</v>
      </c>
      <c r="E745" s="16">
        <v>3</v>
      </c>
      <c r="F745" s="9" t="str">
        <f>VLOOKUP(C745,[1]customers!$A$1:$I$1001, 2, FALSE)</f>
        <v>Tersina Castagne</v>
      </c>
      <c r="G745" s="16" t="str">
        <f>VLOOKUP(orders!C745,[1]customers!$A$1:$I$1001, 3, FALSE)</f>
        <v>tcastagnekn@wikia.com</v>
      </c>
      <c r="H745" s="16" t="str">
        <f>VLOOKUP(C745, [1]customers!$A$1:$I$1001, 7, FALSE)</f>
        <v>United States</v>
      </c>
      <c r="I745" s="18" t="str">
        <f>VLOOKUP(orders!D745,[1]products!$A$1:$G$49, 2,FALSE)</f>
        <v>Ara</v>
      </c>
      <c r="J745" s="18" t="str">
        <f>VLOOKUP(orders!D745,[1]products!$A$1:$G$49, 3,FALSE)</f>
        <v>D</v>
      </c>
      <c r="K745" s="19">
        <f>VLOOKUP(orders!D745,[1]products!$A$1:$G$49, 4,FALSE)</f>
        <v>0.5</v>
      </c>
      <c r="L745" s="19">
        <f>VLOOKUP(orders!D745,[1]products!$A$1:$G$49, 5,FALSE)</f>
        <v>5.97</v>
      </c>
      <c r="M745" s="13">
        <f>PRODUCT(orders!$E745,orders!$L745)</f>
        <v>17.91</v>
      </c>
      <c r="N745" s="18" t="str">
        <f t="shared" si="22"/>
        <v>July</v>
      </c>
      <c r="O745" s="18">
        <f t="shared" si="23"/>
        <v>2020</v>
      </c>
      <c r="P745" s="11" t="str">
        <f>TEXT(orders!$B745, "DDD")</f>
        <v>Thu</v>
      </c>
      <c r="Q745" s="11" t="str">
        <f>VLOOKUP(orders!C745,[1]customers!$A$1:$I$1001, 6,FALSE)</f>
        <v>Orlando</v>
      </c>
    </row>
    <row r="746" spans="1:17" x14ac:dyDescent="0.3">
      <c r="A746" s="7" t="s">
        <v>1463</v>
      </c>
      <c r="B746" s="8">
        <v>43539</v>
      </c>
      <c r="C746" s="9" t="s">
        <v>1464</v>
      </c>
      <c r="D746" s="10" t="s">
        <v>179</v>
      </c>
      <c r="E746" s="9">
        <v>6</v>
      </c>
      <c r="F746" s="9" t="str">
        <f>VLOOKUP(C746,[1]customers!$A$1:$I$1001, 2, FALSE)</f>
        <v>Samuele Klaaassen</v>
      </c>
      <c r="G746" s="9">
        <f>VLOOKUP(orders!C746,[1]customers!$A$1:$I$1001, 3, FALSE)</f>
        <v>0</v>
      </c>
      <c r="H746" s="9" t="str">
        <f>VLOOKUP(C746, [1]customers!$A$1:$I$1001, 7, FALSE)</f>
        <v>United States</v>
      </c>
      <c r="I746" s="11" t="str">
        <f>VLOOKUP(orders!D746,[1]products!$A$1:$G$49, 2,FALSE)</f>
        <v>Rob</v>
      </c>
      <c r="J746" s="11" t="str">
        <f>VLOOKUP(orders!D746,[1]products!$A$1:$G$49, 3,FALSE)</f>
        <v>M</v>
      </c>
      <c r="K746" s="12">
        <f>VLOOKUP(orders!D746,[1]products!$A$1:$G$49, 4,FALSE)</f>
        <v>0.2</v>
      </c>
      <c r="L746" s="12">
        <f>VLOOKUP(orders!D746,[1]products!$A$1:$G$49, 5,FALSE)</f>
        <v>2.9849999999999999</v>
      </c>
      <c r="M746" s="13">
        <f>PRODUCT(orders!$E746,orders!$L746)</f>
        <v>17.91</v>
      </c>
      <c r="N746" s="11" t="str">
        <f t="shared" si="22"/>
        <v>March</v>
      </c>
      <c r="O746" s="11">
        <f t="shared" si="23"/>
        <v>2019</v>
      </c>
      <c r="P746" s="11" t="str">
        <f>TEXT(orders!$B746, "DDD")</f>
        <v>Fri</v>
      </c>
      <c r="Q746" s="11" t="str">
        <f>VLOOKUP(orders!C746,[1]customers!$A$1:$I$1001, 6,FALSE)</f>
        <v>Detroit</v>
      </c>
    </row>
    <row r="747" spans="1:17" x14ac:dyDescent="0.3">
      <c r="A747" s="14" t="s">
        <v>1465</v>
      </c>
      <c r="B747" s="15">
        <v>44557</v>
      </c>
      <c r="C747" s="16" t="s">
        <v>1466</v>
      </c>
      <c r="D747" s="17" t="s">
        <v>33</v>
      </c>
      <c r="E747" s="16">
        <v>2</v>
      </c>
      <c r="F747" s="9" t="str">
        <f>VLOOKUP(C747,[1]customers!$A$1:$I$1001, 2, FALSE)</f>
        <v>Jordana Halden</v>
      </c>
      <c r="G747" s="16" t="str">
        <f>VLOOKUP(orders!C747,[1]customers!$A$1:$I$1001, 3, FALSE)</f>
        <v>jhaldenkp@comcast.net</v>
      </c>
      <c r="H747" s="16" t="str">
        <f>VLOOKUP(C747, [1]customers!$A$1:$I$1001, 7, FALSE)</f>
        <v>Ireland</v>
      </c>
      <c r="I747" s="18" t="str">
        <f>VLOOKUP(orders!D747,[1]products!$A$1:$G$49, 2,FALSE)</f>
        <v>Exc</v>
      </c>
      <c r="J747" s="18" t="str">
        <f>VLOOKUP(orders!D747,[1]products!$A$1:$G$49, 3,FALSE)</f>
        <v>D</v>
      </c>
      <c r="K747" s="19">
        <f>VLOOKUP(orders!D747,[1]products!$A$1:$G$49, 4,FALSE)</f>
        <v>0.5</v>
      </c>
      <c r="L747" s="19">
        <f>VLOOKUP(orders!D747,[1]products!$A$1:$G$49, 5,FALSE)</f>
        <v>7.29</v>
      </c>
      <c r="M747" s="13">
        <f>PRODUCT(orders!$E747,orders!$L747)</f>
        <v>14.58</v>
      </c>
      <c r="N747" s="18" t="str">
        <f t="shared" si="22"/>
        <v>December</v>
      </c>
      <c r="O747" s="18">
        <f t="shared" si="23"/>
        <v>2021</v>
      </c>
      <c r="P747" s="11" t="str">
        <f>TEXT(orders!$B747, "DDD")</f>
        <v>Mon</v>
      </c>
      <c r="Q747" s="11" t="str">
        <f>VLOOKUP(orders!C747,[1]customers!$A$1:$I$1001, 6,FALSE)</f>
        <v>Clones</v>
      </c>
    </row>
    <row r="748" spans="1:17" x14ac:dyDescent="0.3">
      <c r="A748" s="7" t="s">
        <v>1467</v>
      </c>
      <c r="B748" s="8">
        <v>43741</v>
      </c>
      <c r="C748" s="9" t="s">
        <v>1468</v>
      </c>
      <c r="D748" s="10" t="s">
        <v>78</v>
      </c>
      <c r="E748" s="9">
        <v>3</v>
      </c>
      <c r="F748" s="9" t="str">
        <f>VLOOKUP(C748,[1]customers!$A$1:$I$1001, 2, FALSE)</f>
        <v>Hussein Olliff</v>
      </c>
      <c r="G748" s="9" t="str">
        <f>VLOOKUP(orders!C748,[1]customers!$A$1:$I$1001, 3, FALSE)</f>
        <v>holliffkq@sciencedirect.com</v>
      </c>
      <c r="H748" s="9" t="str">
        <f>VLOOKUP(C748, [1]customers!$A$1:$I$1001, 7, FALSE)</f>
        <v>Ireland</v>
      </c>
      <c r="I748" s="11" t="str">
        <f>VLOOKUP(orders!D748,[1]products!$A$1:$G$49, 2,FALSE)</f>
        <v>Ara</v>
      </c>
      <c r="J748" s="11" t="str">
        <f>VLOOKUP(orders!D748,[1]products!$A$1:$G$49, 3,FALSE)</f>
        <v>M</v>
      </c>
      <c r="K748" s="12">
        <f>VLOOKUP(orders!D748,[1]products!$A$1:$G$49, 4,FALSE)</f>
        <v>1</v>
      </c>
      <c r="L748" s="12">
        <f>VLOOKUP(orders!D748,[1]products!$A$1:$G$49, 5,FALSE)</f>
        <v>11.25</v>
      </c>
      <c r="M748" s="13">
        <f>PRODUCT(orders!$E748,orders!$L748)</f>
        <v>33.75</v>
      </c>
      <c r="N748" s="11" t="str">
        <f t="shared" si="22"/>
        <v>October</v>
      </c>
      <c r="O748" s="11">
        <f t="shared" si="23"/>
        <v>2019</v>
      </c>
      <c r="P748" s="11" t="str">
        <f>TEXT(orders!$B748, "DDD")</f>
        <v>Thu</v>
      </c>
      <c r="Q748" s="11" t="str">
        <f>VLOOKUP(orders!C748,[1]customers!$A$1:$I$1001, 6,FALSE)</f>
        <v>Stradbally</v>
      </c>
    </row>
    <row r="749" spans="1:17" x14ac:dyDescent="0.3">
      <c r="A749" s="14" t="s">
        <v>1469</v>
      </c>
      <c r="B749" s="15">
        <v>43501</v>
      </c>
      <c r="C749" s="16" t="s">
        <v>1470</v>
      </c>
      <c r="D749" s="17" t="s">
        <v>95</v>
      </c>
      <c r="E749" s="16">
        <v>4</v>
      </c>
      <c r="F749" s="9" t="str">
        <f>VLOOKUP(C749,[1]customers!$A$1:$I$1001, 2, FALSE)</f>
        <v>Teddi Quadri</v>
      </c>
      <c r="G749" s="16" t="str">
        <f>VLOOKUP(orders!C749,[1]customers!$A$1:$I$1001, 3, FALSE)</f>
        <v>tquadrikr@opensource.org</v>
      </c>
      <c r="H749" s="16" t="str">
        <f>VLOOKUP(C749, [1]customers!$A$1:$I$1001, 7, FALSE)</f>
        <v>Ireland</v>
      </c>
      <c r="I749" s="18" t="str">
        <f>VLOOKUP(orders!D749,[1]products!$A$1:$G$49, 2,FALSE)</f>
        <v>Lib</v>
      </c>
      <c r="J749" s="18" t="str">
        <f>VLOOKUP(orders!D749,[1]products!$A$1:$G$49, 3,FALSE)</f>
        <v>M</v>
      </c>
      <c r="K749" s="19">
        <f>VLOOKUP(orders!D749,[1]products!$A$1:$G$49, 4,FALSE)</f>
        <v>0.5</v>
      </c>
      <c r="L749" s="19">
        <f>VLOOKUP(orders!D749,[1]products!$A$1:$G$49, 5,FALSE)</f>
        <v>8.73</v>
      </c>
      <c r="M749" s="13">
        <f>PRODUCT(orders!$E749,orders!$L749)</f>
        <v>34.92</v>
      </c>
      <c r="N749" s="18" t="str">
        <f t="shared" si="22"/>
        <v>February</v>
      </c>
      <c r="O749" s="18">
        <f t="shared" si="23"/>
        <v>2019</v>
      </c>
      <c r="P749" s="11" t="str">
        <f>TEXT(orders!$B749, "DDD")</f>
        <v>Tue</v>
      </c>
      <c r="Q749" s="11" t="str">
        <f>VLOOKUP(orders!C749,[1]customers!$A$1:$I$1001, 6,FALSE)</f>
        <v>Ballina</v>
      </c>
    </row>
    <row r="750" spans="1:17" x14ac:dyDescent="0.3">
      <c r="A750" s="7" t="s">
        <v>1471</v>
      </c>
      <c r="B750" s="8">
        <v>44074</v>
      </c>
      <c r="C750" s="9" t="s">
        <v>1472</v>
      </c>
      <c r="D750" s="10" t="s">
        <v>33</v>
      </c>
      <c r="E750" s="9">
        <v>2</v>
      </c>
      <c r="F750" s="9" t="str">
        <f>VLOOKUP(C750,[1]customers!$A$1:$I$1001, 2, FALSE)</f>
        <v>Felita Eshmade</v>
      </c>
      <c r="G750" s="9" t="str">
        <f>VLOOKUP(orders!C750,[1]customers!$A$1:$I$1001, 3, FALSE)</f>
        <v>feshmadeks@umn.edu</v>
      </c>
      <c r="H750" s="9" t="str">
        <f>VLOOKUP(C750, [1]customers!$A$1:$I$1001, 7, FALSE)</f>
        <v>United States</v>
      </c>
      <c r="I750" s="11" t="str">
        <f>VLOOKUP(orders!D750,[1]products!$A$1:$G$49, 2,FALSE)</f>
        <v>Exc</v>
      </c>
      <c r="J750" s="11" t="str">
        <f>VLOOKUP(orders!D750,[1]products!$A$1:$G$49, 3,FALSE)</f>
        <v>D</v>
      </c>
      <c r="K750" s="12">
        <f>VLOOKUP(orders!D750,[1]products!$A$1:$G$49, 4,FALSE)</f>
        <v>0.5</v>
      </c>
      <c r="L750" s="12">
        <f>VLOOKUP(orders!D750,[1]products!$A$1:$G$49, 5,FALSE)</f>
        <v>7.29</v>
      </c>
      <c r="M750" s="13">
        <f>PRODUCT(orders!$E750,orders!$L750)</f>
        <v>14.58</v>
      </c>
      <c r="N750" s="11" t="str">
        <f t="shared" si="22"/>
        <v>August</v>
      </c>
      <c r="O750" s="11">
        <f t="shared" si="23"/>
        <v>2020</v>
      </c>
      <c r="P750" s="11" t="str">
        <f>TEXT(orders!$B750, "DDD")</f>
        <v>Mon</v>
      </c>
      <c r="Q750" s="11" t="str">
        <f>VLOOKUP(orders!C750,[1]customers!$A$1:$I$1001, 6,FALSE)</f>
        <v>Richmond</v>
      </c>
    </row>
    <row r="751" spans="1:17" x14ac:dyDescent="0.3">
      <c r="A751" s="14" t="s">
        <v>1473</v>
      </c>
      <c r="B751" s="15">
        <v>44209</v>
      </c>
      <c r="C751" s="16" t="s">
        <v>1474</v>
      </c>
      <c r="D751" s="17" t="s">
        <v>118</v>
      </c>
      <c r="E751" s="16">
        <v>2</v>
      </c>
      <c r="F751" s="9" t="str">
        <f>VLOOKUP(C751,[1]customers!$A$1:$I$1001, 2, FALSE)</f>
        <v>Melodie OIlier</v>
      </c>
      <c r="G751" s="16" t="str">
        <f>VLOOKUP(orders!C751,[1]customers!$A$1:$I$1001, 3, FALSE)</f>
        <v>moilierkt@paginegialle.it</v>
      </c>
      <c r="H751" s="16" t="str">
        <f>VLOOKUP(C751, [1]customers!$A$1:$I$1001, 7, FALSE)</f>
        <v>Ireland</v>
      </c>
      <c r="I751" s="18" t="str">
        <f>VLOOKUP(orders!D751,[1]products!$A$1:$G$49, 2,FALSE)</f>
        <v>Rob</v>
      </c>
      <c r="J751" s="18" t="str">
        <f>VLOOKUP(orders!D751,[1]products!$A$1:$G$49, 3,FALSE)</f>
        <v>D</v>
      </c>
      <c r="K751" s="19">
        <f>VLOOKUP(orders!D751,[1]products!$A$1:$G$49, 4,FALSE)</f>
        <v>0.2</v>
      </c>
      <c r="L751" s="19">
        <f>VLOOKUP(orders!D751,[1]products!$A$1:$G$49, 5,FALSE)</f>
        <v>2.6849999999999996</v>
      </c>
      <c r="M751" s="13">
        <f>PRODUCT(orders!$E751,orders!$L751)</f>
        <v>5.3699999999999992</v>
      </c>
      <c r="N751" s="18" t="str">
        <f t="shared" si="22"/>
        <v>January</v>
      </c>
      <c r="O751" s="18">
        <f t="shared" si="23"/>
        <v>2021</v>
      </c>
      <c r="P751" s="11" t="str">
        <f>TEXT(orders!$B751, "DDD")</f>
        <v>Wed</v>
      </c>
      <c r="Q751" s="11" t="str">
        <f>VLOOKUP(orders!C751,[1]customers!$A$1:$I$1001, 6,FALSE)</f>
        <v>Glasnevin</v>
      </c>
    </row>
    <row r="752" spans="1:17" x14ac:dyDescent="0.3">
      <c r="A752" s="7" t="s">
        <v>1475</v>
      </c>
      <c r="B752" s="8">
        <v>44277</v>
      </c>
      <c r="C752" s="9" t="s">
        <v>1476</v>
      </c>
      <c r="D752" s="10" t="s">
        <v>39</v>
      </c>
      <c r="E752" s="9">
        <v>1</v>
      </c>
      <c r="F752" s="9" t="str">
        <f>VLOOKUP(C752,[1]customers!$A$1:$I$1001, 2, FALSE)</f>
        <v>Hazel Iacopini</v>
      </c>
      <c r="G752" s="9">
        <f>VLOOKUP(orders!C752,[1]customers!$A$1:$I$1001, 3, FALSE)</f>
        <v>0</v>
      </c>
      <c r="H752" s="9" t="str">
        <f>VLOOKUP(C752, [1]customers!$A$1:$I$1001, 7, FALSE)</f>
        <v>United States</v>
      </c>
      <c r="I752" s="11" t="str">
        <f>VLOOKUP(orders!D752,[1]products!$A$1:$G$49, 2,FALSE)</f>
        <v>Rob</v>
      </c>
      <c r="J752" s="11" t="str">
        <f>VLOOKUP(orders!D752,[1]products!$A$1:$G$49, 3,FALSE)</f>
        <v>M</v>
      </c>
      <c r="K752" s="12">
        <f>VLOOKUP(orders!D752,[1]products!$A$1:$G$49, 4,FALSE)</f>
        <v>0.5</v>
      </c>
      <c r="L752" s="12">
        <f>VLOOKUP(orders!D752,[1]products!$A$1:$G$49, 5,FALSE)</f>
        <v>5.97</v>
      </c>
      <c r="M752" s="13">
        <f>PRODUCT(orders!$E752,orders!$L752)</f>
        <v>5.97</v>
      </c>
      <c r="N752" s="11" t="str">
        <f t="shared" si="22"/>
        <v>March</v>
      </c>
      <c r="O752" s="11">
        <f t="shared" si="23"/>
        <v>2021</v>
      </c>
      <c r="P752" s="11" t="str">
        <f>TEXT(orders!$B752, "DDD")</f>
        <v>Mon</v>
      </c>
      <c r="Q752" s="11" t="str">
        <f>VLOOKUP(orders!C752,[1]customers!$A$1:$I$1001, 6,FALSE)</f>
        <v>Fort Worth</v>
      </c>
    </row>
    <row r="753" spans="1:17" x14ac:dyDescent="0.3">
      <c r="A753" s="14" t="s">
        <v>1477</v>
      </c>
      <c r="B753" s="15">
        <v>43847</v>
      </c>
      <c r="C753" s="16" t="s">
        <v>1478</v>
      </c>
      <c r="D753" s="17" t="s">
        <v>100</v>
      </c>
      <c r="E753" s="16">
        <v>2</v>
      </c>
      <c r="F753" s="9" t="str">
        <f>VLOOKUP(C753,[1]customers!$A$1:$I$1001, 2, FALSE)</f>
        <v>Vinny Shoebotham</v>
      </c>
      <c r="G753" s="16" t="str">
        <f>VLOOKUP(orders!C753,[1]customers!$A$1:$I$1001, 3, FALSE)</f>
        <v>vshoebothamkv@redcross.org</v>
      </c>
      <c r="H753" s="16" t="str">
        <f>VLOOKUP(C753, [1]customers!$A$1:$I$1001, 7, FALSE)</f>
        <v>United States</v>
      </c>
      <c r="I753" s="18" t="str">
        <f>VLOOKUP(orders!D753,[1]products!$A$1:$G$49, 2,FALSE)</f>
        <v>Lib</v>
      </c>
      <c r="J753" s="18" t="str">
        <f>VLOOKUP(orders!D753,[1]products!$A$1:$G$49, 3,FALSE)</f>
        <v>L</v>
      </c>
      <c r="K753" s="19">
        <f>VLOOKUP(orders!D753,[1]products!$A$1:$G$49, 4,FALSE)</f>
        <v>0.5</v>
      </c>
      <c r="L753" s="19">
        <f>VLOOKUP(orders!D753,[1]products!$A$1:$G$49, 5,FALSE)</f>
        <v>9.51</v>
      </c>
      <c r="M753" s="13">
        <f>PRODUCT(orders!$E753,orders!$L753)</f>
        <v>19.02</v>
      </c>
      <c r="N753" s="18" t="str">
        <f t="shared" si="22"/>
        <v>January</v>
      </c>
      <c r="O753" s="18">
        <f t="shared" si="23"/>
        <v>2020</v>
      </c>
      <c r="P753" s="11" t="str">
        <f>TEXT(orders!$B753, "DDD")</f>
        <v>Fri</v>
      </c>
      <c r="Q753" s="11" t="str">
        <f>VLOOKUP(orders!C753,[1]customers!$A$1:$I$1001, 6,FALSE)</f>
        <v>Brooklyn</v>
      </c>
    </row>
    <row r="754" spans="1:17" x14ac:dyDescent="0.3">
      <c r="A754" s="7" t="s">
        <v>1479</v>
      </c>
      <c r="B754" s="8">
        <v>43648</v>
      </c>
      <c r="C754" s="9" t="s">
        <v>1480</v>
      </c>
      <c r="D754" s="10" t="s">
        <v>26</v>
      </c>
      <c r="E754" s="9">
        <v>2</v>
      </c>
      <c r="F754" s="9" t="str">
        <f>VLOOKUP(C754,[1]customers!$A$1:$I$1001, 2, FALSE)</f>
        <v>Bran Sterke</v>
      </c>
      <c r="G754" s="9" t="str">
        <f>VLOOKUP(orders!C754,[1]customers!$A$1:$I$1001, 3, FALSE)</f>
        <v>bsterkekw@biblegateway.com</v>
      </c>
      <c r="H754" s="9" t="str">
        <f>VLOOKUP(C754, [1]customers!$A$1:$I$1001, 7, FALSE)</f>
        <v>United States</v>
      </c>
      <c r="I754" s="11" t="str">
        <f>VLOOKUP(orders!D754,[1]products!$A$1:$G$49, 2,FALSE)</f>
        <v>Exc</v>
      </c>
      <c r="J754" s="11" t="str">
        <f>VLOOKUP(orders!D754,[1]products!$A$1:$G$49, 3,FALSE)</f>
        <v>M</v>
      </c>
      <c r="K754" s="12">
        <f>VLOOKUP(orders!D754,[1]products!$A$1:$G$49, 4,FALSE)</f>
        <v>1</v>
      </c>
      <c r="L754" s="12">
        <f>VLOOKUP(orders!D754,[1]products!$A$1:$G$49, 5,FALSE)</f>
        <v>13.75</v>
      </c>
      <c r="M754" s="13">
        <f>PRODUCT(orders!$E754,orders!$L754)</f>
        <v>27.5</v>
      </c>
      <c r="N754" s="11" t="str">
        <f t="shared" si="22"/>
        <v>July</v>
      </c>
      <c r="O754" s="11">
        <f t="shared" si="23"/>
        <v>2019</v>
      </c>
      <c r="P754" s="11" t="str">
        <f>TEXT(orders!$B754, "DDD")</f>
        <v>Tue</v>
      </c>
      <c r="Q754" s="11" t="str">
        <f>VLOOKUP(orders!C754,[1]customers!$A$1:$I$1001, 6,FALSE)</f>
        <v>Fort Worth</v>
      </c>
    </row>
    <row r="755" spans="1:17" x14ac:dyDescent="0.3">
      <c r="A755" s="14" t="s">
        <v>1481</v>
      </c>
      <c r="B755" s="15">
        <v>44704</v>
      </c>
      <c r="C755" s="16" t="s">
        <v>1482</v>
      </c>
      <c r="D755" s="17" t="s">
        <v>89</v>
      </c>
      <c r="E755" s="16">
        <v>5</v>
      </c>
      <c r="F755" s="9" t="str">
        <f>VLOOKUP(C755,[1]customers!$A$1:$I$1001, 2, FALSE)</f>
        <v>Simone Capon</v>
      </c>
      <c r="G755" s="16" t="str">
        <f>VLOOKUP(orders!C755,[1]customers!$A$1:$I$1001, 3, FALSE)</f>
        <v>scaponkx@craigslist.org</v>
      </c>
      <c r="H755" s="16" t="str">
        <f>VLOOKUP(C755, [1]customers!$A$1:$I$1001, 7, FALSE)</f>
        <v>United States</v>
      </c>
      <c r="I755" s="18" t="str">
        <f>VLOOKUP(orders!D755,[1]products!$A$1:$G$49, 2,FALSE)</f>
        <v>Ara</v>
      </c>
      <c r="J755" s="18" t="str">
        <f>VLOOKUP(orders!D755,[1]products!$A$1:$G$49, 3,FALSE)</f>
        <v>D</v>
      </c>
      <c r="K755" s="19">
        <f>VLOOKUP(orders!D755,[1]products!$A$1:$G$49, 4,FALSE)</f>
        <v>0.5</v>
      </c>
      <c r="L755" s="19">
        <f>VLOOKUP(orders!D755,[1]products!$A$1:$G$49, 5,FALSE)</f>
        <v>5.97</v>
      </c>
      <c r="M755" s="13">
        <f>PRODUCT(orders!$E755,orders!$L755)</f>
        <v>29.849999999999998</v>
      </c>
      <c r="N755" s="18" t="str">
        <f t="shared" si="22"/>
        <v>May</v>
      </c>
      <c r="O755" s="18">
        <f t="shared" si="23"/>
        <v>2022</v>
      </c>
      <c r="P755" s="11" t="str">
        <f>TEXT(orders!$B755, "DDD")</f>
        <v>Mon</v>
      </c>
      <c r="Q755" s="11" t="str">
        <f>VLOOKUP(orders!C755,[1]customers!$A$1:$I$1001, 6,FALSE)</f>
        <v>Phoenix</v>
      </c>
    </row>
    <row r="756" spans="1:17" x14ac:dyDescent="0.3">
      <c r="A756" s="7" t="s">
        <v>1483</v>
      </c>
      <c r="B756" s="8">
        <v>44726</v>
      </c>
      <c r="C756" s="9" t="s">
        <v>1361</v>
      </c>
      <c r="D756" s="10" t="s">
        <v>71</v>
      </c>
      <c r="E756" s="9">
        <v>6</v>
      </c>
      <c r="F756" s="9" t="str">
        <f>VLOOKUP(C756,[1]customers!$A$1:$I$1001, 2, FALSE)</f>
        <v>Jimmy Dymoke</v>
      </c>
      <c r="G756" s="9" t="str">
        <f>VLOOKUP(orders!C756,[1]customers!$A$1:$I$1001, 3, FALSE)</f>
        <v>jdymokeje@prnewswire.com</v>
      </c>
      <c r="H756" s="9" t="str">
        <f>VLOOKUP(C756, [1]customers!$A$1:$I$1001, 7, FALSE)</f>
        <v>Ireland</v>
      </c>
      <c r="I756" s="11" t="str">
        <f>VLOOKUP(orders!D756,[1]products!$A$1:$G$49, 2,FALSE)</f>
        <v>Ara</v>
      </c>
      <c r="J756" s="11" t="str">
        <f>VLOOKUP(orders!D756,[1]products!$A$1:$G$49, 3,FALSE)</f>
        <v>D</v>
      </c>
      <c r="K756" s="12">
        <f>VLOOKUP(orders!D756,[1]products!$A$1:$G$49, 4,FALSE)</f>
        <v>0.2</v>
      </c>
      <c r="L756" s="12">
        <f>VLOOKUP(orders!D756,[1]products!$A$1:$G$49, 5,FALSE)</f>
        <v>2.9849999999999999</v>
      </c>
      <c r="M756" s="13">
        <f>PRODUCT(orders!$E756,orders!$L756)</f>
        <v>17.91</v>
      </c>
      <c r="N756" s="11" t="str">
        <f t="shared" si="22"/>
        <v>June</v>
      </c>
      <c r="O756" s="11">
        <f t="shared" si="23"/>
        <v>2022</v>
      </c>
      <c r="P756" s="11" t="str">
        <f>TEXT(orders!$B756, "DDD")</f>
        <v>Tue</v>
      </c>
      <c r="Q756" s="11" t="str">
        <f>VLOOKUP(orders!C756,[1]customers!$A$1:$I$1001, 6,FALSE)</f>
        <v>Beaumont</v>
      </c>
    </row>
    <row r="757" spans="1:17" x14ac:dyDescent="0.3">
      <c r="A757" s="14" t="s">
        <v>1484</v>
      </c>
      <c r="B757" s="15">
        <v>44397</v>
      </c>
      <c r="C757" s="16" t="s">
        <v>1485</v>
      </c>
      <c r="D757" s="17" t="s">
        <v>36</v>
      </c>
      <c r="E757" s="16">
        <v>6</v>
      </c>
      <c r="F757" s="9" t="str">
        <f>VLOOKUP(C757,[1]customers!$A$1:$I$1001, 2, FALSE)</f>
        <v>Foster Constance</v>
      </c>
      <c r="G757" s="16" t="str">
        <f>VLOOKUP(orders!C757,[1]customers!$A$1:$I$1001, 3, FALSE)</f>
        <v>fconstancekz@ifeng.com</v>
      </c>
      <c r="H757" s="16" t="str">
        <f>VLOOKUP(C757, [1]customers!$A$1:$I$1001, 7, FALSE)</f>
        <v>United States</v>
      </c>
      <c r="I757" s="18" t="str">
        <f>VLOOKUP(orders!D757,[1]products!$A$1:$G$49, 2,FALSE)</f>
        <v>Lib</v>
      </c>
      <c r="J757" s="18" t="str">
        <f>VLOOKUP(orders!D757,[1]products!$A$1:$G$49, 3,FALSE)</f>
        <v>L</v>
      </c>
      <c r="K757" s="19">
        <f>VLOOKUP(orders!D757,[1]products!$A$1:$G$49, 4,FALSE)</f>
        <v>0.2</v>
      </c>
      <c r="L757" s="19">
        <f>VLOOKUP(orders!D757,[1]products!$A$1:$G$49, 5,FALSE)</f>
        <v>4.7549999999999999</v>
      </c>
      <c r="M757" s="13">
        <f>PRODUCT(orders!$E757,orders!$L757)</f>
        <v>28.53</v>
      </c>
      <c r="N757" s="18" t="str">
        <f t="shared" si="22"/>
        <v>July</v>
      </c>
      <c r="O757" s="18">
        <f t="shared" si="23"/>
        <v>2021</v>
      </c>
      <c r="P757" s="11" t="str">
        <f>TEXT(orders!$B757, "DDD")</f>
        <v>Tue</v>
      </c>
      <c r="Q757" s="11" t="str">
        <f>VLOOKUP(orders!C757,[1]customers!$A$1:$I$1001, 6,FALSE)</f>
        <v>Dallas</v>
      </c>
    </row>
    <row r="758" spans="1:17" x14ac:dyDescent="0.3">
      <c r="A758" s="7" t="s">
        <v>1486</v>
      </c>
      <c r="B758" s="8">
        <v>44715</v>
      </c>
      <c r="C758" s="9" t="s">
        <v>1487</v>
      </c>
      <c r="D758" s="10" t="s">
        <v>196</v>
      </c>
      <c r="E758" s="9">
        <v>4</v>
      </c>
      <c r="F758" s="9" t="str">
        <f>VLOOKUP(C758,[1]customers!$A$1:$I$1001, 2, FALSE)</f>
        <v>Fernando Sulman</v>
      </c>
      <c r="G758" s="9" t="str">
        <f>VLOOKUP(orders!C758,[1]customers!$A$1:$I$1001, 3, FALSE)</f>
        <v>fsulmanl0@washington.edu</v>
      </c>
      <c r="H758" s="9" t="str">
        <f>VLOOKUP(C758, [1]customers!$A$1:$I$1001, 7, FALSE)</f>
        <v>United States</v>
      </c>
      <c r="I758" s="11" t="str">
        <f>VLOOKUP(orders!D758,[1]products!$A$1:$G$49, 2,FALSE)</f>
        <v>Rob</v>
      </c>
      <c r="J758" s="11" t="str">
        <f>VLOOKUP(orders!D758,[1]products!$A$1:$G$49, 3,FALSE)</f>
        <v>D</v>
      </c>
      <c r="K758" s="12">
        <f>VLOOKUP(orders!D758,[1]products!$A$1:$G$49, 4,FALSE)</f>
        <v>1</v>
      </c>
      <c r="L758" s="12">
        <f>VLOOKUP(orders!D758,[1]products!$A$1:$G$49, 5,FALSE)</f>
        <v>8.9499999999999993</v>
      </c>
      <c r="M758" s="13">
        <f>PRODUCT(orders!$E758,orders!$L758)</f>
        <v>35.799999999999997</v>
      </c>
      <c r="N758" s="11" t="str">
        <f t="shared" si="22"/>
        <v>June</v>
      </c>
      <c r="O758" s="11">
        <f t="shared" si="23"/>
        <v>2022</v>
      </c>
      <c r="P758" s="11" t="str">
        <f>TEXT(orders!$B758, "DDD")</f>
        <v>Fri</v>
      </c>
      <c r="Q758" s="11" t="str">
        <f>VLOOKUP(orders!C758,[1]customers!$A$1:$I$1001, 6,FALSE)</f>
        <v>Asheville</v>
      </c>
    </row>
    <row r="759" spans="1:17" x14ac:dyDescent="0.3">
      <c r="A759" s="14" t="s">
        <v>1488</v>
      </c>
      <c r="B759" s="15">
        <v>43977</v>
      </c>
      <c r="C759" s="16" t="s">
        <v>1489</v>
      </c>
      <c r="D759" s="17" t="s">
        <v>89</v>
      </c>
      <c r="E759" s="16">
        <v>3</v>
      </c>
      <c r="F759" s="9" t="str">
        <f>VLOOKUP(C759,[1]customers!$A$1:$I$1001, 2, FALSE)</f>
        <v>Dorotea Hollyman</v>
      </c>
      <c r="G759" s="16" t="str">
        <f>VLOOKUP(orders!C759,[1]customers!$A$1:$I$1001, 3, FALSE)</f>
        <v>dhollymanl1@ibm.com</v>
      </c>
      <c r="H759" s="16" t="str">
        <f>VLOOKUP(C759, [1]customers!$A$1:$I$1001, 7, FALSE)</f>
        <v>United States</v>
      </c>
      <c r="I759" s="18" t="str">
        <f>VLOOKUP(orders!D759,[1]products!$A$1:$G$49, 2,FALSE)</f>
        <v>Ara</v>
      </c>
      <c r="J759" s="18" t="str">
        <f>VLOOKUP(orders!D759,[1]products!$A$1:$G$49, 3,FALSE)</f>
        <v>D</v>
      </c>
      <c r="K759" s="19">
        <f>VLOOKUP(orders!D759,[1]products!$A$1:$G$49, 4,FALSE)</f>
        <v>0.5</v>
      </c>
      <c r="L759" s="19">
        <f>VLOOKUP(orders!D759,[1]products!$A$1:$G$49, 5,FALSE)</f>
        <v>5.97</v>
      </c>
      <c r="M759" s="13">
        <f>PRODUCT(orders!$E759,orders!$L759)</f>
        <v>17.91</v>
      </c>
      <c r="N759" s="18" t="str">
        <f t="shared" si="22"/>
        <v>May</v>
      </c>
      <c r="O759" s="18">
        <f t="shared" si="23"/>
        <v>2020</v>
      </c>
      <c r="P759" s="11" t="str">
        <f>TEXT(orders!$B759, "DDD")</f>
        <v>Tue</v>
      </c>
      <c r="Q759" s="11" t="str">
        <f>VLOOKUP(orders!C759,[1]customers!$A$1:$I$1001, 6,FALSE)</f>
        <v>Billings</v>
      </c>
    </row>
    <row r="760" spans="1:17" x14ac:dyDescent="0.3">
      <c r="A760" s="7" t="s">
        <v>1490</v>
      </c>
      <c r="B760" s="8">
        <v>43672</v>
      </c>
      <c r="C760" s="9" t="s">
        <v>1491</v>
      </c>
      <c r="D760" s="10" t="s">
        <v>196</v>
      </c>
      <c r="E760" s="9">
        <v>1</v>
      </c>
      <c r="F760" s="9" t="str">
        <f>VLOOKUP(C760,[1]customers!$A$1:$I$1001, 2, FALSE)</f>
        <v>Lorelei Nardoni</v>
      </c>
      <c r="G760" s="9" t="str">
        <f>VLOOKUP(orders!C760,[1]customers!$A$1:$I$1001, 3, FALSE)</f>
        <v>lnardonil2@hao123.com</v>
      </c>
      <c r="H760" s="9" t="str">
        <f>VLOOKUP(C760, [1]customers!$A$1:$I$1001, 7, FALSE)</f>
        <v>United States</v>
      </c>
      <c r="I760" s="11" t="str">
        <f>VLOOKUP(orders!D760,[1]products!$A$1:$G$49, 2,FALSE)</f>
        <v>Rob</v>
      </c>
      <c r="J760" s="11" t="str">
        <f>VLOOKUP(orders!D760,[1]products!$A$1:$G$49, 3,FALSE)</f>
        <v>D</v>
      </c>
      <c r="K760" s="12">
        <f>VLOOKUP(orders!D760,[1]products!$A$1:$G$49, 4,FALSE)</f>
        <v>1</v>
      </c>
      <c r="L760" s="12">
        <f>VLOOKUP(orders!D760,[1]products!$A$1:$G$49, 5,FALSE)</f>
        <v>8.9499999999999993</v>
      </c>
      <c r="M760" s="13">
        <f>PRODUCT(orders!$E760,orders!$L760)</f>
        <v>8.9499999999999993</v>
      </c>
      <c r="N760" s="11" t="str">
        <f t="shared" si="22"/>
        <v>July</v>
      </c>
      <c r="O760" s="11">
        <f t="shared" si="23"/>
        <v>2019</v>
      </c>
      <c r="P760" s="11" t="str">
        <f>TEXT(orders!$B760, "DDD")</f>
        <v>Fri</v>
      </c>
      <c r="Q760" s="11" t="str">
        <f>VLOOKUP(orders!C760,[1]customers!$A$1:$I$1001, 6,FALSE)</f>
        <v>Saint Louis</v>
      </c>
    </row>
    <row r="761" spans="1:17" x14ac:dyDescent="0.3">
      <c r="A761" s="14" t="s">
        <v>1492</v>
      </c>
      <c r="B761" s="15">
        <v>44126</v>
      </c>
      <c r="C761" s="16" t="s">
        <v>1493</v>
      </c>
      <c r="D761" s="17" t="s">
        <v>126</v>
      </c>
      <c r="E761" s="16">
        <v>1</v>
      </c>
      <c r="F761" s="9" t="str">
        <f>VLOOKUP(C761,[1]customers!$A$1:$I$1001, 2, FALSE)</f>
        <v>Dallas Yarham</v>
      </c>
      <c r="G761" s="16" t="str">
        <f>VLOOKUP(orders!C761,[1]customers!$A$1:$I$1001, 3, FALSE)</f>
        <v>dyarhaml3@moonfruit.com</v>
      </c>
      <c r="H761" s="16" t="str">
        <f>VLOOKUP(C761, [1]customers!$A$1:$I$1001, 7, FALSE)</f>
        <v>United States</v>
      </c>
      <c r="I761" s="18" t="str">
        <f>VLOOKUP(orders!D761,[1]products!$A$1:$G$49, 2,FALSE)</f>
        <v>Lib</v>
      </c>
      <c r="J761" s="18" t="str">
        <f>VLOOKUP(orders!D761,[1]products!$A$1:$G$49, 3,FALSE)</f>
        <v>D</v>
      </c>
      <c r="K761" s="19">
        <f>VLOOKUP(orders!D761,[1]products!$A$1:$G$49, 4,FALSE)</f>
        <v>2.5</v>
      </c>
      <c r="L761" s="19">
        <f>VLOOKUP(orders!D761,[1]products!$A$1:$G$49, 5,FALSE)</f>
        <v>29.784999999999997</v>
      </c>
      <c r="M761" s="13">
        <f>PRODUCT(orders!$E761,orders!$L761)</f>
        <v>29.784999999999997</v>
      </c>
      <c r="N761" s="18" t="str">
        <f t="shared" si="22"/>
        <v>October</v>
      </c>
      <c r="O761" s="18">
        <f t="shared" si="23"/>
        <v>2020</v>
      </c>
      <c r="P761" s="11" t="str">
        <f>TEXT(orders!$B761, "DDD")</f>
        <v>Thu</v>
      </c>
      <c r="Q761" s="11" t="str">
        <f>VLOOKUP(orders!C761,[1]customers!$A$1:$I$1001, 6,FALSE)</f>
        <v>Independence</v>
      </c>
    </row>
    <row r="762" spans="1:17" x14ac:dyDescent="0.3">
      <c r="A762" s="7" t="s">
        <v>1494</v>
      </c>
      <c r="B762" s="8">
        <v>44189</v>
      </c>
      <c r="C762" s="9" t="s">
        <v>1495</v>
      </c>
      <c r="D762" s="10" t="s">
        <v>193</v>
      </c>
      <c r="E762" s="9">
        <v>5</v>
      </c>
      <c r="F762" s="9" t="str">
        <f>VLOOKUP(C762,[1]customers!$A$1:$I$1001, 2, FALSE)</f>
        <v>Arlana Ferrea</v>
      </c>
      <c r="G762" s="9" t="str">
        <f>VLOOKUP(orders!C762,[1]customers!$A$1:$I$1001, 3, FALSE)</f>
        <v>aferreal4@wikia.com</v>
      </c>
      <c r="H762" s="9" t="str">
        <f>VLOOKUP(C762, [1]customers!$A$1:$I$1001, 7, FALSE)</f>
        <v>United States</v>
      </c>
      <c r="I762" s="11" t="str">
        <f>VLOOKUP(orders!D762,[1]products!$A$1:$G$49, 2,FALSE)</f>
        <v>Exc</v>
      </c>
      <c r="J762" s="11" t="str">
        <f>VLOOKUP(orders!D762,[1]products!$A$1:$G$49, 3,FALSE)</f>
        <v>L</v>
      </c>
      <c r="K762" s="12">
        <f>VLOOKUP(orders!D762,[1]products!$A$1:$G$49, 4,FALSE)</f>
        <v>0.5</v>
      </c>
      <c r="L762" s="12">
        <f>VLOOKUP(orders!D762,[1]products!$A$1:$G$49, 5,FALSE)</f>
        <v>8.91</v>
      </c>
      <c r="M762" s="13">
        <f>PRODUCT(orders!$E762,orders!$L762)</f>
        <v>44.55</v>
      </c>
      <c r="N762" s="11" t="str">
        <f t="shared" si="22"/>
        <v>December</v>
      </c>
      <c r="O762" s="11">
        <f t="shared" si="23"/>
        <v>2020</v>
      </c>
      <c r="P762" s="11" t="str">
        <f>TEXT(orders!$B762, "DDD")</f>
        <v>Thu</v>
      </c>
      <c r="Q762" s="11" t="str">
        <f>VLOOKUP(orders!C762,[1]customers!$A$1:$I$1001, 6,FALSE)</f>
        <v>Greensboro</v>
      </c>
    </row>
    <row r="763" spans="1:17" x14ac:dyDescent="0.3">
      <c r="A763" s="14" t="s">
        <v>1496</v>
      </c>
      <c r="B763" s="15">
        <v>43714</v>
      </c>
      <c r="C763" s="16" t="s">
        <v>1497</v>
      </c>
      <c r="D763" s="17" t="s">
        <v>154</v>
      </c>
      <c r="E763" s="16">
        <v>6</v>
      </c>
      <c r="F763" s="9" t="str">
        <f>VLOOKUP(C763,[1]customers!$A$1:$I$1001, 2, FALSE)</f>
        <v>Chuck Kendrick</v>
      </c>
      <c r="G763" s="16" t="str">
        <f>VLOOKUP(orders!C763,[1]customers!$A$1:$I$1001, 3, FALSE)</f>
        <v>ckendrickl5@webnode.com</v>
      </c>
      <c r="H763" s="16" t="str">
        <f>VLOOKUP(C763, [1]customers!$A$1:$I$1001, 7, FALSE)</f>
        <v>United States</v>
      </c>
      <c r="I763" s="18" t="str">
        <f>VLOOKUP(orders!D763,[1]products!$A$1:$G$49, 2,FALSE)</f>
        <v>Exc</v>
      </c>
      <c r="J763" s="18" t="str">
        <f>VLOOKUP(orders!D763,[1]products!$A$1:$G$49, 3,FALSE)</f>
        <v>L</v>
      </c>
      <c r="K763" s="19">
        <f>VLOOKUP(orders!D763,[1]products!$A$1:$G$49, 4,FALSE)</f>
        <v>1</v>
      </c>
      <c r="L763" s="19">
        <f>VLOOKUP(orders!D763,[1]products!$A$1:$G$49, 5,FALSE)</f>
        <v>14.85</v>
      </c>
      <c r="M763" s="13">
        <f>PRODUCT(orders!$E763,orders!$L763)</f>
        <v>89.1</v>
      </c>
      <c r="N763" s="18" t="str">
        <f t="shared" si="22"/>
        <v>September</v>
      </c>
      <c r="O763" s="18">
        <f t="shared" si="23"/>
        <v>2019</v>
      </c>
      <c r="P763" s="11" t="str">
        <f>TEXT(orders!$B763, "DDD")</f>
        <v>Fri</v>
      </c>
      <c r="Q763" s="11" t="str">
        <f>VLOOKUP(orders!C763,[1]customers!$A$1:$I$1001, 6,FALSE)</f>
        <v>Monroe</v>
      </c>
    </row>
    <row r="764" spans="1:17" x14ac:dyDescent="0.3">
      <c r="A764" s="7" t="s">
        <v>1498</v>
      </c>
      <c r="B764" s="8">
        <v>43563</v>
      </c>
      <c r="C764" s="9" t="s">
        <v>1499</v>
      </c>
      <c r="D764" s="10" t="s">
        <v>95</v>
      </c>
      <c r="E764" s="9">
        <v>5</v>
      </c>
      <c r="F764" s="9" t="str">
        <f>VLOOKUP(C764,[1]customers!$A$1:$I$1001, 2, FALSE)</f>
        <v>Sharona Danilchik</v>
      </c>
      <c r="G764" s="9" t="str">
        <f>VLOOKUP(orders!C764,[1]customers!$A$1:$I$1001, 3, FALSE)</f>
        <v>sdanilchikl6@mit.edu</v>
      </c>
      <c r="H764" s="9" t="str">
        <f>VLOOKUP(C764, [1]customers!$A$1:$I$1001, 7, FALSE)</f>
        <v>United Kingdom</v>
      </c>
      <c r="I764" s="11" t="str">
        <f>VLOOKUP(orders!D764,[1]products!$A$1:$G$49, 2,FALSE)</f>
        <v>Lib</v>
      </c>
      <c r="J764" s="11" t="str">
        <f>VLOOKUP(orders!D764,[1]products!$A$1:$G$49, 3,FALSE)</f>
        <v>M</v>
      </c>
      <c r="K764" s="12">
        <f>VLOOKUP(orders!D764,[1]products!$A$1:$G$49, 4,FALSE)</f>
        <v>0.5</v>
      </c>
      <c r="L764" s="12">
        <f>VLOOKUP(orders!D764,[1]products!$A$1:$G$49, 5,FALSE)</f>
        <v>8.73</v>
      </c>
      <c r="M764" s="13">
        <f>PRODUCT(orders!$E764,orders!$L764)</f>
        <v>43.650000000000006</v>
      </c>
      <c r="N764" s="11" t="str">
        <f t="shared" si="22"/>
        <v>April</v>
      </c>
      <c r="O764" s="11">
        <f t="shared" si="23"/>
        <v>2019</v>
      </c>
      <c r="P764" s="11" t="str">
        <f>TEXT(orders!$B764, "DDD")</f>
        <v>Mon</v>
      </c>
      <c r="Q764" s="11" t="str">
        <f>VLOOKUP(orders!C764,[1]customers!$A$1:$I$1001, 6,FALSE)</f>
        <v>Halton</v>
      </c>
    </row>
    <row r="765" spans="1:17" x14ac:dyDescent="0.3">
      <c r="A765" s="14" t="s">
        <v>1500</v>
      </c>
      <c r="B765" s="15">
        <v>44587</v>
      </c>
      <c r="C765" s="16" t="s">
        <v>1501</v>
      </c>
      <c r="D765" s="17" t="s">
        <v>209</v>
      </c>
      <c r="E765" s="16">
        <v>3</v>
      </c>
      <c r="F765" s="9" t="str">
        <f>VLOOKUP(C765,[1]customers!$A$1:$I$1001, 2, FALSE)</f>
        <v>Sarajane Potter</v>
      </c>
      <c r="G765" s="16">
        <f>VLOOKUP(orders!C765,[1]customers!$A$1:$I$1001, 3, FALSE)</f>
        <v>0</v>
      </c>
      <c r="H765" s="16" t="str">
        <f>VLOOKUP(C765, [1]customers!$A$1:$I$1001, 7, FALSE)</f>
        <v>United States</v>
      </c>
      <c r="I765" s="18" t="str">
        <f>VLOOKUP(orders!D765,[1]products!$A$1:$G$49, 2,FALSE)</f>
        <v>Ara</v>
      </c>
      <c r="J765" s="18" t="str">
        <f>VLOOKUP(orders!D765,[1]products!$A$1:$G$49, 3,FALSE)</f>
        <v>L</v>
      </c>
      <c r="K765" s="19">
        <f>VLOOKUP(orders!D765,[1]products!$A$1:$G$49, 4,FALSE)</f>
        <v>0.5</v>
      </c>
      <c r="L765" s="19">
        <f>VLOOKUP(orders!D765,[1]products!$A$1:$G$49, 5,FALSE)</f>
        <v>7.77</v>
      </c>
      <c r="M765" s="13">
        <f>PRODUCT(orders!$E765,orders!$L765)</f>
        <v>23.31</v>
      </c>
      <c r="N765" s="18" t="str">
        <f t="shared" si="22"/>
        <v>January</v>
      </c>
      <c r="O765" s="18">
        <f t="shared" si="23"/>
        <v>2022</v>
      </c>
      <c r="P765" s="11" t="str">
        <f>TEXT(orders!$B765, "DDD")</f>
        <v>Wed</v>
      </c>
      <c r="Q765" s="11" t="str">
        <f>VLOOKUP(orders!C765,[1]customers!$A$1:$I$1001, 6,FALSE)</f>
        <v>Fort Worth</v>
      </c>
    </row>
    <row r="766" spans="1:17" x14ac:dyDescent="0.3">
      <c r="A766" s="7" t="s">
        <v>1502</v>
      </c>
      <c r="B766" s="8">
        <v>43797</v>
      </c>
      <c r="C766" s="9" t="s">
        <v>1503</v>
      </c>
      <c r="D766" s="10" t="s">
        <v>221</v>
      </c>
      <c r="E766" s="9">
        <v>6</v>
      </c>
      <c r="F766" s="9" t="str">
        <f>VLOOKUP(C766,[1]customers!$A$1:$I$1001, 2, FALSE)</f>
        <v>Bobby Folomkin</v>
      </c>
      <c r="G766" s="9" t="str">
        <f>VLOOKUP(orders!C766,[1]customers!$A$1:$I$1001, 3, FALSE)</f>
        <v>bfolomkinl8@yolasite.com</v>
      </c>
      <c r="H766" s="9" t="str">
        <f>VLOOKUP(C766, [1]customers!$A$1:$I$1001, 7, FALSE)</f>
        <v>United States</v>
      </c>
      <c r="I766" s="11" t="str">
        <f>VLOOKUP(orders!D766,[1]products!$A$1:$G$49, 2,FALSE)</f>
        <v>Ara</v>
      </c>
      <c r="J766" s="11" t="str">
        <f>VLOOKUP(orders!D766,[1]products!$A$1:$G$49, 3,FALSE)</f>
        <v>L</v>
      </c>
      <c r="K766" s="12">
        <f>VLOOKUP(orders!D766,[1]products!$A$1:$G$49, 4,FALSE)</f>
        <v>2.5</v>
      </c>
      <c r="L766" s="12">
        <f>VLOOKUP(orders!D766,[1]products!$A$1:$G$49, 5,FALSE)</f>
        <v>29.784999999999997</v>
      </c>
      <c r="M766" s="13">
        <f>PRODUCT(orders!$E766,orders!$L766)</f>
        <v>178.70999999999998</v>
      </c>
      <c r="N766" s="11" t="str">
        <f t="shared" si="22"/>
        <v>November</v>
      </c>
      <c r="O766" s="11">
        <f t="shared" si="23"/>
        <v>2019</v>
      </c>
      <c r="P766" s="11" t="str">
        <f>TEXT(orders!$B766, "DDD")</f>
        <v>Thu</v>
      </c>
      <c r="Q766" s="11" t="str">
        <f>VLOOKUP(orders!C766,[1]customers!$A$1:$I$1001, 6,FALSE)</f>
        <v>Fargo</v>
      </c>
    </row>
    <row r="767" spans="1:17" x14ac:dyDescent="0.3">
      <c r="A767" s="14" t="s">
        <v>1504</v>
      </c>
      <c r="B767" s="15">
        <v>43667</v>
      </c>
      <c r="C767" s="16" t="s">
        <v>1505</v>
      </c>
      <c r="D767" s="17" t="s">
        <v>19</v>
      </c>
      <c r="E767" s="16">
        <v>6</v>
      </c>
      <c r="F767" s="9" t="str">
        <f>VLOOKUP(C767,[1]customers!$A$1:$I$1001, 2, FALSE)</f>
        <v>Rafferty Pursglove</v>
      </c>
      <c r="G767" s="16" t="str">
        <f>VLOOKUP(orders!C767,[1]customers!$A$1:$I$1001, 3, FALSE)</f>
        <v>rpursglovel9@biblegateway.com</v>
      </c>
      <c r="H767" s="16" t="str">
        <f>VLOOKUP(C767, [1]customers!$A$1:$I$1001, 7, FALSE)</f>
        <v>United States</v>
      </c>
      <c r="I767" s="18" t="str">
        <f>VLOOKUP(orders!D767,[1]products!$A$1:$G$49, 2,FALSE)</f>
        <v>Rob</v>
      </c>
      <c r="J767" s="18" t="str">
        <f>VLOOKUP(orders!D767,[1]products!$A$1:$G$49, 3,FALSE)</f>
        <v>M</v>
      </c>
      <c r="K767" s="19">
        <f>VLOOKUP(orders!D767,[1]products!$A$1:$G$49, 4,FALSE)</f>
        <v>1</v>
      </c>
      <c r="L767" s="19">
        <f>VLOOKUP(orders!D767,[1]products!$A$1:$G$49, 5,FALSE)</f>
        <v>9.9499999999999993</v>
      </c>
      <c r="M767" s="13">
        <f>PRODUCT(orders!$E767,orders!$L767)</f>
        <v>59.699999999999996</v>
      </c>
      <c r="N767" s="18" t="str">
        <f t="shared" si="22"/>
        <v>July</v>
      </c>
      <c r="O767" s="18">
        <f t="shared" si="23"/>
        <v>2019</v>
      </c>
      <c r="P767" s="11" t="str">
        <f>TEXT(orders!$B767, "DDD")</f>
        <v>Sun</v>
      </c>
      <c r="Q767" s="11" t="str">
        <f>VLOOKUP(orders!C767,[1]customers!$A$1:$I$1001, 6,FALSE)</f>
        <v>Garland</v>
      </c>
    </row>
    <row r="768" spans="1:17" x14ac:dyDescent="0.3">
      <c r="A768" s="7" t="s">
        <v>1504</v>
      </c>
      <c r="B768" s="8">
        <v>43667</v>
      </c>
      <c r="C768" s="9" t="s">
        <v>1505</v>
      </c>
      <c r="D768" s="10" t="s">
        <v>209</v>
      </c>
      <c r="E768" s="9">
        <v>2</v>
      </c>
      <c r="F768" s="9" t="str">
        <f>VLOOKUP(C768,[1]customers!$A$1:$I$1001, 2, FALSE)</f>
        <v>Rafferty Pursglove</v>
      </c>
      <c r="G768" s="9" t="str">
        <f>VLOOKUP(orders!C768,[1]customers!$A$1:$I$1001, 3, FALSE)</f>
        <v>rpursglovel9@biblegateway.com</v>
      </c>
      <c r="H768" s="9" t="str">
        <f>VLOOKUP(C768, [1]customers!$A$1:$I$1001, 7, FALSE)</f>
        <v>United States</v>
      </c>
      <c r="I768" s="11" t="str">
        <f>VLOOKUP(orders!D768,[1]products!$A$1:$G$49, 2,FALSE)</f>
        <v>Ara</v>
      </c>
      <c r="J768" s="11" t="str">
        <f>VLOOKUP(orders!D768,[1]products!$A$1:$G$49, 3,FALSE)</f>
        <v>L</v>
      </c>
      <c r="K768" s="12">
        <f>VLOOKUP(orders!D768,[1]products!$A$1:$G$49, 4,FALSE)</f>
        <v>0.5</v>
      </c>
      <c r="L768" s="12">
        <f>VLOOKUP(orders!D768,[1]products!$A$1:$G$49, 5,FALSE)</f>
        <v>7.77</v>
      </c>
      <c r="M768" s="13">
        <f>PRODUCT(orders!$E768,orders!$L768)</f>
        <v>15.54</v>
      </c>
      <c r="N768" s="11" t="str">
        <f t="shared" si="22"/>
        <v>July</v>
      </c>
      <c r="O768" s="11">
        <f t="shared" si="23"/>
        <v>2019</v>
      </c>
      <c r="P768" s="11" t="str">
        <f>TEXT(orders!$B768, "DDD")</f>
        <v>Sun</v>
      </c>
      <c r="Q768" s="11" t="str">
        <f>VLOOKUP(orders!C768,[1]customers!$A$1:$I$1001, 6,FALSE)</f>
        <v>Garland</v>
      </c>
    </row>
    <row r="769" spans="1:17" x14ac:dyDescent="0.3">
      <c r="A769" s="14" t="s">
        <v>1506</v>
      </c>
      <c r="B769" s="15">
        <v>44267</v>
      </c>
      <c r="C769" s="16" t="s">
        <v>1485</v>
      </c>
      <c r="D769" s="17" t="s">
        <v>221</v>
      </c>
      <c r="E769" s="16">
        <v>3</v>
      </c>
      <c r="F769" s="9" t="str">
        <f>VLOOKUP(C769,[1]customers!$A$1:$I$1001, 2, FALSE)</f>
        <v>Foster Constance</v>
      </c>
      <c r="G769" s="16" t="str">
        <f>VLOOKUP(orders!C769,[1]customers!$A$1:$I$1001, 3, FALSE)</f>
        <v>fconstancekz@ifeng.com</v>
      </c>
      <c r="H769" s="16" t="str">
        <f>VLOOKUP(C769, [1]customers!$A$1:$I$1001, 7, FALSE)</f>
        <v>United States</v>
      </c>
      <c r="I769" s="18" t="str">
        <f>VLOOKUP(orders!D769,[1]products!$A$1:$G$49, 2,FALSE)</f>
        <v>Ara</v>
      </c>
      <c r="J769" s="18" t="str">
        <f>VLOOKUP(orders!D769,[1]products!$A$1:$G$49, 3,FALSE)</f>
        <v>L</v>
      </c>
      <c r="K769" s="19">
        <f>VLOOKUP(orders!D769,[1]products!$A$1:$G$49, 4,FALSE)</f>
        <v>2.5</v>
      </c>
      <c r="L769" s="19">
        <f>VLOOKUP(orders!D769,[1]products!$A$1:$G$49, 5,FALSE)</f>
        <v>29.784999999999997</v>
      </c>
      <c r="M769" s="13">
        <f>PRODUCT(orders!$E769,orders!$L769)</f>
        <v>89.35499999999999</v>
      </c>
      <c r="N769" s="18" t="str">
        <f t="shared" si="22"/>
        <v>March</v>
      </c>
      <c r="O769" s="18">
        <f t="shared" si="23"/>
        <v>2021</v>
      </c>
      <c r="P769" s="11" t="str">
        <f>TEXT(orders!$B769, "DDD")</f>
        <v>Fri</v>
      </c>
      <c r="Q769" s="11" t="str">
        <f>VLOOKUP(orders!C769,[1]customers!$A$1:$I$1001, 6,FALSE)</f>
        <v>Dallas</v>
      </c>
    </row>
    <row r="770" spans="1:17" x14ac:dyDescent="0.3">
      <c r="A770" s="7" t="s">
        <v>1507</v>
      </c>
      <c r="B770" s="8">
        <v>44562</v>
      </c>
      <c r="C770" s="9" t="s">
        <v>1485</v>
      </c>
      <c r="D770" s="10" t="s">
        <v>206</v>
      </c>
      <c r="E770" s="9">
        <v>2</v>
      </c>
      <c r="F770" s="9" t="str">
        <f>VLOOKUP(C770,[1]customers!$A$1:$I$1001, 2, FALSE)</f>
        <v>Foster Constance</v>
      </c>
      <c r="G770" s="9" t="str">
        <f>VLOOKUP(orders!C770,[1]customers!$A$1:$I$1001, 3, FALSE)</f>
        <v>fconstancekz@ifeng.com</v>
      </c>
      <c r="H770" s="9" t="str">
        <f>VLOOKUP(C770, [1]customers!$A$1:$I$1001, 7, FALSE)</f>
        <v>United States</v>
      </c>
      <c r="I770" s="11" t="str">
        <f>VLOOKUP(orders!D770,[1]products!$A$1:$G$49, 2,FALSE)</f>
        <v>Rob</v>
      </c>
      <c r="J770" s="11" t="str">
        <f>VLOOKUP(orders!D770,[1]products!$A$1:$G$49, 3,FALSE)</f>
        <v>L</v>
      </c>
      <c r="K770" s="12">
        <f>VLOOKUP(orders!D770,[1]products!$A$1:$G$49, 4,FALSE)</f>
        <v>1</v>
      </c>
      <c r="L770" s="12">
        <f>VLOOKUP(orders!D770,[1]products!$A$1:$G$49, 5,FALSE)</f>
        <v>11.95</v>
      </c>
      <c r="M770" s="13">
        <f>PRODUCT(orders!$E770,orders!$L770)</f>
        <v>23.9</v>
      </c>
      <c r="N770" s="11" t="str">
        <f t="shared" ref="N770:N833" si="24">TEXT(B770, "mmmm")</f>
        <v>January</v>
      </c>
      <c r="O770" s="11">
        <f t="shared" ref="O770:O833" si="25">YEAR(B770)</f>
        <v>2022</v>
      </c>
      <c r="P770" s="11" t="str">
        <f>TEXT(orders!$B770, "DDD")</f>
        <v>Sat</v>
      </c>
      <c r="Q770" s="11" t="str">
        <f>VLOOKUP(orders!C770,[1]customers!$A$1:$I$1001, 6,FALSE)</f>
        <v>Dallas</v>
      </c>
    </row>
    <row r="771" spans="1:17" x14ac:dyDescent="0.3">
      <c r="A771" s="14" t="s">
        <v>1508</v>
      </c>
      <c r="B771" s="15">
        <v>43912</v>
      </c>
      <c r="C771" s="16" t="s">
        <v>1509</v>
      </c>
      <c r="D771" s="17" t="s">
        <v>58</v>
      </c>
      <c r="E771" s="16">
        <v>6</v>
      </c>
      <c r="F771" s="9" t="str">
        <f>VLOOKUP(C771,[1]customers!$A$1:$I$1001, 2, FALSE)</f>
        <v>Dalia Eburah</v>
      </c>
      <c r="G771" s="16" t="str">
        <f>VLOOKUP(orders!C771,[1]customers!$A$1:$I$1001, 3, FALSE)</f>
        <v>deburahld@google.co.jp</v>
      </c>
      <c r="H771" s="16" t="str">
        <f>VLOOKUP(C771, [1]customers!$A$1:$I$1001, 7, FALSE)</f>
        <v>United Kingdom</v>
      </c>
      <c r="I771" s="18" t="str">
        <f>VLOOKUP(orders!D771,[1]products!$A$1:$G$49, 2,FALSE)</f>
        <v>Rob</v>
      </c>
      <c r="J771" s="18" t="str">
        <f>VLOOKUP(orders!D771,[1]products!$A$1:$G$49, 3,FALSE)</f>
        <v>M</v>
      </c>
      <c r="K771" s="19">
        <f>VLOOKUP(orders!D771,[1]products!$A$1:$G$49, 4,FALSE)</f>
        <v>2.5</v>
      </c>
      <c r="L771" s="19">
        <f>VLOOKUP(orders!D771,[1]products!$A$1:$G$49, 5,FALSE)</f>
        <v>22.884999999999998</v>
      </c>
      <c r="M771" s="13">
        <f>PRODUCT(orders!$E771,orders!$L771)</f>
        <v>137.31</v>
      </c>
      <c r="N771" s="18" t="str">
        <f t="shared" si="24"/>
        <v>March</v>
      </c>
      <c r="O771" s="18">
        <f t="shared" si="25"/>
        <v>2020</v>
      </c>
      <c r="P771" s="11" t="str">
        <f>TEXT(orders!$B771, "DDD")</f>
        <v>Sun</v>
      </c>
      <c r="Q771" s="11" t="str">
        <f>VLOOKUP(orders!C771,[1]customers!$A$1:$I$1001, 6,FALSE)</f>
        <v>Birmingham</v>
      </c>
    </row>
    <row r="772" spans="1:17" x14ac:dyDescent="0.3">
      <c r="A772" s="7" t="s">
        <v>1510</v>
      </c>
      <c r="B772" s="8">
        <v>44092</v>
      </c>
      <c r="C772" s="9" t="s">
        <v>1511</v>
      </c>
      <c r="D772" s="10" t="s">
        <v>44</v>
      </c>
      <c r="E772" s="9">
        <v>1</v>
      </c>
      <c r="F772" s="9" t="str">
        <f>VLOOKUP(C772,[1]customers!$A$1:$I$1001, 2, FALSE)</f>
        <v>Martie Brimilcombe</v>
      </c>
      <c r="G772" s="9" t="str">
        <f>VLOOKUP(orders!C772,[1]customers!$A$1:$I$1001, 3, FALSE)</f>
        <v>mbrimilcombele@cnn.com</v>
      </c>
      <c r="H772" s="9" t="str">
        <f>VLOOKUP(C772, [1]customers!$A$1:$I$1001, 7, FALSE)</f>
        <v>United States</v>
      </c>
      <c r="I772" s="11" t="str">
        <f>VLOOKUP(orders!D772,[1]products!$A$1:$G$49, 2,FALSE)</f>
        <v>Ara</v>
      </c>
      <c r="J772" s="11" t="str">
        <f>VLOOKUP(orders!D772,[1]products!$A$1:$G$49, 3,FALSE)</f>
        <v>D</v>
      </c>
      <c r="K772" s="12">
        <f>VLOOKUP(orders!D772,[1]products!$A$1:$G$49, 4,FALSE)</f>
        <v>1</v>
      </c>
      <c r="L772" s="12">
        <f>VLOOKUP(orders!D772,[1]products!$A$1:$G$49, 5,FALSE)</f>
        <v>9.9499999999999993</v>
      </c>
      <c r="M772" s="13">
        <f>PRODUCT(orders!$E772,orders!$L772)</f>
        <v>9.9499999999999993</v>
      </c>
      <c r="N772" s="11" t="str">
        <f t="shared" si="24"/>
        <v>September</v>
      </c>
      <c r="O772" s="11">
        <f t="shared" si="25"/>
        <v>2020</v>
      </c>
      <c r="P772" s="11" t="str">
        <f>TEXT(orders!$B772, "DDD")</f>
        <v>Fri</v>
      </c>
      <c r="Q772" s="11" t="str">
        <f>VLOOKUP(orders!C772,[1]customers!$A$1:$I$1001, 6,FALSE)</f>
        <v>Springfield</v>
      </c>
    </row>
    <row r="773" spans="1:17" x14ac:dyDescent="0.3">
      <c r="A773" s="14" t="s">
        <v>1512</v>
      </c>
      <c r="B773" s="15">
        <v>43468</v>
      </c>
      <c r="C773" s="16" t="s">
        <v>1513</v>
      </c>
      <c r="D773" s="17" t="s">
        <v>174</v>
      </c>
      <c r="E773" s="16">
        <v>3</v>
      </c>
      <c r="F773" s="9" t="str">
        <f>VLOOKUP(C773,[1]customers!$A$1:$I$1001, 2, FALSE)</f>
        <v>Suzanna Bollam</v>
      </c>
      <c r="G773" s="16" t="str">
        <f>VLOOKUP(orders!C773,[1]customers!$A$1:$I$1001, 3, FALSE)</f>
        <v>sbollamlf@list-manage.com</v>
      </c>
      <c r="H773" s="16" t="str">
        <f>VLOOKUP(C773, [1]customers!$A$1:$I$1001, 7, FALSE)</f>
        <v>United States</v>
      </c>
      <c r="I773" s="18" t="str">
        <f>VLOOKUP(orders!D773,[1]products!$A$1:$G$49, 2,FALSE)</f>
        <v>Rob</v>
      </c>
      <c r="J773" s="18" t="str">
        <f>VLOOKUP(orders!D773,[1]products!$A$1:$G$49, 3,FALSE)</f>
        <v>L</v>
      </c>
      <c r="K773" s="19">
        <f>VLOOKUP(orders!D773,[1]products!$A$1:$G$49, 4,FALSE)</f>
        <v>0.5</v>
      </c>
      <c r="L773" s="19">
        <f>VLOOKUP(orders!D773,[1]products!$A$1:$G$49, 5,FALSE)</f>
        <v>7.169999999999999</v>
      </c>
      <c r="M773" s="13">
        <f>PRODUCT(orders!$E773,orders!$L773)</f>
        <v>21.509999999999998</v>
      </c>
      <c r="N773" s="18" t="str">
        <f t="shared" si="24"/>
        <v>January</v>
      </c>
      <c r="O773" s="18">
        <f t="shared" si="25"/>
        <v>2019</v>
      </c>
      <c r="P773" s="11" t="str">
        <f>TEXT(orders!$B773, "DDD")</f>
        <v>Thu</v>
      </c>
      <c r="Q773" s="11" t="str">
        <f>VLOOKUP(orders!C773,[1]customers!$A$1:$I$1001, 6,FALSE)</f>
        <v>Littleton</v>
      </c>
    </row>
    <row r="774" spans="1:17" x14ac:dyDescent="0.3">
      <c r="A774" s="7" t="s">
        <v>1514</v>
      </c>
      <c r="B774" s="8">
        <v>44468</v>
      </c>
      <c r="C774" s="9" t="s">
        <v>1515</v>
      </c>
      <c r="D774" s="10" t="s">
        <v>26</v>
      </c>
      <c r="E774" s="9">
        <v>6</v>
      </c>
      <c r="F774" s="9" t="str">
        <f>VLOOKUP(C774,[1]customers!$A$1:$I$1001, 2, FALSE)</f>
        <v>Mellisa Mebes</v>
      </c>
      <c r="G774" s="9">
        <f>VLOOKUP(orders!C774,[1]customers!$A$1:$I$1001, 3, FALSE)</f>
        <v>0</v>
      </c>
      <c r="H774" s="9" t="str">
        <f>VLOOKUP(C774, [1]customers!$A$1:$I$1001, 7, FALSE)</f>
        <v>United States</v>
      </c>
      <c r="I774" s="11" t="str">
        <f>VLOOKUP(orders!D774,[1]products!$A$1:$G$49, 2,FALSE)</f>
        <v>Exc</v>
      </c>
      <c r="J774" s="11" t="str">
        <f>VLOOKUP(orders!D774,[1]products!$A$1:$G$49, 3,FALSE)</f>
        <v>M</v>
      </c>
      <c r="K774" s="12">
        <f>VLOOKUP(orders!D774,[1]products!$A$1:$G$49, 4,FALSE)</f>
        <v>1</v>
      </c>
      <c r="L774" s="12">
        <f>VLOOKUP(orders!D774,[1]products!$A$1:$G$49, 5,FALSE)</f>
        <v>13.75</v>
      </c>
      <c r="M774" s="13">
        <f>PRODUCT(orders!$E774,orders!$L774)</f>
        <v>82.5</v>
      </c>
      <c r="N774" s="11" t="str">
        <f t="shared" si="24"/>
        <v>September</v>
      </c>
      <c r="O774" s="11">
        <f t="shared" si="25"/>
        <v>2021</v>
      </c>
      <c r="P774" s="11" t="str">
        <f>TEXT(orders!$B774, "DDD")</f>
        <v>Wed</v>
      </c>
      <c r="Q774" s="11" t="str">
        <f>VLOOKUP(orders!C774,[1]customers!$A$1:$I$1001, 6,FALSE)</f>
        <v>Baltimore</v>
      </c>
    </row>
    <row r="775" spans="1:17" x14ac:dyDescent="0.3">
      <c r="A775" s="14" t="s">
        <v>1516</v>
      </c>
      <c r="B775" s="15">
        <v>44488</v>
      </c>
      <c r="C775" s="16" t="s">
        <v>1517</v>
      </c>
      <c r="D775" s="17" t="s">
        <v>94</v>
      </c>
      <c r="E775" s="16">
        <v>2</v>
      </c>
      <c r="F775" s="9" t="str">
        <f>VLOOKUP(C775,[1]customers!$A$1:$I$1001, 2, FALSE)</f>
        <v>Alva Filipczak</v>
      </c>
      <c r="G775" s="16" t="str">
        <f>VLOOKUP(orders!C775,[1]customers!$A$1:$I$1001, 3, FALSE)</f>
        <v>afilipczaklh@ning.com</v>
      </c>
      <c r="H775" s="16" t="str">
        <f>VLOOKUP(C775, [1]customers!$A$1:$I$1001, 7, FALSE)</f>
        <v>Ireland</v>
      </c>
      <c r="I775" s="18" t="str">
        <f>VLOOKUP(orders!D775,[1]products!$A$1:$G$49, 2,FALSE)</f>
        <v>Lib</v>
      </c>
      <c r="J775" s="18" t="str">
        <f>VLOOKUP(orders!D775,[1]products!$A$1:$G$49, 3,FALSE)</f>
        <v>M</v>
      </c>
      <c r="K775" s="19">
        <f>VLOOKUP(orders!D775,[1]products!$A$1:$G$49, 4,FALSE)</f>
        <v>0.2</v>
      </c>
      <c r="L775" s="19">
        <f>VLOOKUP(orders!D775,[1]products!$A$1:$G$49, 5,FALSE)</f>
        <v>4.3650000000000002</v>
      </c>
      <c r="M775" s="13">
        <f>PRODUCT(orders!$E775,orders!$L775)</f>
        <v>8.73</v>
      </c>
      <c r="N775" s="18" t="str">
        <f t="shared" si="24"/>
        <v>October</v>
      </c>
      <c r="O775" s="18">
        <f t="shared" si="25"/>
        <v>2021</v>
      </c>
      <c r="P775" s="11" t="str">
        <f>TEXT(orders!$B775, "DDD")</f>
        <v>Tue</v>
      </c>
      <c r="Q775" s="11" t="str">
        <f>VLOOKUP(orders!C775,[1]customers!$A$1:$I$1001, 6,FALSE)</f>
        <v>Moycullen</v>
      </c>
    </row>
    <row r="776" spans="1:17" x14ac:dyDescent="0.3">
      <c r="A776" s="7" t="s">
        <v>1518</v>
      </c>
      <c r="B776" s="8">
        <v>44756</v>
      </c>
      <c r="C776" s="9" t="s">
        <v>1519</v>
      </c>
      <c r="D776" s="10" t="s">
        <v>19</v>
      </c>
      <c r="E776" s="9">
        <v>2</v>
      </c>
      <c r="F776" s="9" t="str">
        <f>VLOOKUP(C776,[1]customers!$A$1:$I$1001, 2, FALSE)</f>
        <v>Dorette Hinemoor</v>
      </c>
      <c r="G776" s="9">
        <f>VLOOKUP(orders!C776,[1]customers!$A$1:$I$1001, 3, FALSE)</f>
        <v>0</v>
      </c>
      <c r="H776" s="9" t="str">
        <f>VLOOKUP(C776, [1]customers!$A$1:$I$1001, 7, FALSE)</f>
        <v>United States</v>
      </c>
      <c r="I776" s="11" t="str">
        <f>VLOOKUP(orders!D776,[1]products!$A$1:$G$49, 2,FALSE)</f>
        <v>Rob</v>
      </c>
      <c r="J776" s="11" t="str">
        <f>VLOOKUP(orders!D776,[1]products!$A$1:$G$49, 3,FALSE)</f>
        <v>M</v>
      </c>
      <c r="K776" s="12">
        <f>VLOOKUP(orders!D776,[1]products!$A$1:$G$49, 4,FALSE)</f>
        <v>1</v>
      </c>
      <c r="L776" s="12">
        <f>VLOOKUP(orders!D776,[1]products!$A$1:$G$49, 5,FALSE)</f>
        <v>9.9499999999999993</v>
      </c>
      <c r="M776" s="13">
        <f>PRODUCT(orders!$E776,orders!$L776)</f>
        <v>19.899999999999999</v>
      </c>
      <c r="N776" s="11" t="str">
        <f t="shared" si="24"/>
        <v>July</v>
      </c>
      <c r="O776" s="11">
        <f t="shared" si="25"/>
        <v>2022</v>
      </c>
      <c r="P776" s="11" t="str">
        <f>TEXT(orders!$B776, "DDD")</f>
        <v>Thu</v>
      </c>
      <c r="Q776" s="11" t="str">
        <f>VLOOKUP(orders!C776,[1]customers!$A$1:$I$1001, 6,FALSE)</f>
        <v>Fort Lauderdale</v>
      </c>
    </row>
    <row r="777" spans="1:17" x14ac:dyDescent="0.3">
      <c r="A777" s="14" t="s">
        <v>1520</v>
      </c>
      <c r="B777" s="15">
        <v>44396</v>
      </c>
      <c r="C777" s="16" t="s">
        <v>1521</v>
      </c>
      <c r="D777" s="17" t="s">
        <v>193</v>
      </c>
      <c r="E777" s="16">
        <v>2</v>
      </c>
      <c r="F777" s="9" t="str">
        <f>VLOOKUP(C777,[1]customers!$A$1:$I$1001, 2, FALSE)</f>
        <v>Rhetta Elnaugh</v>
      </c>
      <c r="G777" s="16" t="str">
        <f>VLOOKUP(orders!C777,[1]customers!$A$1:$I$1001, 3, FALSE)</f>
        <v>relnaughlj@comsenz.com</v>
      </c>
      <c r="H777" s="16" t="str">
        <f>VLOOKUP(C777, [1]customers!$A$1:$I$1001, 7, FALSE)</f>
        <v>United States</v>
      </c>
      <c r="I777" s="18" t="str">
        <f>VLOOKUP(orders!D777,[1]products!$A$1:$G$49, 2,FALSE)</f>
        <v>Exc</v>
      </c>
      <c r="J777" s="18" t="str">
        <f>VLOOKUP(orders!D777,[1]products!$A$1:$G$49, 3,FALSE)</f>
        <v>L</v>
      </c>
      <c r="K777" s="19">
        <f>VLOOKUP(orders!D777,[1]products!$A$1:$G$49, 4,FALSE)</f>
        <v>0.5</v>
      </c>
      <c r="L777" s="19">
        <f>VLOOKUP(orders!D777,[1]products!$A$1:$G$49, 5,FALSE)</f>
        <v>8.91</v>
      </c>
      <c r="M777" s="13">
        <f>PRODUCT(orders!$E777,orders!$L777)</f>
        <v>17.82</v>
      </c>
      <c r="N777" s="18" t="str">
        <f t="shared" si="24"/>
        <v>July</v>
      </c>
      <c r="O777" s="18">
        <f t="shared" si="25"/>
        <v>2021</v>
      </c>
      <c r="P777" s="11" t="str">
        <f>TEXT(orders!$B777, "DDD")</f>
        <v>Mon</v>
      </c>
      <c r="Q777" s="11" t="str">
        <f>VLOOKUP(orders!C777,[1]customers!$A$1:$I$1001, 6,FALSE)</f>
        <v>San Diego</v>
      </c>
    </row>
    <row r="778" spans="1:17" x14ac:dyDescent="0.3">
      <c r="A778" s="7" t="s">
        <v>1522</v>
      </c>
      <c r="B778" s="8">
        <v>44540</v>
      </c>
      <c r="C778" s="9" t="s">
        <v>1523</v>
      </c>
      <c r="D778" s="10" t="s">
        <v>84</v>
      </c>
      <c r="E778" s="9">
        <v>3</v>
      </c>
      <c r="F778" s="9" t="str">
        <f>VLOOKUP(C778,[1]customers!$A$1:$I$1001, 2, FALSE)</f>
        <v>Jule Deehan</v>
      </c>
      <c r="G778" s="9" t="str">
        <f>VLOOKUP(orders!C778,[1]customers!$A$1:$I$1001, 3, FALSE)</f>
        <v>jdeehanlk@about.me</v>
      </c>
      <c r="H778" s="9" t="str">
        <f>VLOOKUP(C778, [1]customers!$A$1:$I$1001, 7, FALSE)</f>
        <v>United States</v>
      </c>
      <c r="I778" s="11" t="str">
        <f>VLOOKUP(orders!D778,[1]products!$A$1:$G$49, 2,FALSE)</f>
        <v>Ara</v>
      </c>
      <c r="J778" s="11" t="str">
        <f>VLOOKUP(orders!D778,[1]products!$A$1:$G$49, 3,FALSE)</f>
        <v>M</v>
      </c>
      <c r="K778" s="12">
        <f>VLOOKUP(orders!D778,[1]products!$A$1:$G$49, 4,FALSE)</f>
        <v>0.5</v>
      </c>
      <c r="L778" s="12">
        <f>VLOOKUP(orders!D778,[1]products!$A$1:$G$49, 5,FALSE)</f>
        <v>6.75</v>
      </c>
      <c r="M778" s="13">
        <f>PRODUCT(orders!$E778,orders!$L778)</f>
        <v>20.25</v>
      </c>
      <c r="N778" s="11" t="str">
        <f t="shared" si="24"/>
        <v>December</v>
      </c>
      <c r="O778" s="11">
        <f t="shared" si="25"/>
        <v>2021</v>
      </c>
      <c r="P778" s="11" t="str">
        <f>TEXT(orders!$B778, "DDD")</f>
        <v>Fri</v>
      </c>
      <c r="Q778" s="11" t="str">
        <f>VLOOKUP(orders!C778,[1]customers!$A$1:$I$1001, 6,FALSE)</f>
        <v>Dallas</v>
      </c>
    </row>
    <row r="779" spans="1:17" x14ac:dyDescent="0.3">
      <c r="A779" s="14" t="s">
        <v>1524</v>
      </c>
      <c r="B779" s="15">
        <v>43541</v>
      </c>
      <c r="C779" s="16" t="s">
        <v>1525</v>
      </c>
      <c r="D779" s="17" t="s">
        <v>221</v>
      </c>
      <c r="E779" s="16">
        <v>2</v>
      </c>
      <c r="F779" s="9" t="str">
        <f>VLOOKUP(C779,[1]customers!$A$1:$I$1001, 2, FALSE)</f>
        <v>Janella Eden</v>
      </c>
      <c r="G779" s="16" t="str">
        <f>VLOOKUP(orders!C779,[1]customers!$A$1:$I$1001, 3, FALSE)</f>
        <v>jedenll@e-recht24.de</v>
      </c>
      <c r="H779" s="16" t="str">
        <f>VLOOKUP(C779, [1]customers!$A$1:$I$1001, 7, FALSE)</f>
        <v>United States</v>
      </c>
      <c r="I779" s="18" t="str">
        <f>VLOOKUP(orders!D779,[1]products!$A$1:$G$49, 2,FALSE)</f>
        <v>Ara</v>
      </c>
      <c r="J779" s="18" t="str">
        <f>VLOOKUP(orders!D779,[1]products!$A$1:$G$49, 3,FALSE)</f>
        <v>L</v>
      </c>
      <c r="K779" s="19">
        <f>VLOOKUP(orders!D779,[1]products!$A$1:$G$49, 4,FALSE)</f>
        <v>2.5</v>
      </c>
      <c r="L779" s="19">
        <f>VLOOKUP(orders!D779,[1]products!$A$1:$G$49, 5,FALSE)</f>
        <v>29.784999999999997</v>
      </c>
      <c r="M779" s="13">
        <f>PRODUCT(orders!$E779,orders!$L779)</f>
        <v>59.569999999999993</v>
      </c>
      <c r="N779" s="18" t="str">
        <f t="shared" si="24"/>
        <v>March</v>
      </c>
      <c r="O779" s="18">
        <f t="shared" si="25"/>
        <v>2019</v>
      </c>
      <c r="P779" s="11" t="str">
        <f>TEXT(orders!$B779, "DDD")</f>
        <v>Sun</v>
      </c>
      <c r="Q779" s="11" t="str">
        <f>VLOOKUP(orders!C779,[1]customers!$A$1:$I$1001, 6,FALSE)</f>
        <v>Joliet</v>
      </c>
    </row>
    <row r="780" spans="1:17" x14ac:dyDescent="0.3">
      <c r="A780" s="7" t="s">
        <v>1526</v>
      </c>
      <c r="B780" s="8">
        <v>43889</v>
      </c>
      <c r="C780" s="9" t="s">
        <v>1527</v>
      </c>
      <c r="D780" s="10" t="s">
        <v>100</v>
      </c>
      <c r="E780" s="9">
        <v>2</v>
      </c>
      <c r="F780" s="9" t="str">
        <f>VLOOKUP(C780,[1]customers!$A$1:$I$1001, 2, FALSE)</f>
        <v>Cam Jewster</v>
      </c>
      <c r="G780" s="9" t="str">
        <f>VLOOKUP(orders!C780,[1]customers!$A$1:$I$1001, 3, FALSE)</f>
        <v>cjewsterlu@moonfruit.com</v>
      </c>
      <c r="H780" s="9" t="str">
        <f>VLOOKUP(C780, [1]customers!$A$1:$I$1001, 7, FALSE)</f>
        <v>United States</v>
      </c>
      <c r="I780" s="11" t="str">
        <f>VLOOKUP(orders!D780,[1]products!$A$1:$G$49, 2,FALSE)</f>
        <v>Lib</v>
      </c>
      <c r="J780" s="11" t="str">
        <f>VLOOKUP(orders!D780,[1]products!$A$1:$G$49, 3,FALSE)</f>
        <v>L</v>
      </c>
      <c r="K780" s="12">
        <f>VLOOKUP(orders!D780,[1]products!$A$1:$G$49, 4,FALSE)</f>
        <v>0.5</v>
      </c>
      <c r="L780" s="12">
        <f>VLOOKUP(orders!D780,[1]products!$A$1:$G$49, 5,FALSE)</f>
        <v>9.51</v>
      </c>
      <c r="M780" s="13">
        <f>PRODUCT(orders!$E780,orders!$L780)</f>
        <v>19.02</v>
      </c>
      <c r="N780" s="11" t="str">
        <f t="shared" si="24"/>
        <v>February</v>
      </c>
      <c r="O780" s="11">
        <f t="shared" si="25"/>
        <v>2020</v>
      </c>
      <c r="P780" s="11" t="str">
        <f>TEXT(orders!$B780, "DDD")</f>
        <v>Fri</v>
      </c>
      <c r="Q780" s="11" t="str">
        <f>VLOOKUP(orders!C780,[1]customers!$A$1:$I$1001, 6,FALSE)</f>
        <v>Dayton</v>
      </c>
    </row>
    <row r="781" spans="1:17" x14ac:dyDescent="0.3">
      <c r="A781" s="14" t="s">
        <v>1528</v>
      </c>
      <c r="B781" s="15">
        <v>43985</v>
      </c>
      <c r="C781" s="16" t="s">
        <v>1529</v>
      </c>
      <c r="D781" s="17" t="s">
        <v>30</v>
      </c>
      <c r="E781" s="16">
        <v>6</v>
      </c>
      <c r="F781" s="9" t="str">
        <f>VLOOKUP(C781,[1]customers!$A$1:$I$1001, 2, FALSE)</f>
        <v>Ugo Southerden</v>
      </c>
      <c r="G781" s="16" t="str">
        <f>VLOOKUP(orders!C781,[1]customers!$A$1:$I$1001, 3, FALSE)</f>
        <v>usoutherdenln@hao123.com</v>
      </c>
      <c r="H781" s="16" t="str">
        <f>VLOOKUP(C781, [1]customers!$A$1:$I$1001, 7, FALSE)</f>
        <v>United States</v>
      </c>
      <c r="I781" s="18" t="str">
        <f>VLOOKUP(orders!D781,[1]products!$A$1:$G$49, 2,FALSE)</f>
        <v>Lib</v>
      </c>
      <c r="J781" s="18" t="str">
        <f>VLOOKUP(orders!D781,[1]products!$A$1:$G$49, 3,FALSE)</f>
        <v>D</v>
      </c>
      <c r="K781" s="19">
        <f>VLOOKUP(orders!D781,[1]products!$A$1:$G$49, 4,FALSE)</f>
        <v>1</v>
      </c>
      <c r="L781" s="19">
        <f>VLOOKUP(orders!D781,[1]products!$A$1:$G$49, 5,FALSE)</f>
        <v>12.95</v>
      </c>
      <c r="M781" s="13">
        <f>PRODUCT(orders!$E781,orders!$L781)</f>
        <v>77.699999999999989</v>
      </c>
      <c r="N781" s="18" t="str">
        <f t="shared" si="24"/>
        <v>June</v>
      </c>
      <c r="O781" s="18">
        <f t="shared" si="25"/>
        <v>2020</v>
      </c>
      <c r="P781" s="11" t="str">
        <f>TEXT(orders!$B781, "DDD")</f>
        <v>Wed</v>
      </c>
      <c r="Q781" s="11" t="str">
        <f>VLOOKUP(orders!C781,[1]customers!$A$1:$I$1001, 6,FALSE)</f>
        <v>Clearwater</v>
      </c>
    </row>
    <row r="782" spans="1:17" x14ac:dyDescent="0.3">
      <c r="A782" s="7" t="s">
        <v>1530</v>
      </c>
      <c r="B782" s="8">
        <v>43883</v>
      </c>
      <c r="C782" s="9" t="s">
        <v>1531</v>
      </c>
      <c r="D782" s="10" t="s">
        <v>26</v>
      </c>
      <c r="E782" s="9">
        <v>3</v>
      </c>
      <c r="F782" s="9" t="str">
        <f>VLOOKUP(C782,[1]customers!$A$1:$I$1001, 2, FALSE)</f>
        <v>Verne Dunkerley</v>
      </c>
      <c r="G782" s="9">
        <f>VLOOKUP(orders!C782,[1]customers!$A$1:$I$1001, 3, FALSE)</f>
        <v>0</v>
      </c>
      <c r="H782" s="9" t="str">
        <f>VLOOKUP(C782, [1]customers!$A$1:$I$1001, 7, FALSE)</f>
        <v>United States</v>
      </c>
      <c r="I782" s="11" t="str">
        <f>VLOOKUP(orders!D782,[1]products!$A$1:$G$49, 2,FALSE)</f>
        <v>Exc</v>
      </c>
      <c r="J782" s="11" t="str">
        <f>VLOOKUP(orders!D782,[1]products!$A$1:$G$49, 3,FALSE)</f>
        <v>M</v>
      </c>
      <c r="K782" s="12">
        <f>VLOOKUP(orders!D782,[1]products!$A$1:$G$49, 4,FALSE)</f>
        <v>1</v>
      </c>
      <c r="L782" s="12">
        <f>VLOOKUP(orders!D782,[1]products!$A$1:$G$49, 5,FALSE)</f>
        <v>13.75</v>
      </c>
      <c r="M782" s="13">
        <f>PRODUCT(orders!$E782,orders!$L782)</f>
        <v>41.25</v>
      </c>
      <c r="N782" s="11" t="str">
        <f t="shared" si="24"/>
        <v>February</v>
      </c>
      <c r="O782" s="11">
        <f t="shared" si="25"/>
        <v>2020</v>
      </c>
      <c r="P782" s="11" t="str">
        <f>TEXT(orders!$B782, "DDD")</f>
        <v>Sat</v>
      </c>
      <c r="Q782" s="11" t="str">
        <f>VLOOKUP(orders!C782,[1]customers!$A$1:$I$1001, 6,FALSE)</f>
        <v>Minneapolis</v>
      </c>
    </row>
    <row r="783" spans="1:17" x14ac:dyDescent="0.3">
      <c r="A783" s="14" t="s">
        <v>1532</v>
      </c>
      <c r="B783" s="15">
        <v>43778</v>
      </c>
      <c r="C783" s="16" t="s">
        <v>1533</v>
      </c>
      <c r="D783" s="17" t="s">
        <v>121</v>
      </c>
      <c r="E783" s="16">
        <v>4</v>
      </c>
      <c r="F783" s="9" t="str">
        <f>VLOOKUP(C783,[1]customers!$A$1:$I$1001, 2, FALSE)</f>
        <v>Lacee Burtenshaw</v>
      </c>
      <c r="G783" s="16" t="str">
        <f>VLOOKUP(orders!C783,[1]customers!$A$1:$I$1001, 3, FALSE)</f>
        <v>lburtenshawlp@shinystat.com</v>
      </c>
      <c r="H783" s="16" t="str">
        <f>VLOOKUP(C783, [1]customers!$A$1:$I$1001, 7, FALSE)</f>
        <v>United States</v>
      </c>
      <c r="I783" s="18" t="str">
        <f>VLOOKUP(orders!D783,[1]products!$A$1:$G$49, 2,FALSE)</f>
        <v>Lib</v>
      </c>
      <c r="J783" s="18" t="str">
        <f>VLOOKUP(orders!D783,[1]products!$A$1:$G$49, 3,FALSE)</f>
        <v>L</v>
      </c>
      <c r="K783" s="19">
        <f>VLOOKUP(orders!D783,[1]products!$A$1:$G$49, 4,FALSE)</f>
        <v>2.5</v>
      </c>
      <c r="L783" s="19">
        <f>VLOOKUP(orders!D783,[1]products!$A$1:$G$49, 5,FALSE)</f>
        <v>36.454999999999998</v>
      </c>
      <c r="M783" s="13">
        <f>PRODUCT(orders!$E783,orders!$L783)</f>
        <v>145.82</v>
      </c>
      <c r="N783" s="18" t="str">
        <f t="shared" si="24"/>
        <v>November</v>
      </c>
      <c r="O783" s="18">
        <f t="shared" si="25"/>
        <v>2019</v>
      </c>
      <c r="P783" s="11" t="str">
        <f>TEXT(orders!$B783, "DDD")</f>
        <v>Sat</v>
      </c>
      <c r="Q783" s="11" t="str">
        <f>VLOOKUP(orders!C783,[1]customers!$A$1:$I$1001, 6,FALSE)</f>
        <v>Lawrenceville</v>
      </c>
    </row>
    <row r="784" spans="1:17" x14ac:dyDescent="0.3">
      <c r="A784" s="7" t="s">
        <v>1534</v>
      </c>
      <c r="B784" s="8">
        <v>43897</v>
      </c>
      <c r="C784" s="9" t="s">
        <v>1535</v>
      </c>
      <c r="D784" s="10" t="s">
        <v>271</v>
      </c>
      <c r="E784" s="9">
        <v>6</v>
      </c>
      <c r="F784" s="9" t="str">
        <f>VLOOKUP(C784,[1]customers!$A$1:$I$1001, 2, FALSE)</f>
        <v>Adorne Gregoratti</v>
      </c>
      <c r="G784" s="9" t="str">
        <f>VLOOKUP(orders!C784,[1]customers!$A$1:$I$1001, 3, FALSE)</f>
        <v>agregorattilq@vistaprint.com</v>
      </c>
      <c r="H784" s="9" t="str">
        <f>VLOOKUP(C784, [1]customers!$A$1:$I$1001, 7, FALSE)</f>
        <v>Ireland</v>
      </c>
      <c r="I784" s="11" t="str">
        <f>VLOOKUP(orders!D784,[1]products!$A$1:$G$49, 2,FALSE)</f>
        <v>Exc</v>
      </c>
      <c r="J784" s="11" t="str">
        <f>VLOOKUP(orders!D784,[1]products!$A$1:$G$49, 3,FALSE)</f>
        <v>L</v>
      </c>
      <c r="K784" s="12">
        <f>VLOOKUP(orders!D784,[1]products!$A$1:$G$49, 4,FALSE)</f>
        <v>0.2</v>
      </c>
      <c r="L784" s="12">
        <f>VLOOKUP(orders!D784,[1]products!$A$1:$G$49, 5,FALSE)</f>
        <v>4.4550000000000001</v>
      </c>
      <c r="M784" s="13">
        <f>PRODUCT(orders!$E784,orders!$L784)</f>
        <v>26.73</v>
      </c>
      <c r="N784" s="11" t="str">
        <f t="shared" si="24"/>
        <v>March</v>
      </c>
      <c r="O784" s="11">
        <f t="shared" si="25"/>
        <v>2020</v>
      </c>
      <c r="P784" s="11" t="str">
        <f>TEXT(orders!$B784, "DDD")</f>
        <v>Sat</v>
      </c>
      <c r="Q784" s="11" t="str">
        <f>VLOOKUP(orders!C784,[1]customers!$A$1:$I$1001, 6,FALSE)</f>
        <v>Malahide</v>
      </c>
    </row>
    <row r="785" spans="1:17" x14ac:dyDescent="0.3">
      <c r="A785" s="14" t="s">
        <v>1536</v>
      </c>
      <c r="B785" s="15">
        <v>44312</v>
      </c>
      <c r="C785" s="16" t="s">
        <v>1537</v>
      </c>
      <c r="D785" s="17" t="s">
        <v>95</v>
      </c>
      <c r="E785" s="16">
        <v>5</v>
      </c>
      <c r="F785" s="9" t="str">
        <f>VLOOKUP(C785,[1]customers!$A$1:$I$1001, 2, FALSE)</f>
        <v>Chris Croster</v>
      </c>
      <c r="G785" s="16" t="str">
        <f>VLOOKUP(orders!C785,[1]customers!$A$1:$I$1001, 3, FALSE)</f>
        <v>ccrosterlr@gov.uk</v>
      </c>
      <c r="H785" s="16" t="str">
        <f>VLOOKUP(C785, [1]customers!$A$1:$I$1001, 7, FALSE)</f>
        <v>United States</v>
      </c>
      <c r="I785" s="18" t="str">
        <f>VLOOKUP(orders!D785,[1]products!$A$1:$G$49, 2,FALSE)</f>
        <v>Lib</v>
      </c>
      <c r="J785" s="18" t="str">
        <f>VLOOKUP(orders!D785,[1]products!$A$1:$G$49, 3,FALSE)</f>
        <v>M</v>
      </c>
      <c r="K785" s="19">
        <f>VLOOKUP(orders!D785,[1]products!$A$1:$G$49, 4,FALSE)</f>
        <v>0.5</v>
      </c>
      <c r="L785" s="19">
        <f>VLOOKUP(orders!D785,[1]products!$A$1:$G$49, 5,FALSE)</f>
        <v>8.73</v>
      </c>
      <c r="M785" s="13">
        <f>PRODUCT(orders!$E785,orders!$L785)</f>
        <v>43.650000000000006</v>
      </c>
      <c r="N785" s="18" t="str">
        <f t="shared" si="24"/>
        <v>April</v>
      </c>
      <c r="O785" s="18">
        <f t="shared" si="25"/>
        <v>2021</v>
      </c>
      <c r="P785" s="11" t="str">
        <f>TEXT(orders!$B785, "DDD")</f>
        <v>Mon</v>
      </c>
      <c r="Q785" s="11" t="str">
        <f>VLOOKUP(orders!C785,[1]customers!$A$1:$I$1001, 6,FALSE)</f>
        <v>Tampa</v>
      </c>
    </row>
    <row r="786" spans="1:17" x14ac:dyDescent="0.3">
      <c r="A786" s="7" t="s">
        <v>1538</v>
      </c>
      <c r="B786" s="8">
        <v>44511</v>
      </c>
      <c r="C786" s="9" t="s">
        <v>1539</v>
      </c>
      <c r="D786" s="10" t="s">
        <v>149</v>
      </c>
      <c r="E786" s="9">
        <v>2</v>
      </c>
      <c r="F786" s="9" t="str">
        <f>VLOOKUP(C786,[1]customers!$A$1:$I$1001, 2, FALSE)</f>
        <v>Graeme Whitehead</v>
      </c>
      <c r="G786" s="9" t="str">
        <f>VLOOKUP(orders!C786,[1]customers!$A$1:$I$1001, 3, FALSE)</f>
        <v>gwhiteheadls@hp.com</v>
      </c>
      <c r="H786" s="9" t="str">
        <f>VLOOKUP(C786, [1]customers!$A$1:$I$1001, 7, FALSE)</f>
        <v>United States</v>
      </c>
      <c r="I786" s="11" t="str">
        <f>VLOOKUP(orders!D786,[1]products!$A$1:$G$49, 2,FALSE)</f>
        <v>Lib</v>
      </c>
      <c r="J786" s="11" t="str">
        <f>VLOOKUP(orders!D786,[1]products!$A$1:$G$49, 3,FALSE)</f>
        <v>L</v>
      </c>
      <c r="K786" s="12">
        <f>VLOOKUP(orders!D786,[1]products!$A$1:$G$49, 4,FALSE)</f>
        <v>1</v>
      </c>
      <c r="L786" s="12">
        <f>VLOOKUP(orders!D786,[1]products!$A$1:$G$49, 5,FALSE)</f>
        <v>15.85</v>
      </c>
      <c r="M786" s="13">
        <f>PRODUCT(orders!$E786,orders!$L786)</f>
        <v>31.7</v>
      </c>
      <c r="N786" s="11" t="str">
        <f t="shared" si="24"/>
        <v>November</v>
      </c>
      <c r="O786" s="11">
        <f t="shared" si="25"/>
        <v>2021</v>
      </c>
      <c r="P786" s="11" t="str">
        <f>TEXT(orders!$B786, "DDD")</f>
        <v>Thu</v>
      </c>
      <c r="Q786" s="11" t="str">
        <f>VLOOKUP(orders!C786,[1]customers!$A$1:$I$1001, 6,FALSE)</f>
        <v>Nashville</v>
      </c>
    </row>
    <row r="787" spans="1:17" x14ac:dyDescent="0.3">
      <c r="A787" s="14" t="s">
        <v>1540</v>
      </c>
      <c r="B787" s="15">
        <v>44362</v>
      </c>
      <c r="C787" s="16" t="s">
        <v>1541</v>
      </c>
      <c r="D787" s="17" t="s">
        <v>135</v>
      </c>
      <c r="E787" s="16">
        <v>1</v>
      </c>
      <c r="F787" s="9" t="str">
        <f>VLOOKUP(C787,[1]customers!$A$1:$I$1001, 2, FALSE)</f>
        <v>Haslett Jodrelle</v>
      </c>
      <c r="G787" s="16" t="str">
        <f>VLOOKUP(orders!C787,[1]customers!$A$1:$I$1001, 3, FALSE)</f>
        <v>hjodrellelt@samsung.com</v>
      </c>
      <c r="H787" s="16" t="str">
        <f>VLOOKUP(C787, [1]customers!$A$1:$I$1001, 7, FALSE)</f>
        <v>United States</v>
      </c>
      <c r="I787" s="18" t="str">
        <f>VLOOKUP(orders!D787,[1]products!$A$1:$G$49, 2,FALSE)</f>
        <v>Ara</v>
      </c>
      <c r="J787" s="18" t="str">
        <f>VLOOKUP(orders!D787,[1]products!$A$1:$G$49, 3,FALSE)</f>
        <v>D</v>
      </c>
      <c r="K787" s="19">
        <f>VLOOKUP(orders!D787,[1]products!$A$1:$G$49, 4,FALSE)</f>
        <v>2.5</v>
      </c>
      <c r="L787" s="19">
        <f>VLOOKUP(orders!D787,[1]products!$A$1:$G$49, 5,FALSE)</f>
        <v>22.884999999999998</v>
      </c>
      <c r="M787" s="13">
        <f>PRODUCT(orders!$E787,orders!$L787)</f>
        <v>22.884999999999998</v>
      </c>
      <c r="N787" s="18" t="str">
        <f t="shared" si="24"/>
        <v>June</v>
      </c>
      <c r="O787" s="18">
        <f t="shared" si="25"/>
        <v>2021</v>
      </c>
      <c r="P787" s="11" t="str">
        <f>TEXT(orders!$B787, "DDD")</f>
        <v>Tue</v>
      </c>
      <c r="Q787" s="11" t="str">
        <f>VLOOKUP(orders!C787,[1]customers!$A$1:$I$1001, 6,FALSE)</f>
        <v>Miami</v>
      </c>
    </row>
    <row r="788" spans="1:17" x14ac:dyDescent="0.3">
      <c r="A788" s="7" t="s">
        <v>1542</v>
      </c>
      <c r="B788" s="8">
        <v>43888</v>
      </c>
      <c r="C788" s="9" t="s">
        <v>1527</v>
      </c>
      <c r="D788" s="10" t="s">
        <v>547</v>
      </c>
      <c r="E788" s="9">
        <v>1</v>
      </c>
      <c r="F788" s="9" t="str">
        <f>VLOOKUP(C788,[1]customers!$A$1:$I$1001, 2, FALSE)</f>
        <v>Cam Jewster</v>
      </c>
      <c r="G788" s="9" t="str">
        <f>VLOOKUP(orders!C788,[1]customers!$A$1:$I$1001, 3, FALSE)</f>
        <v>cjewsterlu@moonfruit.com</v>
      </c>
      <c r="H788" s="9" t="str">
        <f>VLOOKUP(C788, [1]customers!$A$1:$I$1001, 7, FALSE)</f>
        <v>United States</v>
      </c>
      <c r="I788" s="11" t="str">
        <f>VLOOKUP(orders!D788,[1]products!$A$1:$G$49, 2,FALSE)</f>
        <v>Exc</v>
      </c>
      <c r="J788" s="11" t="str">
        <f>VLOOKUP(orders!D788,[1]products!$A$1:$G$49, 3,FALSE)</f>
        <v>D</v>
      </c>
      <c r="K788" s="12">
        <f>VLOOKUP(orders!D788,[1]products!$A$1:$G$49, 4,FALSE)</f>
        <v>2.5</v>
      </c>
      <c r="L788" s="12">
        <f>VLOOKUP(orders!D788,[1]products!$A$1:$G$49, 5,FALSE)</f>
        <v>27.945</v>
      </c>
      <c r="M788" s="13">
        <f>PRODUCT(orders!$E788,orders!$L788)</f>
        <v>27.945</v>
      </c>
      <c r="N788" s="11" t="str">
        <f t="shared" si="24"/>
        <v>February</v>
      </c>
      <c r="O788" s="11">
        <f t="shared" si="25"/>
        <v>2020</v>
      </c>
      <c r="P788" s="11" t="str">
        <f>TEXT(orders!$B788, "DDD")</f>
        <v>Thu</v>
      </c>
      <c r="Q788" s="11" t="str">
        <f>VLOOKUP(orders!C788,[1]customers!$A$1:$I$1001, 6,FALSE)</f>
        <v>Dayton</v>
      </c>
    </row>
    <row r="789" spans="1:17" x14ac:dyDescent="0.3">
      <c r="A789" s="14" t="s">
        <v>1543</v>
      </c>
      <c r="B789" s="15">
        <v>44305</v>
      </c>
      <c r="C789" s="16" t="s">
        <v>1544</v>
      </c>
      <c r="D789" s="17" t="s">
        <v>26</v>
      </c>
      <c r="E789" s="16">
        <v>6</v>
      </c>
      <c r="F789" s="9" t="str">
        <f>VLOOKUP(C789,[1]customers!$A$1:$I$1001, 2, FALSE)</f>
        <v>Beryl Osborn</v>
      </c>
      <c r="G789" s="16">
        <f>VLOOKUP(orders!C789,[1]customers!$A$1:$I$1001, 3, FALSE)</f>
        <v>0</v>
      </c>
      <c r="H789" s="16" t="str">
        <f>VLOOKUP(C789, [1]customers!$A$1:$I$1001, 7, FALSE)</f>
        <v>United States</v>
      </c>
      <c r="I789" s="18" t="str">
        <f>VLOOKUP(orders!D789,[1]products!$A$1:$G$49, 2,FALSE)</f>
        <v>Exc</v>
      </c>
      <c r="J789" s="18" t="str">
        <f>VLOOKUP(orders!D789,[1]products!$A$1:$G$49, 3,FALSE)</f>
        <v>M</v>
      </c>
      <c r="K789" s="19">
        <f>VLOOKUP(orders!D789,[1]products!$A$1:$G$49, 4,FALSE)</f>
        <v>1</v>
      </c>
      <c r="L789" s="19">
        <f>VLOOKUP(orders!D789,[1]products!$A$1:$G$49, 5,FALSE)</f>
        <v>13.75</v>
      </c>
      <c r="M789" s="13">
        <f>PRODUCT(orders!$E789,orders!$L789)</f>
        <v>82.5</v>
      </c>
      <c r="N789" s="18" t="str">
        <f t="shared" si="24"/>
        <v>April</v>
      </c>
      <c r="O789" s="18">
        <f t="shared" si="25"/>
        <v>2021</v>
      </c>
      <c r="P789" s="11" t="str">
        <f>TEXT(orders!$B789, "DDD")</f>
        <v>Mon</v>
      </c>
      <c r="Q789" s="11" t="str">
        <f>VLOOKUP(orders!C789,[1]customers!$A$1:$I$1001, 6,FALSE)</f>
        <v>Chicago</v>
      </c>
    </row>
    <row r="790" spans="1:17" x14ac:dyDescent="0.3">
      <c r="A790" s="7" t="s">
        <v>1545</v>
      </c>
      <c r="B790" s="8">
        <v>44771</v>
      </c>
      <c r="C790" s="9" t="s">
        <v>1546</v>
      </c>
      <c r="D790" s="10" t="s">
        <v>58</v>
      </c>
      <c r="E790" s="9">
        <v>2</v>
      </c>
      <c r="F790" s="9" t="str">
        <f>VLOOKUP(C790,[1]customers!$A$1:$I$1001, 2, FALSE)</f>
        <v>Kaela Nottram</v>
      </c>
      <c r="G790" s="9" t="str">
        <f>VLOOKUP(orders!C790,[1]customers!$A$1:$I$1001, 3, FALSE)</f>
        <v>knottramlw@odnoklassniki.ru</v>
      </c>
      <c r="H790" s="9" t="str">
        <f>VLOOKUP(C790, [1]customers!$A$1:$I$1001, 7, FALSE)</f>
        <v>Ireland</v>
      </c>
      <c r="I790" s="11" t="str">
        <f>VLOOKUP(orders!D790,[1]products!$A$1:$G$49, 2,FALSE)</f>
        <v>Rob</v>
      </c>
      <c r="J790" s="11" t="str">
        <f>VLOOKUP(orders!D790,[1]products!$A$1:$G$49, 3,FALSE)</f>
        <v>M</v>
      </c>
      <c r="K790" s="12">
        <f>VLOOKUP(orders!D790,[1]products!$A$1:$G$49, 4,FALSE)</f>
        <v>2.5</v>
      </c>
      <c r="L790" s="12">
        <f>VLOOKUP(orders!D790,[1]products!$A$1:$G$49, 5,FALSE)</f>
        <v>22.884999999999998</v>
      </c>
      <c r="M790" s="13">
        <f>PRODUCT(orders!$E790,orders!$L790)</f>
        <v>45.769999999999996</v>
      </c>
      <c r="N790" s="11" t="str">
        <f t="shared" si="24"/>
        <v>July</v>
      </c>
      <c r="O790" s="11">
        <f t="shared" si="25"/>
        <v>2022</v>
      </c>
      <c r="P790" s="11" t="str">
        <f>TEXT(orders!$B790, "DDD")</f>
        <v>Fri</v>
      </c>
      <c r="Q790" s="11" t="str">
        <f>VLOOKUP(orders!C790,[1]customers!$A$1:$I$1001, 6,FALSE)</f>
        <v>Arklow</v>
      </c>
    </row>
    <row r="791" spans="1:17" x14ac:dyDescent="0.3">
      <c r="A791" s="14" t="s">
        <v>1547</v>
      </c>
      <c r="B791" s="15">
        <v>43485</v>
      </c>
      <c r="C791" s="16" t="s">
        <v>1548</v>
      </c>
      <c r="D791" s="17" t="s">
        <v>23</v>
      </c>
      <c r="E791" s="16">
        <v>6</v>
      </c>
      <c r="F791" s="9" t="str">
        <f>VLOOKUP(C791,[1]customers!$A$1:$I$1001, 2, FALSE)</f>
        <v>Nobe Buney</v>
      </c>
      <c r="G791" s="16" t="str">
        <f>VLOOKUP(orders!C791,[1]customers!$A$1:$I$1001, 3, FALSE)</f>
        <v>nbuneylx@jugem.jp</v>
      </c>
      <c r="H791" s="16" t="str">
        <f>VLOOKUP(C791, [1]customers!$A$1:$I$1001, 7, FALSE)</f>
        <v>United States</v>
      </c>
      <c r="I791" s="18" t="str">
        <f>VLOOKUP(orders!D791,[1]products!$A$1:$G$49, 2,FALSE)</f>
        <v>Ara</v>
      </c>
      <c r="J791" s="18" t="str">
        <f>VLOOKUP(orders!D791,[1]products!$A$1:$G$49, 3,FALSE)</f>
        <v>L</v>
      </c>
      <c r="K791" s="19">
        <f>VLOOKUP(orders!D791,[1]products!$A$1:$G$49, 4,FALSE)</f>
        <v>1</v>
      </c>
      <c r="L791" s="19">
        <f>VLOOKUP(orders!D791,[1]products!$A$1:$G$49, 5,FALSE)</f>
        <v>12.95</v>
      </c>
      <c r="M791" s="13">
        <f>PRODUCT(orders!$E791,orders!$L791)</f>
        <v>77.699999999999989</v>
      </c>
      <c r="N791" s="18" t="str">
        <f t="shared" si="24"/>
        <v>January</v>
      </c>
      <c r="O791" s="18">
        <f t="shared" si="25"/>
        <v>2019</v>
      </c>
      <c r="P791" s="11" t="str">
        <f>TEXT(orders!$B791, "DDD")</f>
        <v>Sun</v>
      </c>
      <c r="Q791" s="11" t="str">
        <f>VLOOKUP(orders!C791,[1]customers!$A$1:$I$1001, 6,FALSE)</f>
        <v>Richmond</v>
      </c>
    </row>
    <row r="792" spans="1:17" x14ac:dyDescent="0.3">
      <c r="A792" s="7" t="s">
        <v>1549</v>
      </c>
      <c r="B792" s="8">
        <v>44613</v>
      </c>
      <c r="C792" s="9" t="s">
        <v>1550</v>
      </c>
      <c r="D792" s="10" t="s">
        <v>209</v>
      </c>
      <c r="E792" s="9">
        <v>3</v>
      </c>
      <c r="F792" s="9" t="str">
        <f>VLOOKUP(C792,[1]customers!$A$1:$I$1001, 2, FALSE)</f>
        <v>Silvan McShea</v>
      </c>
      <c r="G792" s="9" t="str">
        <f>VLOOKUP(orders!C792,[1]customers!$A$1:$I$1001, 3, FALSE)</f>
        <v>smcshealy@photobucket.com</v>
      </c>
      <c r="H792" s="9" t="str">
        <f>VLOOKUP(C792, [1]customers!$A$1:$I$1001, 7, FALSE)</f>
        <v>United States</v>
      </c>
      <c r="I792" s="11" t="str">
        <f>VLOOKUP(orders!D792,[1]products!$A$1:$G$49, 2,FALSE)</f>
        <v>Ara</v>
      </c>
      <c r="J792" s="11" t="str">
        <f>VLOOKUP(orders!D792,[1]products!$A$1:$G$49, 3,FALSE)</f>
        <v>L</v>
      </c>
      <c r="K792" s="12">
        <f>VLOOKUP(orders!D792,[1]products!$A$1:$G$49, 4,FALSE)</f>
        <v>0.5</v>
      </c>
      <c r="L792" s="12">
        <f>VLOOKUP(orders!D792,[1]products!$A$1:$G$49, 5,FALSE)</f>
        <v>7.77</v>
      </c>
      <c r="M792" s="13">
        <f>PRODUCT(orders!$E792,orders!$L792)</f>
        <v>23.31</v>
      </c>
      <c r="N792" s="11" t="str">
        <f t="shared" si="24"/>
        <v>February</v>
      </c>
      <c r="O792" s="11">
        <f t="shared" si="25"/>
        <v>2022</v>
      </c>
      <c r="P792" s="11" t="str">
        <f>TEXT(orders!$B792, "DDD")</f>
        <v>Mon</v>
      </c>
      <c r="Q792" s="11" t="str">
        <f>VLOOKUP(orders!C792,[1]customers!$A$1:$I$1001, 6,FALSE)</f>
        <v>Olympia</v>
      </c>
    </row>
    <row r="793" spans="1:17" x14ac:dyDescent="0.3">
      <c r="A793" s="14" t="s">
        <v>1551</v>
      </c>
      <c r="B793" s="15">
        <v>43954</v>
      </c>
      <c r="C793" s="16" t="s">
        <v>1552</v>
      </c>
      <c r="D793" s="17" t="s">
        <v>36</v>
      </c>
      <c r="E793" s="16">
        <v>5</v>
      </c>
      <c r="F793" s="9" t="str">
        <f>VLOOKUP(C793,[1]customers!$A$1:$I$1001, 2, FALSE)</f>
        <v>Karylin Huddart</v>
      </c>
      <c r="G793" s="16" t="str">
        <f>VLOOKUP(orders!C793,[1]customers!$A$1:$I$1001, 3, FALSE)</f>
        <v>khuddartlz@about.com</v>
      </c>
      <c r="H793" s="16" t="str">
        <f>VLOOKUP(C793, [1]customers!$A$1:$I$1001, 7, FALSE)</f>
        <v>United States</v>
      </c>
      <c r="I793" s="18" t="str">
        <f>VLOOKUP(orders!D793,[1]products!$A$1:$G$49, 2,FALSE)</f>
        <v>Lib</v>
      </c>
      <c r="J793" s="18" t="str">
        <f>VLOOKUP(orders!D793,[1]products!$A$1:$G$49, 3,FALSE)</f>
        <v>L</v>
      </c>
      <c r="K793" s="19">
        <f>VLOOKUP(orders!D793,[1]products!$A$1:$G$49, 4,FALSE)</f>
        <v>0.2</v>
      </c>
      <c r="L793" s="19">
        <f>VLOOKUP(orders!D793,[1]products!$A$1:$G$49, 5,FALSE)</f>
        <v>4.7549999999999999</v>
      </c>
      <c r="M793" s="13">
        <f>PRODUCT(orders!$E793,orders!$L793)</f>
        <v>23.774999999999999</v>
      </c>
      <c r="N793" s="18" t="str">
        <f t="shared" si="24"/>
        <v>May</v>
      </c>
      <c r="O793" s="18">
        <f t="shared" si="25"/>
        <v>2020</v>
      </c>
      <c r="P793" s="11" t="str">
        <f>TEXT(orders!$B793, "DDD")</f>
        <v>Sun</v>
      </c>
      <c r="Q793" s="11" t="str">
        <f>VLOOKUP(orders!C793,[1]customers!$A$1:$I$1001, 6,FALSE)</f>
        <v>Arlington</v>
      </c>
    </row>
    <row r="794" spans="1:17" x14ac:dyDescent="0.3">
      <c r="A794" s="7" t="s">
        <v>1553</v>
      </c>
      <c r="B794" s="8">
        <v>43545</v>
      </c>
      <c r="C794" s="9" t="s">
        <v>1554</v>
      </c>
      <c r="D794" s="10" t="s">
        <v>95</v>
      </c>
      <c r="E794" s="9">
        <v>6</v>
      </c>
      <c r="F794" s="9" t="str">
        <f>VLOOKUP(C794,[1]customers!$A$1:$I$1001, 2, FALSE)</f>
        <v>Jereme Gippes</v>
      </c>
      <c r="G794" s="9" t="str">
        <f>VLOOKUP(orders!C794,[1]customers!$A$1:$I$1001, 3, FALSE)</f>
        <v>jgippesm0@cloudflare.com</v>
      </c>
      <c r="H794" s="9" t="str">
        <f>VLOOKUP(C794, [1]customers!$A$1:$I$1001, 7, FALSE)</f>
        <v>United Kingdom</v>
      </c>
      <c r="I794" s="11" t="str">
        <f>VLOOKUP(orders!D794,[1]products!$A$1:$G$49, 2,FALSE)</f>
        <v>Lib</v>
      </c>
      <c r="J794" s="11" t="str">
        <f>VLOOKUP(orders!D794,[1]products!$A$1:$G$49, 3,FALSE)</f>
        <v>M</v>
      </c>
      <c r="K794" s="12">
        <f>VLOOKUP(orders!D794,[1]products!$A$1:$G$49, 4,FALSE)</f>
        <v>0.5</v>
      </c>
      <c r="L794" s="12">
        <f>VLOOKUP(orders!D794,[1]products!$A$1:$G$49, 5,FALSE)</f>
        <v>8.73</v>
      </c>
      <c r="M794" s="13">
        <f>PRODUCT(orders!$E794,orders!$L794)</f>
        <v>52.38</v>
      </c>
      <c r="N794" s="11" t="str">
        <f t="shared" si="24"/>
        <v>March</v>
      </c>
      <c r="O794" s="11">
        <f t="shared" si="25"/>
        <v>2019</v>
      </c>
      <c r="P794" s="11" t="str">
        <f>TEXT(orders!$B794, "DDD")</f>
        <v>Thu</v>
      </c>
      <c r="Q794" s="11" t="str">
        <f>VLOOKUP(orders!C794,[1]customers!$A$1:$I$1001, 6,FALSE)</f>
        <v>Twyford</v>
      </c>
    </row>
    <row r="795" spans="1:17" x14ac:dyDescent="0.3">
      <c r="A795" s="14" t="s">
        <v>1555</v>
      </c>
      <c r="B795" s="15">
        <v>43629</v>
      </c>
      <c r="C795" s="16" t="s">
        <v>1556</v>
      </c>
      <c r="D795" s="17" t="s">
        <v>199</v>
      </c>
      <c r="E795" s="16">
        <v>5</v>
      </c>
      <c r="F795" s="9" t="str">
        <f>VLOOKUP(C795,[1]customers!$A$1:$I$1001, 2, FALSE)</f>
        <v>Lukas Whittlesee</v>
      </c>
      <c r="G795" s="16" t="str">
        <f>VLOOKUP(orders!C795,[1]customers!$A$1:$I$1001, 3, FALSE)</f>
        <v>lwhittleseem1@e-recht24.de</v>
      </c>
      <c r="H795" s="16" t="str">
        <f>VLOOKUP(C795, [1]customers!$A$1:$I$1001, 7, FALSE)</f>
        <v>United States</v>
      </c>
      <c r="I795" s="18" t="str">
        <f>VLOOKUP(orders!D795,[1]products!$A$1:$G$49, 2,FALSE)</f>
        <v>Rob</v>
      </c>
      <c r="J795" s="18" t="str">
        <f>VLOOKUP(orders!D795,[1]products!$A$1:$G$49, 3,FALSE)</f>
        <v>L</v>
      </c>
      <c r="K795" s="19">
        <f>VLOOKUP(orders!D795,[1]products!$A$1:$G$49, 4,FALSE)</f>
        <v>0.2</v>
      </c>
      <c r="L795" s="19">
        <f>VLOOKUP(orders!D795,[1]products!$A$1:$G$49, 5,FALSE)</f>
        <v>3.5849999999999995</v>
      </c>
      <c r="M795" s="13">
        <f>PRODUCT(orders!$E795,orders!$L795)</f>
        <v>17.924999999999997</v>
      </c>
      <c r="N795" s="18" t="str">
        <f t="shared" si="24"/>
        <v>June</v>
      </c>
      <c r="O795" s="18">
        <f t="shared" si="25"/>
        <v>2019</v>
      </c>
      <c r="P795" s="11" t="str">
        <f>TEXT(orders!$B795, "DDD")</f>
        <v>Thu</v>
      </c>
      <c r="Q795" s="11" t="str">
        <f>VLOOKUP(orders!C795,[1]customers!$A$1:$I$1001, 6,FALSE)</f>
        <v>Roanoke</v>
      </c>
    </row>
    <row r="796" spans="1:17" x14ac:dyDescent="0.3">
      <c r="A796" s="7" t="s">
        <v>1557</v>
      </c>
      <c r="B796" s="8">
        <v>43987</v>
      </c>
      <c r="C796" s="9" t="s">
        <v>1558</v>
      </c>
      <c r="D796" s="10" t="s">
        <v>221</v>
      </c>
      <c r="E796" s="9">
        <v>5</v>
      </c>
      <c r="F796" s="9" t="str">
        <f>VLOOKUP(C796,[1]customers!$A$1:$I$1001, 2, FALSE)</f>
        <v>Gregorius Trengrove</v>
      </c>
      <c r="G796" s="9" t="str">
        <f>VLOOKUP(orders!C796,[1]customers!$A$1:$I$1001, 3, FALSE)</f>
        <v>gtrengrovem2@elpais.com</v>
      </c>
      <c r="H796" s="9" t="str">
        <f>VLOOKUP(C796, [1]customers!$A$1:$I$1001, 7, FALSE)</f>
        <v>United States</v>
      </c>
      <c r="I796" s="11" t="str">
        <f>VLOOKUP(orders!D796,[1]products!$A$1:$G$49, 2,FALSE)</f>
        <v>Ara</v>
      </c>
      <c r="J796" s="11" t="str">
        <f>VLOOKUP(orders!D796,[1]products!$A$1:$G$49, 3,FALSE)</f>
        <v>L</v>
      </c>
      <c r="K796" s="12">
        <f>VLOOKUP(orders!D796,[1]products!$A$1:$G$49, 4,FALSE)</f>
        <v>2.5</v>
      </c>
      <c r="L796" s="12">
        <f>VLOOKUP(orders!D796,[1]products!$A$1:$G$49, 5,FALSE)</f>
        <v>29.784999999999997</v>
      </c>
      <c r="M796" s="13">
        <f>PRODUCT(orders!$E796,orders!$L796)</f>
        <v>148.92499999999998</v>
      </c>
      <c r="N796" s="11" t="str">
        <f t="shared" si="24"/>
        <v>June</v>
      </c>
      <c r="O796" s="11">
        <f t="shared" si="25"/>
        <v>2020</v>
      </c>
      <c r="P796" s="11" t="str">
        <f>TEXT(orders!$B796, "DDD")</f>
        <v>Fri</v>
      </c>
      <c r="Q796" s="11" t="str">
        <f>VLOOKUP(orders!C796,[1]customers!$A$1:$I$1001, 6,FALSE)</f>
        <v>New Hyde Park</v>
      </c>
    </row>
    <row r="797" spans="1:17" x14ac:dyDescent="0.3">
      <c r="A797" s="14" t="s">
        <v>1559</v>
      </c>
      <c r="B797" s="15">
        <v>43540</v>
      </c>
      <c r="C797" s="16" t="s">
        <v>1560</v>
      </c>
      <c r="D797" s="17" t="s">
        <v>174</v>
      </c>
      <c r="E797" s="16">
        <v>4</v>
      </c>
      <c r="F797" s="9" t="str">
        <f>VLOOKUP(C797,[1]customers!$A$1:$I$1001, 2, FALSE)</f>
        <v>Wright Caldero</v>
      </c>
      <c r="G797" s="16" t="str">
        <f>VLOOKUP(orders!C797,[1]customers!$A$1:$I$1001, 3, FALSE)</f>
        <v>wcalderom3@stumbleupon.com</v>
      </c>
      <c r="H797" s="16" t="str">
        <f>VLOOKUP(C797, [1]customers!$A$1:$I$1001, 7, FALSE)</f>
        <v>United States</v>
      </c>
      <c r="I797" s="18" t="str">
        <f>VLOOKUP(orders!D797,[1]products!$A$1:$G$49, 2,FALSE)</f>
        <v>Rob</v>
      </c>
      <c r="J797" s="18" t="str">
        <f>VLOOKUP(orders!D797,[1]products!$A$1:$G$49, 3,FALSE)</f>
        <v>L</v>
      </c>
      <c r="K797" s="19">
        <f>VLOOKUP(orders!D797,[1]products!$A$1:$G$49, 4,FALSE)</f>
        <v>0.5</v>
      </c>
      <c r="L797" s="19">
        <f>VLOOKUP(orders!D797,[1]products!$A$1:$G$49, 5,FALSE)</f>
        <v>7.169999999999999</v>
      </c>
      <c r="M797" s="13">
        <f>PRODUCT(orders!$E797,orders!$L797)</f>
        <v>28.679999999999996</v>
      </c>
      <c r="N797" s="18" t="str">
        <f t="shared" si="24"/>
        <v>March</v>
      </c>
      <c r="O797" s="18">
        <f t="shared" si="25"/>
        <v>2019</v>
      </c>
      <c r="P797" s="11" t="str">
        <f>TEXT(orders!$B797, "DDD")</f>
        <v>Sat</v>
      </c>
      <c r="Q797" s="11" t="str">
        <f>VLOOKUP(orders!C797,[1]customers!$A$1:$I$1001, 6,FALSE)</f>
        <v>Anaheim</v>
      </c>
    </row>
    <row r="798" spans="1:17" x14ac:dyDescent="0.3">
      <c r="A798" s="7" t="s">
        <v>1561</v>
      </c>
      <c r="B798" s="8">
        <v>44533</v>
      </c>
      <c r="C798" s="9" t="s">
        <v>1562</v>
      </c>
      <c r="D798" s="10" t="s">
        <v>100</v>
      </c>
      <c r="E798" s="9">
        <v>1</v>
      </c>
      <c r="F798" s="9" t="str">
        <f>VLOOKUP(C798,[1]customers!$A$1:$I$1001, 2, FALSE)</f>
        <v>Merell Zanazzi</v>
      </c>
      <c r="G798" s="9">
        <f>VLOOKUP(orders!C798,[1]customers!$A$1:$I$1001, 3, FALSE)</f>
        <v>0</v>
      </c>
      <c r="H798" s="9" t="str">
        <f>VLOOKUP(C798, [1]customers!$A$1:$I$1001, 7, FALSE)</f>
        <v>United States</v>
      </c>
      <c r="I798" s="11" t="str">
        <f>VLOOKUP(orders!D798,[1]products!$A$1:$G$49, 2,FALSE)</f>
        <v>Lib</v>
      </c>
      <c r="J798" s="11" t="str">
        <f>VLOOKUP(orders!D798,[1]products!$A$1:$G$49, 3,FALSE)</f>
        <v>L</v>
      </c>
      <c r="K798" s="12">
        <f>VLOOKUP(orders!D798,[1]products!$A$1:$G$49, 4,FALSE)</f>
        <v>0.5</v>
      </c>
      <c r="L798" s="12">
        <f>VLOOKUP(orders!D798,[1]products!$A$1:$G$49, 5,FALSE)</f>
        <v>9.51</v>
      </c>
      <c r="M798" s="13">
        <f>PRODUCT(orders!$E798,orders!$L798)</f>
        <v>9.51</v>
      </c>
      <c r="N798" s="11" t="str">
        <f t="shared" si="24"/>
        <v>December</v>
      </c>
      <c r="O798" s="11">
        <f t="shared" si="25"/>
        <v>2021</v>
      </c>
      <c r="P798" s="11" t="str">
        <f>TEXT(orders!$B798, "DDD")</f>
        <v>Fri</v>
      </c>
      <c r="Q798" s="11" t="str">
        <f>VLOOKUP(orders!C798,[1]customers!$A$1:$I$1001, 6,FALSE)</f>
        <v>Lexington</v>
      </c>
    </row>
    <row r="799" spans="1:17" x14ac:dyDescent="0.3">
      <c r="A799" s="14" t="s">
        <v>1563</v>
      </c>
      <c r="B799" s="15">
        <v>44751</v>
      </c>
      <c r="C799" s="16" t="s">
        <v>1564</v>
      </c>
      <c r="D799" s="17" t="s">
        <v>209</v>
      </c>
      <c r="E799" s="16">
        <v>4</v>
      </c>
      <c r="F799" s="9" t="str">
        <f>VLOOKUP(C799,[1]customers!$A$1:$I$1001, 2, FALSE)</f>
        <v>Jed Kennicott</v>
      </c>
      <c r="G799" s="16" t="str">
        <f>VLOOKUP(orders!C799,[1]customers!$A$1:$I$1001, 3, FALSE)</f>
        <v>jkennicottm5@yahoo.co.jp</v>
      </c>
      <c r="H799" s="16" t="str">
        <f>VLOOKUP(C799, [1]customers!$A$1:$I$1001, 7, FALSE)</f>
        <v>United States</v>
      </c>
      <c r="I799" s="18" t="str">
        <f>VLOOKUP(orders!D799,[1]products!$A$1:$G$49, 2,FALSE)</f>
        <v>Ara</v>
      </c>
      <c r="J799" s="18" t="str">
        <f>VLOOKUP(orders!D799,[1]products!$A$1:$G$49, 3,FALSE)</f>
        <v>L</v>
      </c>
      <c r="K799" s="19">
        <f>VLOOKUP(orders!D799,[1]products!$A$1:$G$49, 4,FALSE)</f>
        <v>0.5</v>
      </c>
      <c r="L799" s="19">
        <f>VLOOKUP(orders!D799,[1]products!$A$1:$G$49, 5,FALSE)</f>
        <v>7.77</v>
      </c>
      <c r="M799" s="13">
        <f>PRODUCT(orders!$E799,orders!$L799)</f>
        <v>31.08</v>
      </c>
      <c r="N799" s="18" t="str">
        <f t="shared" si="24"/>
        <v>July</v>
      </c>
      <c r="O799" s="18">
        <f t="shared" si="25"/>
        <v>2022</v>
      </c>
      <c r="P799" s="11" t="str">
        <f>TEXT(orders!$B799, "DDD")</f>
        <v>Sat</v>
      </c>
      <c r="Q799" s="11" t="str">
        <f>VLOOKUP(orders!C799,[1]customers!$A$1:$I$1001, 6,FALSE)</f>
        <v>Tampa</v>
      </c>
    </row>
    <row r="800" spans="1:17" x14ac:dyDescent="0.3">
      <c r="A800" s="7" t="s">
        <v>1565</v>
      </c>
      <c r="B800" s="8">
        <v>43950</v>
      </c>
      <c r="C800" s="9" t="s">
        <v>1566</v>
      </c>
      <c r="D800" s="10" t="s">
        <v>118</v>
      </c>
      <c r="E800" s="9">
        <v>3</v>
      </c>
      <c r="F800" s="9" t="str">
        <f>VLOOKUP(C800,[1]customers!$A$1:$I$1001, 2, FALSE)</f>
        <v>Guenevere Ruggen</v>
      </c>
      <c r="G800" s="9" t="str">
        <f>VLOOKUP(orders!C800,[1]customers!$A$1:$I$1001, 3, FALSE)</f>
        <v>gruggenm6@nymag.com</v>
      </c>
      <c r="H800" s="9" t="str">
        <f>VLOOKUP(C800, [1]customers!$A$1:$I$1001, 7, FALSE)</f>
        <v>United States</v>
      </c>
      <c r="I800" s="11" t="str">
        <f>VLOOKUP(orders!D800,[1]products!$A$1:$G$49, 2,FALSE)</f>
        <v>Rob</v>
      </c>
      <c r="J800" s="11" t="str">
        <f>VLOOKUP(orders!D800,[1]products!$A$1:$G$49, 3,FALSE)</f>
        <v>D</v>
      </c>
      <c r="K800" s="12">
        <f>VLOOKUP(orders!D800,[1]products!$A$1:$G$49, 4,FALSE)</f>
        <v>0.2</v>
      </c>
      <c r="L800" s="12">
        <f>VLOOKUP(orders!D800,[1]products!$A$1:$G$49, 5,FALSE)</f>
        <v>2.6849999999999996</v>
      </c>
      <c r="M800" s="13">
        <f>PRODUCT(orders!$E800,orders!$L800)</f>
        <v>8.0549999999999997</v>
      </c>
      <c r="N800" s="11" t="str">
        <f t="shared" si="24"/>
        <v>April</v>
      </c>
      <c r="O800" s="11">
        <f t="shared" si="25"/>
        <v>2020</v>
      </c>
      <c r="P800" s="11" t="str">
        <f>TEXT(orders!$B800, "DDD")</f>
        <v>Wed</v>
      </c>
      <c r="Q800" s="11" t="str">
        <f>VLOOKUP(orders!C800,[1]customers!$A$1:$I$1001, 6,FALSE)</f>
        <v>San Jose</v>
      </c>
    </row>
    <row r="801" spans="1:17" x14ac:dyDescent="0.3">
      <c r="A801" s="14" t="s">
        <v>1567</v>
      </c>
      <c r="B801" s="15">
        <v>44588</v>
      </c>
      <c r="C801" s="16" t="s">
        <v>1568</v>
      </c>
      <c r="D801" s="17" t="s">
        <v>262</v>
      </c>
      <c r="E801" s="16">
        <v>3</v>
      </c>
      <c r="F801" s="9" t="str">
        <f>VLOOKUP(C801,[1]customers!$A$1:$I$1001, 2, FALSE)</f>
        <v>Gonzales Cicculi</v>
      </c>
      <c r="G801" s="16">
        <f>VLOOKUP(orders!C801,[1]customers!$A$1:$I$1001, 3, FALSE)</f>
        <v>0</v>
      </c>
      <c r="H801" s="16" t="str">
        <f>VLOOKUP(C801, [1]customers!$A$1:$I$1001, 7, FALSE)</f>
        <v>United States</v>
      </c>
      <c r="I801" s="18" t="str">
        <f>VLOOKUP(orders!D801,[1]products!$A$1:$G$49, 2,FALSE)</f>
        <v>Exc</v>
      </c>
      <c r="J801" s="18" t="str">
        <f>VLOOKUP(orders!D801,[1]products!$A$1:$G$49, 3,FALSE)</f>
        <v>D</v>
      </c>
      <c r="K801" s="19">
        <f>VLOOKUP(orders!D801,[1]products!$A$1:$G$49, 4,FALSE)</f>
        <v>1</v>
      </c>
      <c r="L801" s="19">
        <f>VLOOKUP(orders!D801,[1]products!$A$1:$G$49, 5,FALSE)</f>
        <v>12.15</v>
      </c>
      <c r="M801" s="13">
        <f>PRODUCT(orders!$E801,orders!$L801)</f>
        <v>36.450000000000003</v>
      </c>
      <c r="N801" s="18" t="str">
        <f t="shared" si="24"/>
        <v>January</v>
      </c>
      <c r="O801" s="18">
        <f t="shared" si="25"/>
        <v>2022</v>
      </c>
      <c r="P801" s="11" t="str">
        <f>TEXT(orders!$B801, "DDD")</f>
        <v>Thu</v>
      </c>
      <c r="Q801" s="11" t="str">
        <f>VLOOKUP(orders!C801,[1]customers!$A$1:$I$1001, 6,FALSE)</f>
        <v>Washington</v>
      </c>
    </row>
    <row r="802" spans="1:17" x14ac:dyDescent="0.3">
      <c r="A802" s="7" t="s">
        <v>1569</v>
      </c>
      <c r="B802" s="8">
        <v>44240</v>
      </c>
      <c r="C802" s="9" t="s">
        <v>1570</v>
      </c>
      <c r="D802" s="10" t="s">
        <v>118</v>
      </c>
      <c r="E802" s="9">
        <v>6</v>
      </c>
      <c r="F802" s="9" t="str">
        <f>VLOOKUP(C802,[1]customers!$A$1:$I$1001, 2, FALSE)</f>
        <v>Man Fright</v>
      </c>
      <c r="G802" s="9" t="str">
        <f>VLOOKUP(orders!C802,[1]customers!$A$1:$I$1001, 3, FALSE)</f>
        <v>mfrightm8@harvard.edu</v>
      </c>
      <c r="H802" s="9" t="str">
        <f>VLOOKUP(C802, [1]customers!$A$1:$I$1001, 7, FALSE)</f>
        <v>Ireland</v>
      </c>
      <c r="I802" s="11" t="str">
        <f>VLOOKUP(orders!D802,[1]products!$A$1:$G$49, 2,FALSE)</f>
        <v>Rob</v>
      </c>
      <c r="J802" s="11" t="str">
        <f>VLOOKUP(orders!D802,[1]products!$A$1:$G$49, 3,FALSE)</f>
        <v>D</v>
      </c>
      <c r="K802" s="12">
        <f>VLOOKUP(orders!D802,[1]products!$A$1:$G$49, 4,FALSE)</f>
        <v>0.2</v>
      </c>
      <c r="L802" s="12">
        <f>VLOOKUP(orders!D802,[1]products!$A$1:$G$49, 5,FALSE)</f>
        <v>2.6849999999999996</v>
      </c>
      <c r="M802" s="13">
        <f>PRODUCT(orders!$E802,orders!$L802)</f>
        <v>16.11</v>
      </c>
      <c r="N802" s="11" t="str">
        <f t="shared" si="24"/>
        <v>February</v>
      </c>
      <c r="O802" s="11">
        <f t="shared" si="25"/>
        <v>2021</v>
      </c>
      <c r="P802" s="11" t="str">
        <f>TEXT(orders!$B802, "DDD")</f>
        <v>Sat</v>
      </c>
      <c r="Q802" s="11" t="str">
        <f>VLOOKUP(orders!C802,[1]customers!$A$1:$I$1001, 6,FALSE)</f>
        <v>Daingean</v>
      </c>
    </row>
    <row r="803" spans="1:17" x14ac:dyDescent="0.3">
      <c r="A803" s="14" t="s">
        <v>1571</v>
      </c>
      <c r="B803" s="15">
        <v>44025</v>
      </c>
      <c r="C803" s="16" t="s">
        <v>1572</v>
      </c>
      <c r="D803" s="17" t="s">
        <v>52</v>
      </c>
      <c r="E803" s="16">
        <v>2</v>
      </c>
      <c r="F803" s="9" t="str">
        <f>VLOOKUP(C803,[1]customers!$A$1:$I$1001, 2, FALSE)</f>
        <v>Boyce Tarte</v>
      </c>
      <c r="G803" s="16" t="str">
        <f>VLOOKUP(orders!C803,[1]customers!$A$1:$I$1001, 3, FALSE)</f>
        <v>btartem9@aol.com</v>
      </c>
      <c r="H803" s="16" t="str">
        <f>VLOOKUP(C803, [1]customers!$A$1:$I$1001, 7, FALSE)</f>
        <v>United States</v>
      </c>
      <c r="I803" s="18" t="str">
        <f>VLOOKUP(orders!D803,[1]products!$A$1:$G$49, 2,FALSE)</f>
        <v>Rob</v>
      </c>
      <c r="J803" s="18" t="str">
        <f>VLOOKUP(orders!D803,[1]products!$A$1:$G$49, 3,FALSE)</f>
        <v>D</v>
      </c>
      <c r="K803" s="19">
        <f>VLOOKUP(orders!D803,[1]products!$A$1:$G$49, 4,FALSE)</f>
        <v>2.5</v>
      </c>
      <c r="L803" s="19">
        <f>VLOOKUP(orders!D803,[1]products!$A$1:$G$49, 5,FALSE)</f>
        <v>20.584999999999997</v>
      </c>
      <c r="M803" s="13">
        <f>PRODUCT(orders!$E803,orders!$L803)</f>
        <v>41.169999999999995</v>
      </c>
      <c r="N803" s="18" t="str">
        <f t="shared" si="24"/>
        <v>July</v>
      </c>
      <c r="O803" s="18">
        <f t="shared" si="25"/>
        <v>2020</v>
      </c>
      <c r="P803" s="11" t="str">
        <f>TEXT(orders!$B803, "DDD")</f>
        <v>Mon</v>
      </c>
      <c r="Q803" s="11" t="str">
        <f>VLOOKUP(orders!C803,[1]customers!$A$1:$I$1001, 6,FALSE)</f>
        <v>Olympia</v>
      </c>
    </row>
    <row r="804" spans="1:17" x14ac:dyDescent="0.3">
      <c r="A804" s="7" t="s">
        <v>1573</v>
      </c>
      <c r="B804" s="8">
        <v>43902</v>
      </c>
      <c r="C804" s="9" t="s">
        <v>1574</v>
      </c>
      <c r="D804" s="10" t="s">
        <v>118</v>
      </c>
      <c r="E804" s="9">
        <v>4</v>
      </c>
      <c r="F804" s="9" t="str">
        <f>VLOOKUP(C804,[1]customers!$A$1:$I$1001, 2, FALSE)</f>
        <v>Caddric Krzysztofiak</v>
      </c>
      <c r="G804" s="9" t="str">
        <f>VLOOKUP(orders!C804,[1]customers!$A$1:$I$1001, 3, FALSE)</f>
        <v>ckrzysztofiakma@skyrock.com</v>
      </c>
      <c r="H804" s="9" t="str">
        <f>VLOOKUP(C804, [1]customers!$A$1:$I$1001, 7, FALSE)</f>
        <v>United States</v>
      </c>
      <c r="I804" s="11" t="str">
        <f>VLOOKUP(orders!D804,[1]products!$A$1:$G$49, 2,FALSE)</f>
        <v>Rob</v>
      </c>
      <c r="J804" s="11" t="str">
        <f>VLOOKUP(orders!D804,[1]products!$A$1:$G$49, 3,FALSE)</f>
        <v>D</v>
      </c>
      <c r="K804" s="12">
        <f>VLOOKUP(orders!D804,[1]products!$A$1:$G$49, 4,FALSE)</f>
        <v>0.2</v>
      </c>
      <c r="L804" s="12">
        <f>VLOOKUP(orders!D804,[1]products!$A$1:$G$49, 5,FALSE)</f>
        <v>2.6849999999999996</v>
      </c>
      <c r="M804" s="13">
        <f>PRODUCT(orders!$E804,orders!$L804)</f>
        <v>10.739999999999998</v>
      </c>
      <c r="N804" s="11" t="str">
        <f t="shared" si="24"/>
        <v>March</v>
      </c>
      <c r="O804" s="11">
        <f t="shared" si="25"/>
        <v>2020</v>
      </c>
      <c r="P804" s="11" t="str">
        <f>TEXT(orders!$B804, "DDD")</f>
        <v>Thu</v>
      </c>
      <c r="Q804" s="11" t="str">
        <f>VLOOKUP(orders!C804,[1]customers!$A$1:$I$1001, 6,FALSE)</f>
        <v>Mesquite</v>
      </c>
    </row>
    <row r="805" spans="1:17" x14ac:dyDescent="0.3">
      <c r="A805" s="14" t="s">
        <v>1575</v>
      </c>
      <c r="B805" s="15">
        <v>43955</v>
      </c>
      <c r="C805" s="16" t="s">
        <v>1576</v>
      </c>
      <c r="D805" s="17" t="s">
        <v>129</v>
      </c>
      <c r="E805" s="16">
        <v>4</v>
      </c>
      <c r="F805" s="9" t="str">
        <f>VLOOKUP(C805,[1]customers!$A$1:$I$1001, 2, FALSE)</f>
        <v>Darn Penquet</v>
      </c>
      <c r="G805" s="16" t="str">
        <f>VLOOKUP(orders!C805,[1]customers!$A$1:$I$1001, 3, FALSE)</f>
        <v>dpenquetmb@diigo.com</v>
      </c>
      <c r="H805" s="16" t="str">
        <f>VLOOKUP(C805, [1]customers!$A$1:$I$1001, 7, FALSE)</f>
        <v>United States</v>
      </c>
      <c r="I805" s="18" t="str">
        <f>VLOOKUP(orders!D805,[1]products!$A$1:$G$49, 2,FALSE)</f>
        <v>Exc</v>
      </c>
      <c r="J805" s="18" t="str">
        <f>VLOOKUP(orders!D805,[1]products!$A$1:$G$49, 3,FALSE)</f>
        <v>M</v>
      </c>
      <c r="K805" s="19">
        <f>VLOOKUP(orders!D805,[1]products!$A$1:$G$49, 4,FALSE)</f>
        <v>2.5</v>
      </c>
      <c r="L805" s="19">
        <f>VLOOKUP(orders!D805,[1]products!$A$1:$G$49, 5,FALSE)</f>
        <v>31.624999999999996</v>
      </c>
      <c r="M805" s="13">
        <f>PRODUCT(orders!$E805,orders!$L805)</f>
        <v>126.49999999999999</v>
      </c>
      <c r="N805" s="18" t="str">
        <f t="shared" si="24"/>
        <v>May</v>
      </c>
      <c r="O805" s="18">
        <f t="shared" si="25"/>
        <v>2020</v>
      </c>
      <c r="P805" s="11" t="str">
        <f>TEXT(orders!$B805, "DDD")</f>
        <v>Mon</v>
      </c>
      <c r="Q805" s="11" t="str">
        <f>VLOOKUP(orders!C805,[1]customers!$A$1:$I$1001, 6,FALSE)</f>
        <v>Sacramento</v>
      </c>
    </row>
    <row r="806" spans="1:17" x14ac:dyDescent="0.3">
      <c r="A806" s="7" t="s">
        <v>1577</v>
      </c>
      <c r="B806" s="8">
        <v>44289</v>
      </c>
      <c r="C806" s="9" t="s">
        <v>1578</v>
      </c>
      <c r="D806" s="10" t="s">
        <v>206</v>
      </c>
      <c r="E806" s="9">
        <v>2</v>
      </c>
      <c r="F806" s="9" t="str">
        <f>VLOOKUP(C806,[1]customers!$A$1:$I$1001, 2, FALSE)</f>
        <v>Jammie Cloke</v>
      </c>
      <c r="G806" s="9">
        <f>VLOOKUP(orders!C806,[1]customers!$A$1:$I$1001, 3, FALSE)</f>
        <v>0</v>
      </c>
      <c r="H806" s="9" t="str">
        <f>VLOOKUP(C806, [1]customers!$A$1:$I$1001, 7, FALSE)</f>
        <v>United Kingdom</v>
      </c>
      <c r="I806" s="11" t="str">
        <f>VLOOKUP(orders!D806,[1]products!$A$1:$G$49, 2,FALSE)</f>
        <v>Rob</v>
      </c>
      <c r="J806" s="11" t="str">
        <f>VLOOKUP(orders!D806,[1]products!$A$1:$G$49, 3,FALSE)</f>
        <v>L</v>
      </c>
      <c r="K806" s="12">
        <f>VLOOKUP(orders!D806,[1]products!$A$1:$G$49, 4,FALSE)</f>
        <v>1</v>
      </c>
      <c r="L806" s="12">
        <f>VLOOKUP(orders!D806,[1]products!$A$1:$G$49, 5,FALSE)</f>
        <v>11.95</v>
      </c>
      <c r="M806" s="13">
        <f>PRODUCT(orders!$E806,orders!$L806)</f>
        <v>23.9</v>
      </c>
      <c r="N806" s="11" t="str">
        <f t="shared" si="24"/>
        <v>April</v>
      </c>
      <c r="O806" s="11">
        <f t="shared" si="25"/>
        <v>2021</v>
      </c>
      <c r="P806" s="11" t="str">
        <f>TEXT(orders!$B806, "DDD")</f>
        <v>Sat</v>
      </c>
      <c r="Q806" s="11" t="str">
        <f>VLOOKUP(orders!C806,[1]customers!$A$1:$I$1001, 6,FALSE)</f>
        <v>Newton</v>
      </c>
    </row>
    <row r="807" spans="1:17" x14ac:dyDescent="0.3">
      <c r="A807" s="14" t="s">
        <v>1579</v>
      </c>
      <c r="B807" s="15">
        <v>44713</v>
      </c>
      <c r="C807" s="16" t="s">
        <v>1580</v>
      </c>
      <c r="D807" s="17" t="s">
        <v>39</v>
      </c>
      <c r="E807" s="16">
        <v>1</v>
      </c>
      <c r="F807" s="9" t="str">
        <f>VLOOKUP(C807,[1]customers!$A$1:$I$1001, 2, FALSE)</f>
        <v>Chester Clowton</v>
      </c>
      <c r="G807" s="16">
        <f>VLOOKUP(orders!C807,[1]customers!$A$1:$I$1001, 3, FALSE)</f>
        <v>0</v>
      </c>
      <c r="H807" s="16" t="str">
        <f>VLOOKUP(C807, [1]customers!$A$1:$I$1001, 7, FALSE)</f>
        <v>United States</v>
      </c>
      <c r="I807" s="18" t="str">
        <f>VLOOKUP(orders!D807,[1]products!$A$1:$G$49, 2,FALSE)</f>
        <v>Rob</v>
      </c>
      <c r="J807" s="18" t="str">
        <f>VLOOKUP(orders!D807,[1]products!$A$1:$G$49, 3,FALSE)</f>
        <v>M</v>
      </c>
      <c r="K807" s="19">
        <f>VLOOKUP(orders!D807,[1]products!$A$1:$G$49, 4,FALSE)</f>
        <v>0.5</v>
      </c>
      <c r="L807" s="19">
        <f>VLOOKUP(orders!D807,[1]products!$A$1:$G$49, 5,FALSE)</f>
        <v>5.97</v>
      </c>
      <c r="M807" s="13">
        <f>PRODUCT(orders!$E807,orders!$L807)</f>
        <v>5.97</v>
      </c>
      <c r="N807" s="18" t="str">
        <f t="shared" si="24"/>
        <v>June</v>
      </c>
      <c r="O807" s="18">
        <f t="shared" si="25"/>
        <v>2022</v>
      </c>
      <c r="P807" s="11" t="str">
        <f>TEXT(orders!$B807, "DDD")</f>
        <v>Wed</v>
      </c>
      <c r="Q807" s="11" t="str">
        <f>VLOOKUP(orders!C807,[1]customers!$A$1:$I$1001, 6,FALSE)</f>
        <v>Monticello</v>
      </c>
    </row>
    <row r="808" spans="1:17" x14ac:dyDescent="0.3">
      <c r="A808" s="7" t="s">
        <v>1581</v>
      </c>
      <c r="B808" s="8">
        <v>44241</v>
      </c>
      <c r="C808" s="9" t="s">
        <v>1582</v>
      </c>
      <c r="D808" s="10" t="s">
        <v>55</v>
      </c>
      <c r="E808" s="9">
        <v>2</v>
      </c>
      <c r="F808" s="9" t="str">
        <f>VLOOKUP(C808,[1]customers!$A$1:$I$1001, 2, FALSE)</f>
        <v>Kathleen Diable</v>
      </c>
      <c r="G808" s="9">
        <f>VLOOKUP(orders!C808,[1]customers!$A$1:$I$1001, 3, FALSE)</f>
        <v>0</v>
      </c>
      <c r="H808" s="9" t="str">
        <f>VLOOKUP(C808, [1]customers!$A$1:$I$1001, 7, FALSE)</f>
        <v>United Kingdom</v>
      </c>
      <c r="I808" s="11" t="str">
        <f>VLOOKUP(orders!D808,[1]products!$A$1:$G$49, 2,FALSE)</f>
        <v>Lib</v>
      </c>
      <c r="J808" s="11" t="str">
        <f>VLOOKUP(orders!D808,[1]products!$A$1:$G$49, 3,FALSE)</f>
        <v>D</v>
      </c>
      <c r="K808" s="12">
        <f>VLOOKUP(orders!D808,[1]products!$A$1:$G$49, 4,FALSE)</f>
        <v>0.2</v>
      </c>
      <c r="L808" s="12">
        <f>VLOOKUP(orders!D808,[1]products!$A$1:$G$49, 5,FALSE)</f>
        <v>3.8849999999999998</v>
      </c>
      <c r="M808" s="13">
        <f>PRODUCT(orders!$E808,orders!$L808)</f>
        <v>7.77</v>
      </c>
      <c r="N808" s="11" t="str">
        <f t="shared" si="24"/>
        <v>February</v>
      </c>
      <c r="O808" s="11">
        <f t="shared" si="25"/>
        <v>2021</v>
      </c>
      <c r="P808" s="11" t="str">
        <f>TEXT(orders!$B808, "DDD")</f>
        <v>Sun</v>
      </c>
      <c r="Q808" s="11" t="str">
        <f>VLOOKUP(orders!C808,[1]customers!$A$1:$I$1001, 6,FALSE)</f>
        <v>Kinloch</v>
      </c>
    </row>
    <row r="809" spans="1:17" x14ac:dyDescent="0.3">
      <c r="A809" s="14" t="s">
        <v>1583</v>
      </c>
      <c r="B809" s="15">
        <v>44543</v>
      </c>
      <c r="C809" s="16" t="s">
        <v>1584</v>
      </c>
      <c r="D809" s="17" t="s">
        <v>140</v>
      </c>
      <c r="E809" s="16">
        <v>3</v>
      </c>
      <c r="F809" s="9" t="str">
        <f>VLOOKUP(C809,[1]customers!$A$1:$I$1001, 2, FALSE)</f>
        <v>Koren Ferretti</v>
      </c>
      <c r="G809" s="16" t="str">
        <f>VLOOKUP(orders!C809,[1]customers!$A$1:$I$1001, 3, FALSE)</f>
        <v>kferrettimf@huffingtonpost.com</v>
      </c>
      <c r="H809" s="16" t="str">
        <f>VLOOKUP(C809, [1]customers!$A$1:$I$1001, 7, FALSE)</f>
        <v>Ireland</v>
      </c>
      <c r="I809" s="18" t="str">
        <f>VLOOKUP(orders!D809,[1]products!$A$1:$G$49, 2,FALSE)</f>
        <v>Lib</v>
      </c>
      <c r="J809" s="18" t="str">
        <f>VLOOKUP(orders!D809,[1]products!$A$1:$G$49, 3,FALSE)</f>
        <v>D</v>
      </c>
      <c r="K809" s="19">
        <f>VLOOKUP(orders!D809,[1]products!$A$1:$G$49, 4,FALSE)</f>
        <v>0.5</v>
      </c>
      <c r="L809" s="19">
        <f>VLOOKUP(orders!D809,[1]products!$A$1:$G$49, 5,FALSE)</f>
        <v>7.77</v>
      </c>
      <c r="M809" s="13">
        <f>PRODUCT(orders!$E809,orders!$L809)</f>
        <v>23.31</v>
      </c>
      <c r="N809" s="18" t="str">
        <f t="shared" si="24"/>
        <v>December</v>
      </c>
      <c r="O809" s="18">
        <f t="shared" si="25"/>
        <v>2021</v>
      </c>
      <c r="P809" s="11" t="str">
        <f>TEXT(orders!$B809, "DDD")</f>
        <v>Mon</v>
      </c>
      <c r="Q809" s="11" t="str">
        <f>VLOOKUP(orders!C809,[1]customers!$A$1:$I$1001, 6,FALSE)</f>
        <v>Balrothery</v>
      </c>
    </row>
    <row r="810" spans="1:17" x14ac:dyDescent="0.3">
      <c r="A810" s="7" t="s">
        <v>1585</v>
      </c>
      <c r="B810" s="8">
        <v>43868</v>
      </c>
      <c r="C810" s="9" t="s">
        <v>1586</v>
      </c>
      <c r="D810" s="10" t="s">
        <v>27</v>
      </c>
      <c r="E810" s="9">
        <v>5</v>
      </c>
      <c r="F810" s="9" t="str">
        <f>VLOOKUP(C810,[1]customers!$A$1:$I$1001, 2, FALSE)</f>
        <v>Allis Wilmore</v>
      </c>
      <c r="G810" s="9">
        <f>VLOOKUP(orders!C810,[1]customers!$A$1:$I$1001, 3, FALSE)</f>
        <v>0</v>
      </c>
      <c r="H810" s="9" t="str">
        <f>VLOOKUP(C810, [1]customers!$A$1:$I$1001, 7, FALSE)</f>
        <v>United States</v>
      </c>
      <c r="I810" s="11" t="str">
        <f>VLOOKUP(orders!D810,[1]products!$A$1:$G$49, 2,FALSE)</f>
        <v>Rob</v>
      </c>
      <c r="J810" s="11" t="str">
        <f>VLOOKUP(orders!D810,[1]products!$A$1:$G$49, 3,FALSE)</f>
        <v>L</v>
      </c>
      <c r="K810" s="12">
        <f>VLOOKUP(orders!D810,[1]products!$A$1:$G$49, 4,FALSE)</f>
        <v>2.5</v>
      </c>
      <c r="L810" s="12">
        <f>VLOOKUP(orders!D810,[1]products!$A$1:$G$49, 5,FALSE)</f>
        <v>27.484999999999996</v>
      </c>
      <c r="M810" s="13">
        <f>PRODUCT(orders!$E810,orders!$L810)</f>
        <v>137.42499999999998</v>
      </c>
      <c r="N810" s="11" t="str">
        <f t="shared" si="24"/>
        <v>February</v>
      </c>
      <c r="O810" s="11">
        <f t="shared" si="25"/>
        <v>2020</v>
      </c>
      <c r="P810" s="11" t="str">
        <f>TEXT(orders!$B810, "DDD")</f>
        <v>Fri</v>
      </c>
      <c r="Q810" s="11" t="str">
        <f>VLOOKUP(orders!C810,[1]customers!$A$1:$I$1001, 6,FALSE)</f>
        <v>Houston</v>
      </c>
    </row>
    <row r="811" spans="1:17" x14ac:dyDescent="0.3">
      <c r="A811" s="14" t="s">
        <v>1587</v>
      </c>
      <c r="B811" s="15">
        <v>44235</v>
      </c>
      <c r="C811" s="16" t="s">
        <v>1588</v>
      </c>
      <c r="D811" s="17" t="s">
        <v>118</v>
      </c>
      <c r="E811" s="16">
        <v>3</v>
      </c>
      <c r="F811" s="9" t="str">
        <f>VLOOKUP(C811,[1]customers!$A$1:$I$1001, 2, FALSE)</f>
        <v>Chaddie Bennie</v>
      </c>
      <c r="G811" s="16">
        <f>VLOOKUP(orders!C811,[1]customers!$A$1:$I$1001, 3, FALSE)</f>
        <v>0</v>
      </c>
      <c r="H811" s="16" t="str">
        <f>VLOOKUP(C811, [1]customers!$A$1:$I$1001, 7, FALSE)</f>
        <v>United States</v>
      </c>
      <c r="I811" s="18" t="str">
        <f>VLOOKUP(orders!D811,[1]products!$A$1:$G$49, 2,FALSE)</f>
        <v>Rob</v>
      </c>
      <c r="J811" s="18" t="str">
        <f>VLOOKUP(orders!D811,[1]products!$A$1:$G$49, 3,FALSE)</f>
        <v>D</v>
      </c>
      <c r="K811" s="19">
        <f>VLOOKUP(orders!D811,[1]products!$A$1:$G$49, 4,FALSE)</f>
        <v>0.2</v>
      </c>
      <c r="L811" s="19">
        <f>VLOOKUP(orders!D811,[1]products!$A$1:$G$49, 5,FALSE)</f>
        <v>2.6849999999999996</v>
      </c>
      <c r="M811" s="13">
        <f>PRODUCT(orders!$E811,orders!$L811)</f>
        <v>8.0549999999999997</v>
      </c>
      <c r="N811" s="18" t="str">
        <f t="shared" si="24"/>
        <v>February</v>
      </c>
      <c r="O811" s="18">
        <f t="shared" si="25"/>
        <v>2021</v>
      </c>
      <c r="P811" s="11" t="str">
        <f>TEXT(orders!$B811, "DDD")</f>
        <v>Mon</v>
      </c>
      <c r="Q811" s="11" t="str">
        <f>VLOOKUP(orders!C811,[1]customers!$A$1:$I$1001, 6,FALSE)</f>
        <v>El Paso</v>
      </c>
    </row>
    <row r="812" spans="1:17" x14ac:dyDescent="0.3">
      <c r="A812" s="7" t="s">
        <v>1589</v>
      </c>
      <c r="B812" s="8">
        <v>44054</v>
      </c>
      <c r="C812" s="9" t="s">
        <v>1590</v>
      </c>
      <c r="D812" s="10" t="s">
        <v>100</v>
      </c>
      <c r="E812" s="9">
        <v>3</v>
      </c>
      <c r="F812" s="9" t="str">
        <f>VLOOKUP(C812,[1]customers!$A$1:$I$1001, 2, FALSE)</f>
        <v>Alberta Balsdone</v>
      </c>
      <c r="G812" s="9" t="str">
        <f>VLOOKUP(orders!C812,[1]customers!$A$1:$I$1001, 3, FALSE)</f>
        <v>abalsdonemi@toplist.cz</v>
      </c>
      <c r="H812" s="9" t="str">
        <f>VLOOKUP(C812, [1]customers!$A$1:$I$1001, 7, FALSE)</f>
        <v>United States</v>
      </c>
      <c r="I812" s="11" t="str">
        <f>VLOOKUP(orders!D812,[1]products!$A$1:$G$49, 2,FALSE)</f>
        <v>Lib</v>
      </c>
      <c r="J812" s="11" t="str">
        <f>VLOOKUP(orders!D812,[1]products!$A$1:$G$49, 3,FALSE)</f>
        <v>L</v>
      </c>
      <c r="K812" s="12">
        <f>VLOOKUP(orders!D812,[1]products!$A$1:$G$49, 4,FALSE)</f>
        <v>0.5</v>
      </c>
      <c r="L812" s="12">
        <f>VLOOKUP(orders!D812,[1]products!$A$1:$G$49, 5,FALSE)</f>
        <v>9.51</v>
      </c>
      <c r="M812" s="13">
        <f>PRODUCT(orders!$E812,orders!$L812)</f>
        <v>28.53</v>
      </c>
      <c r="N812" s="11" t="str">
        <f t="shared" si="24"/>
        <v>August</v>
      </c>
      <c r="O812" s="11">
        <f t="shared" si="25"/>
        <v>2020</v>
      </c>
      <c r="P812" s="11" t="str">
        <f>TEXT(orders!$B812, "DDD")</f>
        <v>Tue</v>
      </c>
      <c r="Q812" s="11" t="str">
        <f>VLOOKUP(orders!C812,[1]customers!$A$1:$I$1001, 6,FALSE)</f>
        <v>Largo</v>
      </c>
    </row>
    <row r="813" spans="1:17" x14ac:dyDescent="0.3">
      <c r="A813" s="14" t="s">
        <v>1591</v>
      </c>
      <c r="B813" s="15">
        <v>44114</v>
      </c>
      <c r="C813" s="16" t="s">
        <v>1592</v>
      </c>
      <c r="D813" s="17" t="s">
        <v>78</v>
      </c>
      <c r="E813" s="16">
        <v>6</v>
      </c>
      <c r="F813" s="9" t="str">
        <f>VLOOKUP(C813,[1]customers!$A$1:$I$1001, 2, FALSE)</f>
        <v>Brice Romera</v>
      </c>
      <c r="G813" s="16" t="str">
        <f>VLOOKUP(orders!C813,[1]customers!$A$1:$I$1001, 3, FALSE)</f>
        <v>bromeramj@list-manage.com</v>
      </c>
      <c r="H813" s="16" t="str">
        <f>VLOOKUP(C813, [1]customers!$A$1:$I$1001, 7, FALSE)</f>
        <v>Ireland</v>
      </c>
      <c r="I813" s="18" t="str">
        <f>VLOOKUP(orders!D813,[1]products!$A$1:$G$49, 2,FALSE)</f>
        <v>Ara</v>
      </c>
      <c r="J813" s="18" t="str">
        <f>VLOOKUP(orders!D813,[1]products!$A$1:$G$49, 3,FALSE)</f>
        <v>M</v>
      </c>
      <c r="K813" s="19">
        <f>VLOOKUP(orders!D813,[1]products!$A$1:$G$49, 4,FALSE)</f>
        <v>1</v>
      </c>
      <c r="L813" s="19">
        <f>VLOOKUP(orders!D813,[1]products!$A$1:$G$49, 5,FALSE)</f>
        <v>11.25</v>
      </c>
      <c r="M813" s="13">
        <f>PRODUCT(orders!$E813,orders!$L813)</f>
        <v>67.5</v>
      </c>
      <c r="N813" s="18" t="str">
        <f t="shared" si="24"/>
        <v>October</v>
      </c>
      <c r="O813" s="18">
        <f t="shared" si="25"/>
        <v>2020</v>
      </c>
      <c r="P813" s="11" t="str">
        <f>TEXT(orders!$B813, "DDD")</f>
        <v>Sat</v>
      </c>
      <c r="Q813" s="11" t="str">
        <f>VLOOKUP(orders!C813,[1]customers!$A$1:$I$1001, 6,FALSE)</f>
        <v>Foxrock</v>
      </c>
    </row>
    <row r="814" spans="1:17" x14ac:dyDescent="0.3">
      <c r="A814" s="7" t="s">
        <v>1591</v>
      </c>
      <c r="B814" s="8">
        <v>44114</v>
      </c>
      <c r="C814" s="9" t="s">
        <v>1592</v>
      </c>
      <c r="D814" s="10" t="s">
        <v>126</v>
      </c>
      <c r="E814" s="9">
        <v>6</v>
      </c>
      <c r="F814" s="9" t="str">
        <f>VLOOKUP(C814,[1]customers!$A$1:$I$1001, 2, FALSE)</f>
        <v>Brice Romera</v>
      </c>
      <c r="G814" s="9" t="str">
        <f>VLOOKUP(orders!C814,[1]customers!$A$1:$I$1001, 3, FALSE)</f>
        <v>bromeramj@list-manage.com</v>
      </c>
      <c r="H814" s="9" t="str">
        <f>VLOOKUP(C814, [1]customers!$A$1:$I$1001, 7, FALSE)</f>
        <v>Ireland</v>
      </c>
      <c r="I814" s="11" t="str">
        <f>VLOOKUP(orders!D814,[1]products!$A$1:$G$49, 2,FALSE)</f>
        <v>Lib</v>
      </c>
      <c r="J814" s="11" t="str">
        <f>VLOOKUP(orders!D814,[1]products!$A$1:$G$49, 3,FALSE)</f>
        <v>D</v>
      </c>
      <c r="K814" s="12">
        <f>VLOOKUP(orders!D814,[1]products!$A$1:$G$49, 4,FALSE)</f>
        <v>2.5</v>
      </c>
      <c r="L814" s="12">
        <f>VLOOKUP(orders!D814,[1]products!$A$1:$G$49, 5,FALSE)</f>
        <v>29.784999999999997</v>
      </c>
      <c r="M814" s="13">
        <f>PRODUCT(orders!$E814,orders!$L814)</f>
        <v>178.70999999999998</v>
      </c>
      <c r="N814" s="11" t="str">
        <f t="shared" si="24"/>
        <v>October</v>
      </c>
      <c r="O814" s="11">
        <f t="shared" si="25"/>
        <v>2020</v>
      </c>
      <c r="P814" s="11" t="str">
        <f>TEXT(orders!$B814, "DDD")</f>
        <v>Sat</v>
      </c>
      <c r="Q814" s="11" t="str">
        <f>VLOOKUP(orders!C814,[1]customers!$A$1:$I$1001, 6,FALSE)</f>
        <v>Foxrock</v>
      </c>
    </row>
    <row r="815" spans="1:17" x14ac:dyDescent="0.3">
      <c r="A815" s="14" t="s">
        <v>1593</v>
      </c>
      <c r="B815" s="15">
        <v>44173</v>
      </c>
      <c r="C815" s="16" t="s">
        <v>1594</v>
      </c>
      <c r="D815" s="17" t="s">
        <v>129</v>
      </c>
      <c r="E815" s="16">
        <v>1</v>
      </c>
      <c r="F815" s="9" t="str">
        <f>VLOOKUP(C815,[1]customers!$A$1:$I$1001, 2, FALSE)</f>
        <v>Conchita Bryde</v>
      </c>
      <c r="G815" s="16" t="str">
        <f>VLOOKUP(orders!C815,[1]customers!$A$1:$I$1001, 3, FALSE)</f>
        <v>cbrydeml@tuttocitta.it</v>
      </c>
      <c r="H815" s="16" t="str">
        <f>VLOOKUP(C815, [1]customers!$A$1:$I$1001, 7, FALSE)</f>
        <v>United States</v>
      </c>
      <c r="I815" s="18" t="str">
        <f>VLOOKUP(orders!D815,[1]products!$A$1:$G$49, 2,FALSE)</f>
        <v>Exc</v>
      </c>
      <c r="J815" s="18" t="str">
        <f>VLOOKUP(orders!D815,[1]products!$A$1:$G$49, 3,FALSE)</f>
        <v>M</v>
      </c>
      <c r="K815" s="19">
        <f>VLOOKUP(orders!D815,[1]products!$A$1:$G$49, 4,FALSE)</f>
        <v>2.5</v>
      </c>
      <c r="L815" s="19">
        <f>VLOOKUP(orders!D815,[1]products!$A$1:$G$49, 5,FALSE)</f>
        <v>31.624999999999996</v>
      </c>
      <c r="M815" s="13">
        <f>PRODUCT(orders!$E815,orders!$L815)</f>
        <v>31.624999999999996</v>
      </c>
      <c r="N815" s="18" t="str">
        <f t="shared" si="24"/>
        <v>December</v>
      </c>
      <c r="O815" s="18">
        <f t="shared" si="25"/>
        <v>2020</v>
      </c>
      <c r="P815" s="11" t="str">
        <f>TEXT(orders!$B815, "DDD")</f>
        <v>Tue</v>
      </c>
      <c r="Q815" s="11" t="str">
        <f>VLOOKUP(orders!C815,[1]customers!$A$1:$I$1001, 6,FALSE)</f>
        <v>Oklahoma City</v>
      </c>
    </row>
    <row r="816" spans="1:17" x14ac:dyDescent="0.3">
      <c r="A816" s="7" t="s">
        <v>1595</v>
      </c>
      <c r="B816" s="8">
        <v>43573</v>
      </c>
      <c r="C816" s="9" t="s">
        <v>1596</v>
      </c>
      <c r="D816" s="10" t="s">
        <v>271</v>
      </c>
      <c r="E816" s="9">
        <v>2</v>
      </c>
      <c r="F816" s="9" t="str">
        <f>VLOOKUP(C816,[1]customers!$A$1:$I$1001, 2, FALSE)</f>
        <v>Silvanus Enefer</v>
      </c>
      <c r="G816" s="9" t="str">
        <f>VLOOKUP(orders!C816,[1]customers!$A$1:$I$1001, 3, FALSE)</f>
        <v>senefermm@blog.com</v>
      </c>
      <c r="H816" s="9" t="str">
        <f>VLOOKUP(C816, [1]customers!$A$1:$I$1001, 7, FALSE)</f>
        <v>United States</v>
      </c>
      <c r="I816" s="11" t="str">
        <f>VLOOKUP(orders!D816,[1]products!$A$1:$G$49, 2,FALSE)</f>
        <v>Exc</v>
      </c>
      <c r="J816" s="11" t="str">
        <f>VLOOKUP(orders!D816,[1]products!$A$1:$G$49, 3,FALSE)</f>
        <v>L</v>
      </c>
      <c r="K816" s="12">
        <f>VLOOKUP(orders!D816,[1]products!$A$1:$G$49, 4,FALSE)</f>
        <v>0.2</v>
      </c>
      <c r="L816" s="12">
        <f>VLOOKUP(orders!D816,[1]products!$A$1:$G$49, 5,FALSE)</f>
        <v>4.4550000000000001</v>
      </c>
      <c r="M816" s="13">
        <f>PRODUCT(orders!$E816,orders!$L816)</f>
        <v>8.91</v>
      </c>
      <c r="N816" s="11" t="str">
        <f t="shared" si="24"/>
        <v>April</v>
      </c>
      <c r="O816" s="11">
        <f t="shared" si="25"/>
        <v>2019</v>
      </c>
      <c r="P816" s="11" t="str">
        <f>TEXT(orders!$B816, "DDD")</f>
        <v>Thu</v>
      </c>
      <c r="Q816" s="11" t="str">
        <f>VLOOKUP(orders!C816,[1]customers!$A$1:$I$1001, 6,FALSE)</f>
        <v>Washington</v>
      </c>
    </row>
    <row r="817" spans="1:17" x14ac:dyDescent="0.3">
      <c r="A817" s="14" t="s">
        <v>1597</v>
      </c>
      <c r="B817" s="15">
        <v>44200</v>
      </c>
      <c r="C817" s="16" t="s">
        <v>1598</v>
      </c>
      <c r="D817" s="17" t="s">
        <v>39</v>
      </c>
      <c r="E817" s="16">
        <v>6</v>
      </c>
      <c r="F817" s="9" t="str">
        <f>VLOOKUP(C817,[1]customers!$A$1:$I$1001, 2, FALSE)</f>
        <v>Lenci Haggerstone</v>
      </c>
      <c r="G817" s="16" t="str">
        <f>VLOOKUP(orders!C817,[1]customers!$A$1:$I$1001, 3, FALSE)</f>
        <v>lhaggerstonemn@independent.co.uk</v>
      </c>
      <c r="H817" s="16" t="str">
        <f>VLOOKUP(C817, [1]customers!$A$1:$I$1001, 7, FALSE)</f>
        <v>United States</v>
      </c>
      <c r="I817" s="18" t="str">
        <f>VLOOKUP(orders!D817,[1]products!$A$1:$G$49, 2,FALSE)</f>
        <v>Rob</v>
      </c>
      <c r="J817" s="18" t="str">
        <f>VLOOKUP(orders!D817,[1]products!$A$1:$G$49, 3,FALSE)</f>
        <v>M</v>
      </c>
      <c r="K817" s="19">
        <f>VLOOKUP(orders!D817,[1]products!$A$1:$G$49, 4,FALSE)</f>
        <v>0.5</v>
      </c>
      <c r="L817" s="19">
        <f>VLOOKUP(orders!D817,[1]products!$A$1:$G$49, 5,FALSE)</f>
        <v>5.97</v>
      </c>
      <c r="M817" s="13">
        <f>PRODUCT(orders!$E817,orders!$L817)</f>
        <v>35.82</v>
      </c>
      <c r="N817" s="18" t="str">
        <f t="shared" si="24"/>
        <v>January</v>
      </c>
      <c r="O817" s="18">
        <f t="shared" si="25"/>
        <v>2021</v>
      </c>
      <c r="P817" s="11" t="str">
        <f>TEXT(orders!$B817, "DDD")</f>
        <v>Mon</v>
      </c>
      <c r="Q817" s="11" t="str">
        <f>VLOOKUP(orders!C817,[1]customers!$A$1:$I$1001, 6,FALSE)</f>
        <v>Atlanta</v>
      </c>
    </row>
    <row r="818" spans="1:17" x14ac:dyDescent="0.3">
      <c r="A818" s="7" t="s">
        <v>1599</v>
      </c>
      <c r="B818" s="8">
        <v>43534</v>
      </c>
      <c r="C818" s="9" t="s">
        <v>1600</v>
      </c>
      <c r="D818" s="10" t="s">
        <v>100</v>
      </c>
      <c r="E818" s="9">
        <v>4</v>
      </c>
      <c r="F818" s="9" t="str">
        <f>VLOOKUP(C818,[1]customers!$A$1:$I$1001, 2, FALSE)</f>
        <v>Marvin Gundry</v>
      </c>
      <c r="G818" s="9" t="str">
        <f>VLOOKUP(orders!C818,[1]customers!$A$1:$I$1001, 3, FALSE)</f>
        <v>mgundrymo@omniture.com</v>
      </c>
      <c r="H818" s="9" t="str">
        <f>VLOOKUP(C818, [1]customers!$A$1:$I$1001, 7, FALSE)</f>
        <v>Ireland</v>
      </c>
      <c r="I818" s="11" t="str">
        <f>VLOOKUP(orders!D818,[1]products!$A$1:$G$49, 2,FALSE)</f>
        <v>Lib</v>
      </c>
      <c r="J818" s="11" t="str">
        <f>VLOOKUP(orders!D818,[1]products!$A$1:$G$49, 3,FALSE)</f>
        <v>L</v>
      </c>
      <c r="K818" s="12">
        <f>VLOOKUP(orders!D818,[1]products!$A$1:$G$49, 4,FALSE)</f>
        <v>0.5</v>
      </c>
      <c r="L818" s="12">
        <f>VLOOKUP(orders!D818,[1]products!$A$1:$G$49, 5,FALSE)</f>
        <v>9.51</v>
      </c>
      <c r="M818" s="13">
        <f>PRODUCT(orders!$E818,orders!$L818)</f>
        <v>38.04</v>
      </c>
      <c r="N818" s="11" t="str">
        <f t="shared" si="24"/>
        <v>March</v>
      </c>
      <c r="O818" s="11">
        <f t="shared" si="25"/>
        <v>2019</v>
      </c>
      <c r="P818" s="11" t="str">
        <f>TEXT(orders!$B818, "DDD")</f>
        <v>Sun</v>
      </c>
      <c r="Q818" s="11" t="str">
        <f>VLOOKUP(orders!C818,[1]customers!$A$1:$I$1001, 6,FALSE)</f>
        <v>Castlebridge</v>
      </c>
    </row>
    <row r="819" spans="1:17" x14ac:dyDescent="0.3">
      <c r="A819" s="14" t="s">
        <v>1601</v>
      </c>
      <c r="B819" s="15">
        <v>43798</v>
      </c>
      <c r="C819" s="16" t="s">
        <v>1602</v>
      </c>
      <c r="D819" s="17" t="s">
        <v>140</v>
      </c>
      <c r="E819" s="16">
        <v>2</v>
      </c>
      <c r="F819" s="9" t="str">
        <f>VLOOKUP(C819,[1]customers!$A$1:$I$1001, 2, FALSE)</f>
        <v>Bayard Wellan</v>
      </c>
      <c r="G819" s="16" t="str">
        <f>VLOOKUP(orders!C819,[1]customers!$A$1:$I$1001, 3, FALSE)</f>
        <v>bwellanmp@cafepress.com</v>
      </c>
      <c r="H819" s="16" t="str">
        <f>VLOOKUP(C819, [1]customers!$A$1:$I$1001, 7, FALSE)</f>
        <v>United States</v>
      </c>
      <c r="I819" s="18" t="str">
        <f>VLOOKUP(orders!D819,[1]products!$A$1:$G$49, 2,FALSE)</f>
        <v>Lib</v>
      </c>
      <c r="J819" s="18" t="str">
        <f>VLOOKUP(orders!D819,[1]products!$A$1:$G$49, 3,FALSE)</f>
        <v>D</v>
      </c>
      <c r="K819" s="19">
        <f>VLOOKUP(orders!D819,[1]products!$A$1:$G$49, 4,FALSE)</f>
        <v>0.5</v>
      </c>
      <c r="L819" s="19">
        <f>VLOOKUP(orders!D819,[1]products!$A$1:$G$49, 5,FALSE)</f>
        <v>7.77</v>
      </c>
      <c r="M819" s="13">
        <f>PRODUCT(orders!$E819,orders!$L819)</f>
        <v>15.54</v>
      </c>
      <c r="N819" s="18" t="str">
        <f t="shared" si="24"/>
        <v>November</v>
      </c>
      <c r="O819" s="18">
        <f t="shared" si="25"/>
        <v>2019</v>
      </c>
      <c r="P819" s="11" t="str">
        <f>TEXT(orders!$B819, "DDD")</f>
        <v>Fri</v>
      </c>
      <c r="Q819" s="11" t="str">
        <f>VLOOKUP(orders!C819,[1]customers!$A$1:$I$1001, 6,FALSE)</f>
        <v>Buffalo</v>
      </c>
    </row>
    <row r="820" spans="1:17" x14ac:dyDescent="0.3">
      <c r="A820" s="7" t="s">
        <v>1603</v>
      </c>
      <c r="B820" s="8">
        <v>44761</v>
      </c>
      <c r="C820" s="9" t="s">
        <v>1586</v>
      </c>
      <c r="D820" s="10" t="s">
        <v>149</v>
      </c>
      <c r="E820" s="9">
        <v>5</v>
      </c>
      <c r="F820" s="9" t="str">
        <f>VLOOKUP(C820,[1]customers!$A$1:$I$1001, 2, FALSE)</f>
        <v>Allis Wilmore</v>
      </c>
      <c r="G820" s="9">
        <f>VLOOKUP(orders!C820,[1]customers!$A$1:$I$1001, 3, FALSE)</f>
        <v>0</v>
      </c>
      <c r="H820" s="9" t="str">
        <f>VLOOKUP(C820, [1]customers!$A$1:$I$1001, 7, FALSE)</f>
        <v>United States</v>
      </c>
      <c r="I820" s="11" t="str">
        <f>VLOOKUP(orders!D820,[1]products!$A$1:$G$49, 2,FALSE)</f>
        <v>Lib</v>
      </c>
      <c r="J820" s="11" t="str">
        <f>VLOOKUP(orders!D820,[1]products!$A$1:$G$49, 3,FALSE)</f>
        <v>L</v>
      </c>
      <c r="K820" s="12">
        <f>VLOOKUP(orders!D820,[1]products!$A$1:$G$49, 4,FALSE)</f>
        <v>1</v>
      </c>
      <c r="L820" s="12">
        <f>VLOOKUP(orders!D820,[1]products!$A$1:$G$49, 5,FALSE)</f>
        <v>15.85</v>
      </c>
      <c r="M820" s="13">
        <f>PRODUCT(orders!$E820,orders!$L820)</f>
        <v>79.25</v>
      </c>
      <c r="N820" s="11" t="str">
        <f t="shared" si="24"/>
        <v>July</v>
      </c>
      <c r="O820" s="11">
        <f t="shared" si="25"/>
        <v>2022</v>
      </c>
      <c r="P820" s="11" t="str">
        <f>TEXT(orders!$B820, "DDD")</f>
        <v>Tue</v>
      </c>
      <c r="Q820" s="11" t="str">
        <f>VLOOKUP(orders!C820,[1]customers!$A$1:$I$1001, 6,FALSE)</f>
        <v>Houston</v>
      </c>
    </row>
    <row r="821" spans="1:17" x14ac:dyDescent="0.3">
      <c r="A821" s="14" t="s">
        <v>1604</v>
      </c>
      <c r="B821" s="15">
        <v>44008</v>
      </c>
      <c r="C821" s="16" t="s">
        <v>1605</v>
      </c>
      <c r="D821" s="17" t="s">
        <v>36</v>
      </c>
      <c r="E821" s="16">
        <v>1</v>
      </c>
      <c r="F821" s="9" t="str">
        <f>VLOOKUP(C821,[1]customers!$A$1:$I$1001, 2, FALSE)</f>
        <v>Caddric Atcheson</v>
      </c>
      <c r="G821" s="16" t="str">
        <f>VLOOKUP(orders!C821,[1]customers!$A$1:$I$1001, 3, FALSE)</f>
        <v>catchesonmr@xinhuanet.com</v>
      </c>
      <c r="H821" s="16" t="str">
        <f>VLOOKUP(C821, [1]customers!$A$1:$I$1001, 7, FALSE)</f>
        <v>United States</v>
      </c>
      <c r="I821" s="18" t="str">
        <f>VLOOKUP(orders!D821,[1]products!$A$1:$G$49, 2,FALSE)</f>
        <v>Lib</v>
      </c>
      <c r="J821" s="18" t="str">
        <f>VLOOKUP(orders!D821,[1]products!$A$1:$G$49, 3,FALSE)</f>
        <v>L</v>
      </c>
      <c r="K821" s="19">
        <f>VLOOKUP(orders!D821,[1]products!$A$1:$G$49, 4,FALSE)</f>
        <v>0.2</v>
      </c>
      <c r="L821" s="19">
        <f>VLOOKUP(orders!D821,[1]products!$A$1:$G$49, 5,FALSE)</f>
        <v>4.7549999999999999</v>
      </c>
      <c r="M821" s="13">
        <f>PRODUCT(orders!$E821,orders!$L821)</f>
        <v>4.7549999999999999</v>
      </c>
      <c r="N821" s="18" t="str">
        <f t="shared" si="24"/>
        <v>June</v>
      </c>
      <c r="O821" s="18">
        <f t="shared" si="25"/>
        <v>2020</v>
      </c>
      <c r="P821" s="11" t="str">
        <f>TEXT(orders!$B821, "DDD")</f>
        <v>Fri</v>
      </c>
      <c r="Q821" s="11" t="str">
        <f>VLOOKUP(orders!C821,[1]customers!$A$1:$I$1001, 6,FALSE)</f>
        <v>Washington</v>
      </c>
    </row>
    <row r="822" spans="1:17" x14ac:dyDescent="0.3">
      <c r="A822" s="7" t="s">
        <v>1606</v>
      </c>
      <c r="B822" s="8">
        <v>43510</v>
      </c>
      <c r="C822" s="9" t="s">
        <v>1607</v>
      </c>
      <c r="D822" s="10" t="s">
        <v>26</v>
      </c>
      <c r="E822" s="9">
        <v>4</v>
      </c>
      <c r="F822" s="9" t="str">
        <f>VLOOKUP(C822,[1]customers!$A$1:$I$1001, 2, FALSE)</f>
        <v>Eustace Stenton</v>
      </c>
      <c r="G822" s="9" t="str">
        <f>VLOOKUP(orders!C822,[1]customers!$A$1:$I$1001, 3, FALSE)</f>
        <v>estentonms@google.it</v>
      </c>
      <c r="H822" s="9" t="str">
        <f>VLOOKUP(C822, [1]customers!$A$1:$I$1001, 7, FALSE)</f>
        <v>United States</v>
      </c>
      <c r="I822" s="11" t="str">
        <f>VLOOKUP(orders!D822,[1]products!$A$1:$G$49, 2,FALSE)</f>
        <v>Exc</v>
      </c>
      <c r="J822" s="11" t="str">
        <f>VLOOKUP(orders!D822,[1]products!$A$1:$G$49, 3,FALSE)</f>
        <v>M</v>
      </c>
      <c r="K822" s="12">
        <f>VLOOKUP(orders!D822,[1]products!$A$1:$G$49, 4,FALSE)</f>
        <v>1</v>
      </c>
      <c r="L822" s="12">
        <f>VLOOKUP(orders!D822,[1]products!$A$1:$G$49, 5,FALSE)</f>
        <v>13.75</v>
      </c>
      <c r="M822" s="13">
        <f>PRODUCT(orders!$E822,orders!$L822)</f>
        <v>55</v>
      </c>
      <c r="N822" s="11" t="str">
        <f t="shared" si="24"/>
        <v>February</v>
      </c>
      <c r="O822" s="11">
        <f t="shared" si="25"/>
        <v>2019</v>
      </c>
      <c r="P822" s="11" t="str">
        <f>TEXT(orders!$B822, "DDD")</f>
        <v>Thu</v>
      </c>
      <c r="Q822" s="11" t="str">
        <f>VLOOKUP(orders!C822,[1]customers!$A$1:$I$1001, 6,FALSE)</f>
        <v>Austin</v>
      </c>
    </row>
    <row r="823" spans="1:17" x14ac:dyDescent="0.3">
      <c r="A823" s="14" t="s">
        <v>1608</v>
      </c>
      <c r="B823" s="15">
        <v>44144</v>
      </c>
      <c r="C823" s="16" t="s">
        <v>1609</v>
      </c>
      <c r="D823" s="17" t="s">
        <v>163</v>
      </c>
      <c r="E823" s="16">
        <v>5</v>
      </c>
      <c r="F823" s="9" t="str">
        <f>VLOOKUP(C823,[1]customers!$A$1:$I$1001, 2, FALSE)</f>
        <v>Ericka Tripp</v>
      </c>
      <c r="G823" s="16" t="str">
        <f>VLOOKUP(orders!C823,[1]customers!$A$1:$I$1001, 3, FALSE)</f>
        <v>etrippmt@wp.com</v>
      </c>
      <c r="H823" s="16" t="str">
        <f>VLOOKUP(C823, [1]customers!$A$1:$I$1001, 7, FALSE)</f>
        <v>United States</v>
      </c>
      <c r="I823" s="18" t="str">
        <f>VLOOKUP(orders!D823,[1]products!$A$1:$G$49, 2,FALSE)</f>
        <v>Rob</v>
      </c>
      <c r="J823" s="18" t="str">
        <f>VLOOKUP(orders!D823,[1]products!$A$1:$G$49, 3,FALSE)</f>
        <v>D</v>
      </c>
      <c r="K823" s="19">
        <f>VLOOKUP(orders!D823,[1]products!$A$1:$G$49, 4,FALSE)</f>
        <v>0.5</v>
      </c>
      <c r="L823" s="19">
        <f>VLOOKUP(orders!D823,[1]products!$A$1:$G$49, 5,FALSE)</f>
        <v>5.3699999999999992</v>
      </c>
      <c r="M823" s="13">
        <f>PRODUCT(orders!$E823,orders!$L823)</f>
        <v>26.849999999999994</v>
      </c>
      <c r="N823" s="18" t="str">
        <f t="shared" si="24"/>
        <v>November</v>
      </c>
      <c r="O823" s="18">
        <f t="shared" si="25"/>
        <v>2020</v>
      </c>
      <c r="P823" s="11" t="str">
        <f>TEXT(orders!$B823, "DDD")</f>
        <v>Mon</v>
      </c>
      <c r="Q823" s="11" t="str">
        <f>VLOOKUP(orders!C823,[1]customers!$A$1:$I$1001, 6,FALSE)</f>
        <v>Mesa</v>
      </c>
    </row>
    <row r="824" spans="1:17" x14ac:dyDescent="0.3">
      <c r="A824" s="7" t="s">
        <v>1610</v>
      </c>
      <c r="B824" s="8">
        <v>43585</v>
      </c>
      <c r="C824" s="9" t="s">
        <v>1611</v>
      </c>
      <c r="D824" s="10" t="s">
        <v>47</v>
      </c>
      <c r="E824" s="9">
        <v>4</v>
      </c>
      <c r="F824" s="9" t="str">
        <f>VLOOKUP(C824,[1]customers!$A$1:$I$1001, 2, FALSE)</f>
        <v>Lyndsey MacManus</v>
      </c>
      <c r="G824" s="9" t="str">
        <f>VLOOKUP(orders!C824,[1]customers!$A$1:$I$1001, 3, FALSE)</f>
        <v>lmacmanusmu@imdb.com</v>
      </c>
      <c r="H824" s="9" t="str">
        <f>VLOOKUP(C824, [1]customers!$A$1:$I$1001, 7, FALSE)</f>
        <v>United States</v>
      </c>
      <c r="I824" s="11" t="str">
        <f>VLOOKUP(orders!D824,[1]products!$A$1:$G$49, 2,FALSE)</f>
        <v>Exc</v>
      </c>
      <c r="J824" s="11" t="str">
        <f>VLOOKUP(orders!D824,[1]products!$A$1:$G$49, 3,FALSE)</f>
        <v>L</v>
      </c>
      <c r="K824" s="12">
        <f>VLOOKUP(orders!D824,[1]products!$A$1:$G$49, 4,FALSE)</f>
        <v>2.5</v>
      </c>
      <c r="L824" s="12">
        <f>VLOOKUP(orders!D824,[1]products!$A$1:$G$49, 5,FALSE)</f>
        <v>34.154999999999994</v>
      </c>
      <c r="M824" s="13">
        <f>PRODUCT(orders!$E824,orders!$L824)</f>
        <v>136.61999999999998</v>
      </c>
      <c r="N824" s="11" t="str">
        <f t="shared" si="24"/>
        <v>April</v>
      </c>
      <c r="O824" s="11">
        <f t="shared" si="25"/>
        <v>2019</v>
      </c>
      <c r="P824" s="11" t="str">
        <f>TEXT(orders!$B824, "DDD")</f>
        <v>Tue</v>
      </c>
      <c r="Q824" s="11" t="str">
        <f>VLOOKUP(orders!C824,[1]customers!$A$1:$I$1001, 6,FALSE)</f>
        <v>Savannah</v>
      </c>
    </row>
    <row r="825" spans="1:17" x14ac:dyDescent="0.3">
      <c r="A825" s="14" t="s">
        <v>1612</v>
      </c>
      <c r="B825" s="15">
        <v>44134</v>
      </c>
      <c r="C825" s="16" t="s">
        <v>1613</v>
      </c>
      <c r="D825" s="17" t="s">
        <v>149</v>
      </c>
      <c r="E825" s="16">
        <v>3</v>
      </c>
      <c r="F825" s="9" t="str">
        <f>VLOOKUP(C825,[1]customers!$A$1:$I$1001, 2, FALSE)</f>
        <v>Tess Benediktovich</v>
      </c>
      <c r="G825" s="16" t="str">
        <f>VLOOKUP(orders!C825,[1]customers!$A$1:$I$1001, 3, FALSE)</f>
        <v>tbenediktovichmv@ebay.com</v>
      </c>
      <c r="H825" s="16" t="str">
        <f>VLOOKUP(C825, [1]customers!$A$1:$I$1001, 7, FALSE)</f>
        <v>United States</v>
      </c>
      <c r="I825" s="18" t="str">
        <f>VLOOKUP(orders!D825,[1]products!$A$1:$G$49, 2,FALSE)</f>
        <v>Lib</v>
      </c>
      <c r="J825" s="18" t="str">
        <f>VLOOKUP(orders!D825,[1]products!$A$1:$G$49, 3,FALSE)</f>
        <v>L</v>
      </c>
      <c r="K825" s="19">
        <f>VLOOKUP(orders!D825,[1]products!$A$1:$G$49, 4,FALSE)</f>
        <v>1</v>
      </c>
      <c r="L825" s="19">
        <f>VLOOKUP(orders!D825,[1]products!$A$1:$G$49, 5,FALSE)</f>
        <v>15.85</v>
      </c>
      <c r="M825" s="13">
        <f>PRODUCT(orders!$E825,orders!$L825)</f>
        <v>47.55</v>
      </c>
      <c r="N825" s="18" t="str">
        <f t="shared" si="24"/>
        <v>October</v>
      </c>
      <c r="O825" s="18">
        <f t="shared" si="25"/>
        <v>2020</v>
      </c>
      <c r="P825" s="11" t="str">
        <f>TEXT(orders!$B825, "DDD")</f>
        <v>Fri</v>
      </c>
      <c r="Q825" s="11" t="str">
        <f>VLOOKUP(orders!C825,[1]customers!$A$1:$I$1001, 6,FALSE)</f>
        <v>Albuquerque</v>
      </c>
    </row>
    <row r="826" spans="1:17" x14ac:dyDescent="0.3">
      <c r="A826" s="7" t="s">
        <v>1614</v>
      </c>
      <c r="B826" s="8">
        <v>43781</v>
      </c>
      <c r="C826" s="9" t="s">
        <v>1615</v>
      </c>
      <c r="D826" s="10" t="s">
        <v>61</v>
      </c>
      <c r="E826" s="9">
        <v>5</v>
      </c>
      <c r="F826" s="9" t="str">
        <f>VLOOKUP(C826,[1]customers!$A$1:$I$1001, 2, FALSE)</f>
        <v>Correy Bourner</v>
      </c>
      <c r="G826" s="9" t="str">
        <f>VLOOKUP(orders!C826,[1]customers!$A$1:$I$1001, 3, FALSE)</f>
        <v>cbournermw@chronoengine.com</v>
      </c>
      <c r="H826" s="9" t="str">
        <f>VLOOKUP(C826, [1]customers!$A$1:$I$1001, 7, FALSE)</f>
        <v>United States</v>
      </c>
      <c r="I826" s="11" t="str">
        <f>VLOOKUP(orders!D826,[1]products!$A$1:$G$49, 2,FALSE)</f>
        <v>Ara</v>
      </c>
      <c r="J826" s="11" t="str">
        <f>VLOOKUP(orders!D826,[1]products!$A$1:$G$49, 3,FALSE)</f>
        <v>M</v>
      </c>
      <c r="K826" s="12">
        <f>VLOOKUP(orders!D826,[1]products!$A$1:$G$49, 4,FALSE)</f>
        <v>0.2</v>
      </c>
      <c r="L826" s="12">
        <f>VLOOKUP(orders!D826,[1]products!$A$1:$G$49, 5,FALSE)</f>
        <v>3.375</v>
      </c>
      <c r="M826" s="13">
        <f>PRODUCT(orders!$E826,orders!$L826)</f>
        <v>16.875</v>
      </c>
      <c r="N826" s="11" t="str">
        <f t="shared" si="24"/>
        <v>November</v>
      </c>
      <c r="O826" s="11">
        <f t="shared" si="25"/>
        <v>2019</v>
      </c>
      <c r="P826" s="11" t="str">
        <f>TEXT(orders!$B826, "DDD")</f>
        <v>Tue</v>
      </c>
      <c r="Q826" s="11" t="str">
        <f>VLOOKUP(orders!C826,[1]customers!$A$1:$I$1001, 6,FALSE)</f>
        <v>Charlotte</v>
      </c>
    </row>
    <row r="827" spans="1:17" x14ac:dyDescent="0.3">
      <c r="A827" s="14" t="s">
        <v>1616</v>
      </c>
      <c r="B827" s="15">
        <v>44603</v>
      </c>
      <c r="C827" s="16" t="s">
        <v>1617</v>
      </c>
      <c r="D827" s="17" t="s">
        <v>44</v>
      </c>
      <c r="E827" s="16">
        <v>3</v>
      </c>
      <c r="F827" s="9" t="str">
        <f>VLOOKUP(C827,[1]customers!$A$1:$I$1001, 2, FALSE)</f>
        <v>Odelia Skerme</v>
      </c>
      <c r="G827" s="16" t="str">
        <f>VLOOKUP(orders!C827,[1]customers!$A$1:$I$1001, 3, FALSE)</f>
        <v>oskermen3@hatena.ne.jp</v>
      </c>
      <c r="H827" s="16" t="str">
        <f>VLOOKUP(C827, [1]customers!$A$1:$I$1001, 7, FALSE)</f>
        <v>United States</v>
      </c>
      <c r="I827" s="18" t="str">
        <f>VLOOKUP(orders!D827,[1]products!$A$1:$G$49, 2,FALSE)</f>
        <v>Ara</v>
      </c>
      <c r="J827" s="18" t="str">
        <f>VLOOKUP(orders!D827,[1]products!$A$1:$G$49, 3,FALSE)</f>
        <v>D</v>
      </c>
      <c r="K827" s="19">
        <f>VLOOKUP(orders!D827,[1]products!$A$1:$G$49, 4,FALSE)</f>
        <v>1</v>
      </c>
      <c r="L827" s="19">
        <f>VLOOKUP(orders!D827,[1]products!$A$1:$G$49, 5,FALSE)</f>
        <v>9.9499999999999993</v>
      </c>
      <c r="M827" s="13">
        <f>PRODUCT(orders!$E827,orders!$L827)</f>
        <v>29.849999999999998</v>
      </c>
      <c r="N827" s="18" t="str">
        <f t="shared" si="24"/>
        <v>February</v>
      </c>
      <c r="O827" s="18">
        <f t="shared" si="25"/>
        <v>2022</v>
      </c>
      <c r="P827" s="11" t="str">
        <f>TEXT(orders!$B827, "DDD")</f>
        <v>Fri</v>
      </c>
      <c r="Q827" s="11" t="str">
        <f>VLOOKUP(orders!C827,[1]customers!$A$1:$I$1001, 6,FALSE)</f>
        <v>Oklahoma City</v>
      </c>
    </row>
    <row r="828" spans="1:17" x14ac:dyDescent="0.3">
      <c r="A828" s="7" t="s">
        <v>1618</v>
      </c>
      <c r="B828" s="8">
        <v>44283</v>
      </c>
      <c r="C828" s="9" t="s">
        <v>1619</v>
      </c>
      <c r="D828" s="10" t="s">
        <v>20</v>
      </c>
      <c r="E828" s="9">
        <v>5</v>
      </c>
      <c r="F828" s="9" t="str">
        <f>VLOOKUP(C828,[1]customers!$A$1:$I$1001, 2, FALSE)</f>
        <v>Kandy Heddan</v>
      </c>
      <c r="G828" s="9" t="str">
        <f>VLOOKUP(orders!C828,[1]customers!$A$1:$I$1001, 3, FALSE)</f>
        <v>kheddanmy@icq.com</v>
      </c>
      <c r="H828" s="9" t="str">
        <f>VLOOKUP(C828, [1]customers!$A$1:$I$1001, 7, FALSE)</f>
        <v>United States</v>
      </c>
      <c r="I828" s="11" t="str">
        <f>VLOOKUP(orders!D828,[1]products!$A$1:$G$49, 2,FALSE)</f>
        <v>Exc</v>
      </c>
      <c r="J828" s="11" t="str">
        <f>VLOOKUP(orders!D828,[1]products!$A$1:$G$49, 3,FALSE)</f>
        <v>M</v>
      </c>
      <c r="K828" s="12">
        <f>VLOOKUP(orders!D828,[1]products!$A$1:$G$49, 4,FALSE)</f>
        <v>0.5</v>
      </c>
      <c r="L828" s="12">
        <f>VLOOKUP(orders!D828,[1]products!$A$1:$G$49, 5,FALSE)</f>
        <v>8.25</v>
      </c>
      <c r="M828" s="13">
        <f>PRODUCT(orders!$E828,orders!$L828)</f>
        <v>41.25</v>
      </c>
      <c r="N828" s="11" t="str">
        <f t="shared" si="24"/>
        <v>March</v>
      </c>
      <c r="O828" s="11">
        <f t="shared" si="25"/>
        <v>2021</v>
      </c>
      <c r="P828" s="11" t="str">
        <f>TEXT(orders!$B828, "DDD")</f>
        <v>Sun</v>
      </c>
      <c r="Q828" s="11" t="str">
        <f>VLOOKUP(orders!C828,[1]customers!$A$1:$I$1001, 6,FALSE)</f>
        <v>Pensacola</v>
      </c>
    </row>
    <row r="829" spans="1:17" x14ac:dyDescent="0.3">
      <c r="A829" s="14" t="s">
        <v>1620</v>
      </c>
      <c r="B829" s="15">
        <v>44540</v>
      </c>
      <c r="C829" s="16" t="s">
        <v>1621</v>
      </c>
      <c r="D829" s="17" t="s">
        <v>81</v>
      </c>
      <c r="E829" s="16">
        <v>5</v>
      </c>
      <c r="F829" s="9" t="str">
        <f>VLOOKUP(C829,[1]customers!$A$1:$I$1001, 2, FALSE)</f>
        <v>Ibby Charters</v>
      </c>
      <c r="G829" s="16" t="str">
        <f>VLOOKUP(orders!C829,[1]customers!$A$1:$I$1001, 3, FALSE)</f>
        <v>ichartersmz@abc.net.au</v>
      </c>
      <c r="H829" s="16" t="str">
        <f>VLOOKUP(C829, [1]customers!$A$1:$I$1001, 7, FALSE)</f>
        <v>United States</v>
      </c>
      <c r="I829" s="18" t="str">
        <f>VLOOKUP(orders!D829,[1]products!$A$1:$G$49, 2,FALSE)</f>
        <v>Exc</v>
      </c>
      <c r="J829" s="18" t="str">
        <f>VLOOKUP(orders!D829,[1]products!$A$1:$G$49, 3,FALSE)</f>
        <v>M</v>
      </c>
      <c r="K829" s="19">
        <f>VLOOKUP(orders!D829,[1]products!$A$1:$G$49, 4,FALSE)</f>
        <v>0.2</v>
      </c>
      <c r="L829" s="19">
        <f>VLOOKUP(orders!D829,[1]products!$A$1:$G$49, 5,FALSE)</f>
        <v>4.125</v>
      </c>
      <c r="M829" s="13">
        <f>PRODUCT(orders!$E829,orders!$L829)</f>
        <v>20.625</v>
      </c>
      <c r="N829" s="18" t="str">
        <f t="shared" si="24"/>
        <v>December</v>
      </c>
      <c r="O829" s="18">
        <f t="shared" si="25"/>
        <v>2021</v>
      </c>
      <c r="P829" s="11" t="str">
        <f>TEXT(orders!$B829, "DDD")</f>
        <v>Fri</v>
      </c>
      <c r="Q829" s="11" t="str">
        <f>VLOOKUP(orders!C829,[1]customers!$A$1:$I$1001, 6,FALSE)</f>
        <v>Washington</v>
      </c>
    </row>
    <row r="830" spans="1:17" x14ac:dyDescent="0.3">
      <c r="A830" s="7" t="s">
        <v>1622</v>
      </c>
      <c r="B830" s="8">
        <v>44505</v>
      </c>
      <c r="C830" s="9" t="s">
        <v>1623</v>
      </c>
      <c r="D830" s="10" t="s">
        <v>135</v>
      </c>
      <c r="E830" s="9">
        <v>6</v>
      </c>
      <c r="F830" s="9" t="str">
        <f>VLOOKUP(C830,[1]customers!$A$1:$I$1001, 2, FALSE)</f>
        <v>Adora Roubert</v>
      </c>
      <c r="G830" s="9" t="str">
        <f>VLOOKUP(orders!C830,[1]customers!$A$1:$I$1001, 3, FALSE)</f>
        <v>aroubertn0@tmall.com</v>
      </c>
      <c r="H830" s="9" t="str">
        <f>VLOOKUP(C830, [1]customers!$A$1:$I$1001, 7, FALSE)</f>
        <v>United States</v>
      </c>
      <c r="I830" s="11" t="str">
        <f>VLOOKUP(orders!D830,[1]products!$A$1:$G$49, 2,FALSE)</f>
        <v>Ara</v>
      </c>
      <c r="J830" s="11" t="str">
        <f>VLOOKUP(orders!D830,[1]products!$A$1:$G$49, 3,FALSE)</f>
        <v>D</v>
      </c>
      <c r="K830" s="12">
        <f>VLOOKUP(orders!D830,[1]products!$A$1:$G$49, 4,FALSE)</f>
        <v>2.5</v>
      </c>
      <c r="L830" s="12">
        <f>VLOOKUP(orders!D830,[1]products!$A$1:$G$49, 5,FALSE)</f>
        <v>22.884999999999998</v>
      </c>
      <c r="M830" s="13">
        <f>PRODUCT(orders!$E830,orders!$L830)</f>
        <v>137.31</v>
      </c>
      <c r="N830" s="11" t="str">
        <f t="shared" si="24"/>
        <v>November</v>
      </c>
      <c r="O830" s="11">
        <f t="shared" si="25"/>
        <v>2021</v>
      </c>
      <c r="P830" s="11" t="str">
        <f>TEXT(orders!$B830, "DDD")</f>
        <v>Fri</v>
      </c>
      <c r="Q830" s="11" t="str">
        <f>VLOOKUP(orders!C830,[1]customers!$A$1:$I$1001, 6,FALSE)</f>
        <v>Port Saint Lucie</v>
      </c>
    </row>
    <row r="831" spans="1:17" x14ac:dyDescent="0.3">
      <c r="A831" s="14" t="s">
        <v>1624</v>
      </c>
      <c r="B831" s="15">
        <v>43890</v>
      </c>
      <c r="C831" s="16" t="s">
        <v>1625</v>
      </c>
      <c r="D831" s="17" t="s">
        <v>71</v>
      </c>
      <c r="E831" s="16">
        <v>1</v>
      </c>
      <c r="F831" s="9" t="str">
        <f>VLOOKUP(C831,[1]customers!$A$1:$I$1001, 2, FALSE)</f>
        <v>Hillel Mairs</v>
      </c>
      <c r="G831" s="16" t="str">
        <f>VLOOKUP(orders!C831,[1]customers!$A$1:$I$1001, 3, FALSE)</f>
        <v>hmairsn1@so-net.ne.jp</v>
      </c>
      <c r="H831" s="16" t="str">
        <f>VLOOKUP(C831, [1]customers!$A$1:$I$1001, 7, FALSE)</f>
        <v>United States</v>
      </c>
      <c r="I831" s="18" t="str">
        <f>VLOOKUP(orders!D831,[1]products!$A$1:$G$49, 2,FALSE)</f>
        <v>Ara</v>
      </c>
      <c r="J831" s="18" t="str">
        <f>VLOOKUP(orders!D831,[1]products!$A$1:$G$49, 3,FALSE)</f>
        <v>D</v>
      </c>
      <c r="K831" s="19">
        <f>VLOOKUP(orders!D831,[1]products!$A$1:$G$49, 4,FALSE)</f>
        <v>0.2</v>
      </c>
      <c r="L831" s="19">
        <f>VLOOKUP(orders!D831,[1]products!$A$1:$G$49, 5,FALSE)</f>
        <v>2.9849999999999999</v>
      </c>
      <c r="M831" s="13">
        <f>PRODUCT(orders!$E831,orders!$L831)</f>
        <v>2.9849999999999999</v>
      </c>
      <c r="N831" s="18" t="str">
        <f t="shared" si="24"/>
        <v>February</v>
      </c>
      <c r="O831" s="18">
        <f t="shared" si="25"/>
        <v>2020</v>
      </c>
      <c r="P831" s="11" t="str">
        <f>TEXT(orders!$B831, "DDD")</f>
        <v>Sat</v>
      </c>
      <c r="Q831" s="11" t="str">
        <f>VLOOKUP(orders!C831,[1]customers!$A$1:$I$1001, 6,FALSE)</f>
        <v>Huntington</v>
      </c>
    </row>
    <row r="832" spans="1:17" x14ac:dyDescent="0.3">
      <c r="A832" s="7" t="s">
        <v>1626</v>
      </c>
      <c r="B832" s="8">
        <v>44414</v>
      </c>
      <c r="C832" s="9" t="s">
        <v>1627</v>
      </c>
      <c r="D832" s="10" t="s">
        <v>26</v>
      </c>
      <c r="E832" s="9">
        <v>2</v>
      </c>
      <c r="F832" s="9" t="str">
        <f>VLOOKUP(C832,[1]customers!$A$1:$I$1001, 2, FALSE)</f>
        <v>Helaina Rainforth</v>
      </c>
      <c r="G832" s="9" t="str">
        <f>VLOOKUP(orders!C832,[1]customers!$A$1:$I$1001, 3, FALSE)</f>
        <v>hrainforthn2@blog.com</v>
      </c>
      <c r="H832" s="9" t="str">
        <f>VLOOKUP(C832, [1]customers!$A$1:$I$1001, 7, FALSE)</f>
        <v>United States</v>
      </c>
      <c r="I832" s="11" t="str">
        <f>VLOOKUP(orders!D832,[1]products!$A$1:$G$49, 2,FALSE)</f>
        <v>Exc</v>
      </c>
      <c r="J832" s="11" t="str">
        <f>VLOOKUP(orders!D832,[1]products!$A$1:$G$49, 3,FALSE)</f>
        <v>M</v>
      </c>
      <c r="K832" s="12">
        <f>VLOOKUP(orders!D832,[1]products!$A$1:$G$49, 4,FALSE)</f>
        <v>1</v>
      </c>
      <c r="L832" s="12">
        <f>VLOOKUP(orders!D832,[1]products!$A$1:$G$49, 5,FALSE)</f>
        <v>13.75</v>
      </c>
      <c r="M832" s="13">
        <f>PRODUCT(orders!$E832,orders!$L832)</f>
        <v>27.5</v>
      </c>
      <c r="N832" s="11" t="str">
        <f t="shared" si="24"/>
        <v>August</v>
      </c>
      <c r="O832" s="11">
        <f t="shared" si="25"/>
        <v>2021</v>
      </c>
      <c r="P832" s="11" t="str">
        <f>TEXT(orders!$B832, "DDD")</f>
        <v>Fri</v>
      </c>
      <c r="Q832" s="11" t="str">
        <f>VLOOKUP(orders!C832,[1]customers!$A$1:$I$1001, 6,FALSE)</f>
        <v>Philadelphia</v>
      </c>
    </row>
    <row r="833" spans="1:17" x14ac:dyDescent="0.3">
      <c r="A833" s="14" t="s">
        <v>1626</v>
      </c>
      <c r="B833" s="15">
        <v>44414</v>
      </c>
      <c r="C833" s="16" t="s">
        <v>1627</v>
      </c>
      <c r="D833" s="17" t="s">
        <v>71</v>
      </c>
      <c r="E833" s="16">
        <v>2</v>
      </c>
      <c r="F833" s="9" t="str">
        <f>VLOOKUP(C833,[1]customers!$A$1:$I$1001, 2, FALSE)</f>
        <v>Helaina Rainforth</v>
      </c>
      <c r="G833" s="16" t="str">
        <f>VLOOKUP(orders!C833,[1]customers!$A$1:$I$1001, 3, FALSE)</f>
        <v>hrainforthn2@blog.com</v>
      </c>
      <c r="H833" s="16" t="str">
        <f>VLOOKUP(C833, [1]customers!$A$1:$I$1001, 7, FALSE)</f>
        <v>United States</v>
      </c>
      <c r="I833" s="18" t="str">
        <f>VLOOKUP(orders!D833,[1]products!$A$1:$G$49, 2,FALSE)</f>
        <v>Ara</v>
      </c>
      <c r="J833" s="18" t="str">
        <f>VLOOKUP(orders!D833,[1]products!$A$1:$G$49, 3,FALSE)</f>
        <v>D</v>
      </c>
      <c r="K833" s="19">
        <f>VLOOKUP(orders!D833,[1]products!$A$1:$G$49, 4,FALSE)</f>
        <v>0.2</v>
      </c>
      <c r="L833" s="19">
        <f>VLOOKUP(orders!D833,[1]products!$A$1:$G$49, 5,FALSE)</f>
        <v>2.9849999999999999</v>
      </c>
      <c r="M833" s="13">
        <f>PRODUCT(orders!$E833,orders!$L833)</f>
        <v>5.97</v>
      </c>
      <c r="N833" s="18" t="str">
        <f t="shared" si="24"/>
        <v>August</v>
      </c>
      <c r="O833" s="18">
        <f t="shared" si="25"/>
        <v>2021</v>
      </c>
      <c r="P833" s="11" t="str">
        <f>TEXT(orders!$B833, "DDD")</f>
        <v>Fri</v>
      </c>
      <c r="Q833" s="11" t="str">
        <f>VLOOKUP(orders!C833,[1]customers!$A$1:$I$1001, 6,FALSE)</f>
        <v>Philadelphia</v>
      </c>
    </row>
    <row r="834" spans="1:17" x14ac:dyDescent="0.3">
      <c r="A834" s="7" t="s">
        <v>1628</v>
      </c>
      <c r="B834" s="8">
        <v>44274</v>
      </c>
      <c r="C834" s="9" t="s">
        <v>1629</v>
      </c>
      <c r="D834" s="10" t="s">
        <v>19</v>
      </c>
      <c r="E834" s="9">
        <v>6</v>
      </c>
      <c r="F834" s="9" t="str">
        <f>VLOOKUP(C834,[1]customers!$A$1:$I$1001, 2, FALSE)</f>
        <v>Isac Jesper</v>
      </c>
      <c r="G834" s="9" t="str">
        <f>VLOOKUP(orders!C834,[1]customers!$A$1:$I$1001, 3, FALSE)</f>
        <v>ijespern4@theglobeandmail.com</v>
      </c>
      <c r="H834" s="9" t="str">
        <f>VLOOKUP(C834, [1]customers!$A$1:$I$1001, 7, FALSE)</f>
        <v>United States</v>
      </c>
      <c r="I834" s="11" t="str">
        <f>VLOOKUP(orders!D834,[1]products!$A$1:$G$49, 2,FALSE)</f>
        <v>Rob</v>
      </c>
      <c r="J834" s="11" t="str">
        <f>VLOOKUP(orders!D834,[1]products!$A$1:$G$49, 3,FALSE)</f>
        <v>M</v>
      </c>
      <c r="K834" s="12">
        <f>VLOOKUP(orders!D834,[1]products!$A$1:$G$49, 4,FALSE)</f>
        <v>1</v>
      </c>
      <c r="L834" s="12">
        <f>VLOOKUP(orders!D834,[1]products!$A$1:$G$49, 5,FALSE)</f>
        <v>9.9499999999999993</v>
      </c>
      <c r="M834" s="13">
        <f>PRODUCT(orders!$E834,orders!$L834)</f>
        <v>59.699999999999996</v>
      </c>
      <c r="N834" s="11" t="str">
        <f t="shared" ref="N834:N897" si="26">TEXT(B834, "mmmm")</f>
        <v>March</v>
      </c>
      <c r="O834" s="11">
        <f t="shared" ref="O834:O897" si="27">YEAR(B834)</f>
        <v>2021</v>
      </c>
      <c r="P834" s="11" t="str">
        <f>TEXT(orders!$B834, "DDD")</f>
        <v>Fri</v>
      </c>
      <c r="Q834" s="11" t="str">
        <f>VLOOKUP(orders!C834,[1]customers!$A$1:$I$1001, 6,FALSE)</f>
        <v>Naples</v>
      </c>
    </row>
    <row r="835" spans="1:17" x14ac:dyDescent="0.3">
      <c r="A835" s="14" t="s">
        <v>1630</v>
      </c>
      <c r="B835" s="15">
        <v>44302</v>
      </c>
      <c r="C835" s="16" t="s">
        <v>1631</v>
      </c>
      <c r="D835" s="17" t="s">
        <v>52</v>
      </c>
      <c r="E835" s="16">
        <v>4</v>
      </c>
      <c r="F835" s="9" t="str">
        <f>VLOOKUP(C835,[1]customers!$A$1:$I$1001, 2, FALSE)</f>
        <v>Lenette Dwerryhouse</v>
      </c>
      <c r="G835" s="16" t="str">
        <f>VLOOKUP(orders!C835,[1]customers!$A$1:$I$1001, 3, FALSE)</f>
        <v>ldwerryhousen5@gravatar.com</v>
      </c>
      <c r="H835" s="16" t="str">
        <f>VLOOKUP(C835, [1]customers!$A$1:$I$1001, 7, FALSE)</f>
        <v>United States</v>
      </c>
      <c r="I835" s="18" t="str">
        <f>VLOOKUP(orders!D835,[1]products!$A$1:$G$49, 2,FALSE)</f>
        <v>Rob</v>
      </c>
      <c r="J835" s="18" t="str">
        <f>VLOOKUP(orders!D835,[1]products!$A$1:$G$49, 3,FALSE)</f>
        <v>D</v>
      </c>
      <c r="K835" s="19">
        <f>VLOOKUP(orders!D835,[1]products!$A$1:$G$49, 4,FALSE)</f>
        <v>2.5</v>
      </c>
      <c r="L835" s="19">
        <f>VLOOKUP(orders!D835,[1]products!$A$1:$G$49, 5,FALSE)</f>
        <v>20.584999999999997</v>
      </c>
      <c r="M835" s="13">
        <f>PRODUCT(orders!$E835,orders!$L835)</f>
        <v>82.339999999999989</v>
      </c>
      <c r="N835" s="18" t="str">
        <f t="shared" si="26"/>
        <v>April</v>
      </c>
      <c r="O835" s="18">
        <f t="shared" si="27"/>
        <v>2021</v>
      </c>
      <c r="P835" s="11" t="str">
        <f>TEXT(orders!$B835, "DDD")</f>
        <v>Fri</v>
      </c>
      <c r="Q835" s="11" t="str">
        <f>VLOOKUP(orders!C835,[1]customers!$A$1:$I$1001, 6,FALSE)</f>
        <v>Fort Worth</v>
      </c>
    </row>
    <row r="836" spans="1:17" x14ac:dyDescent="0.3">
      <c r="A836" s="7" t="s">
        <v>1632</v>
      </c>
      <c r="B836" s="8">
        <v>44141</v>
      </c>
      <c r="C836" s="9" t="s">
        <v>1633</v>
      </c>
      <c r="D836" s="10" t="s">
        <v>135</v>
      </c>
      <c r="E836" s="9">
        <v>1</v>
      </c>
      <c r="F836" s="9" t="str">
        <f>VLOOKUP(C836,[1]customers!$A$1:$I$1001, 2, FALSE)</f>
        <v>Nadeen Broomer</v>
      </c>
      <c r="G836" s="9" t="str">
        <f>VLOOKUP(orders!C836,[1]customers!$A$1:$I$1001, 3, FALSE)</f>
        <v>nbroomern6@examiner.com</v>
      </c>
      <c r="H836" s="9" t="str">
        <f>VLOOKUP(C836, [1]customers!$A$1:$I$1001, 7, FALSE)</f>
        <v>United States</v>
      </c>
      <c r="I836" s="11" t="str">
        <f>VLOOKUP(orders!D836,[1]products!$A$1:$G$49, 2,FALSE)</f>
        <v>Ara</v>
      </c>
      <c r="J836" s="11" t="str">
        <f>VLOOKUP(orders!D836,[1]products!$A$1:$G$49, 3,FALSE)</f>
        <v>D</v>
      </c>
      <c r="K836" s="12">
        <f>VLOOKUP(orders!D836,[1]products!$A$1:$G$49, 4,FALSE)</f>
        <v>2.5</v>
      </c>
      <c r="L836" s="12">
        <f>VLOOKUP(orders!D836,[1]products!$A$1:$G$49, 5,FALSE)</f>
        <v>22.884999999999998</v>
      </c>
      <c r="M836" s="13">
        <f>PRODUCT(orders!$E836,orders!$L836)</f>
        <v>22.884999999999998</v>
      </c>
      <c r="N836" s="11" t="str">
        <f t="shared" si="26"/>
        <v>November</v>
      </c>
      <c r="O836" s="11">
        <f t="shared" si="27"/>
        <v>2020</v>
      </c>
      <c r="P836" s="11" t="str">
        <f>TEXT(orders!$B836, "DDD")</f>
        <v>Fri</v>
      </c>
      <c r="Q836" s="11" t="str">
        <f>VLOOKUP(orders!C836,[1]customers!$A$1:$I$1001, 6,FALSE)</f>
        <v>Omaha</v>
      </c>
    </row>
    <row r="837" spans="1:17" x14ac:dyDescent="0.3">
      <c r="A837" s="14" t="s">
        <v>1634</v>
      </c>
      <c r="B837" s="15">
        <v>44270</v>
      </c>
      <c r="C837" s="16" t="s">
        <v>1635</v>
      </c>
      <c r="D837" s="17" t="s">
        <v>193</v>
      </c>
      <c r="E837" s="16">
        <v>1</v>
      </c>
      <c r="F837" s="9" t="str">
        <f>VLOOKUP(C837,[1]customers!$A$1:$I$1001, 2, FALSE)</f>
        <v>Konstantine Thoumasson</v>
      </c>
      <c r="G837" s="16" t="str">
        <f>VLOOKUP(orders!C837,[1]customers!$A$1:$I$1001, 3, FALSE)</f>
        <v>kthoumassonn7@bloglovin.com</v>
      </c>
      <c r="H837" s="16" t="str">
        <f>VLOOKUP(C837, [1]customers!$A$1:$I$1001, 7, FALSE)</f>
        <v>United States</v>
      </c>
      <c r="I837" s="18" t="str">
        <f>VLOOKUP(orders!D837,[1]products!$A$1:$G$49, 2,FALSE)</f>
        <v>Exc</v>
      </c>
      <c r="J837" s="18" t="str">
        <f>VLOOKUP(orders!D837,[1]products!$A$1:$G$49, 3,FALSE)</f>
        <v>L</v>
      </c>
      <c r="K837" s="19">
        <f>VLOOKUP(orders!D837,[1]products!$A$1:$G$49, 4,FALSE)</f>
        <v>0.5</v>
      </c>
      <c r="L837" s="19">
        <f>VLOOKUP(orders!D837,[1]products!$A$1:$G$49, 5,FALSE)</f>
        <v>8.91</v>
      </c>
      <c r="M837" s="13">
        <f>PRODUCT(orders!$E837,orders!$L837)</f>
        <v>8.91</v>
      </c>
      <c r="N837" s="18" t="str">
        <f t="shared" si="26"/>
        <v>March</v>
      </c>
      <c r="O837" s="18">
        <f t="shared" si="27"/>
        <v>2021</v>
      </c>
      <c r="P837" s="11" t="str">
        <f>TEXT(orders!$B837, "DDD")</f>
        <v>Mon</v>
      </c>
      <c r="Q837" s="11" t="str">
        <f>VLOOKUP(orders!C837,[1]customers!$A$1:$I$1001, 6,FALSE)</f>
        <v>Tucson</v>
      </c>
    </row>
    <row r="838" spans="1:17" x14ac:dyDescent="0.3">
      <c r="A838" s="7" t="s">
        <v>1636</v>
      </c>
      <c r="B838" s="8">
        <v>44486</v>
      </c>
      <c r="C838" s="9" t="s">
        <v>1637</v>
      </c>
      <c r="D838" s="10" t="s">
        <v>71</v>
      </c>
      <c r="E838" s="9">
        <v>4</v>
      </c>
      <c r="F838" s="9" t="str">
        <f>VLOOKUP(C838,[1]customers!$A$1:$I$1001, 2, FALSE)</f>
        <v>Frans Habbergham</v>
      </c>
      <c r="G838" s="9" t="str">
        <f>VLOOKUP(orders!C838,[1]customers!$A$1:$I$1001, 3, FALSE)</f>
        <v>fhabberghamn8@discovery.com</v>
      </c>
      <c r="H838" s="9" t="str">
        <f>VLOOKUP(C838, [1]customers!$A$1:$I$1001, 7, FALSE)</f>
        <v>United States</v>
      </c>
      <c r="I838" s="11" t="str">
        <f>VLOOKUP(orders!D838,[1]products!$A$1:$G$49, 2,FALSE)</f>
        <v>Ara</v>
      </c>
      <c r="J838" s="11" t="str">
        <f>VLOOKUP(orders!D838,[1]products!$A$1:$G$49, 3,FALSE)</f>
        <v>D</v>
      </c>
      <c r="K838" s="12">
        <f>VLOOKUP(orders!D838,[1]products!$A$1:$G$49, 4,FALSE)</f>
        <v>0.2</v>
      </c>
      <c r="L838" s="12">
        <f>VLOOKUP(orders!D838,[1]products!$A$1:$G$49, 5,FALSE)</f>
        <v>2.9849999999999999</v>
      </c>
      <c r="M838" s="13">
        <f>PRODUCT(orders!$E838,orders!$L838)</f>
        <v>11.94</v>
      </c>
      <c r="N838" s="11" t="str">
        <f t="shared" si="26"/>
        <v>October</v>
      </c>
      <c r="O838" s="11">
        <f t="shared" si="27"/>
        <v>2021</v>
      </c>
      <c r="P838" s="11" t="str">
        <f>TEXT(orders!$B838, "DDD")</f>
        <v>Sun</v>
      </c>
      <c r="Q838" s="11" t="str">
        <f>VLOOKUP(orders!C838,[1]customers!$A$1:$I$1001, 6,FALSE)</f>
        <v>Sparks</v>
      </c>
    </row>
    <row r="839" spans="1:17" x14ac:dyDescent="0.3">
      <c r="A839" s="14" t="s">
        <v>1638</v>
      </c>
      <c r="B839" s="15">
        <v>43715</v>
      </c>
      <c r="C839" s="16" t="s">
        <v>1586</v>
      </c>
      <c r="D839" s="17" t="s">
        <v>214</v>
      </c>
      <c r="E839" s="16">
        <v>3</v>
      </c>
      <c r="F839" s="9" t="str">
        <f>VLOOKUP(C839,[1]customers!$A$1:$I$1001, 2, FALSE)</f>
        <v>Allis Wilmore</v>
      </c>
      <c r="G839" s="16">
        <f>VLOOKUP(orders!C839,[1]customers!$A$1:$I$1001, 3, FALSE)</f>
        <v>0</v>
      </c>
      <c r="H839" s="16" t="str">
        <f>VLOOKUP(C839, [1]customers!$A$1:$I$1001, 7, FALSE)</f>
        <v>United States</v>
      </c>
      <c r="I839" s="18" t="str">
        <f>VLOOKUP(orders!D839,[1]products!$A$1:$G$49, 2,FALSE)</f>
        <v>Lib</v>
      </c>
      <c r="J839" s="18" t="str">
        <f>VLOOKUP(orders!D839,[1]products!$A$1:$G$49, 3,FALSE)</f>
        <v>M</v>
      </c>
      <c r="K839" s="19">
        <f>VLOOKUP(orders!D839,[1]products!$A$1:$G$49, 4,FALSE)</f>
        <v>2.5</v>
      </c>
      <c r="L839" s="19">
        <f>VLOOKUP(orders!D839,[1]products!$A$1:$G$49, 5,FALSE)</f>
        <v>33.464999999999996</v>
      </c>
      <c r="M839" s="13">
        <f>PRODUCT(orders!$E839,orders!$L839)</f>
        <v>100.39499999999998</v>
      </c>
      <c r="N839" s="18" t="str">
        <f t="shared" si="26"/>
        <v>September</v>
      </c>
      <c r="O839" s="18">
        <f t="shared" si="27"/>
        <v>2019</v>
      </c>
      <c r="P839" s="11" t="str">
        <f>TEXT(orders!$B839, "DDD")</f>
        <v>Sat</v>
      </c>
      <c r="Q839" s="11" t="str">
        <f>VLOOKUP(orders!C839,[1]customers!$A$1:$I$1001, 6,FALSE)</f>
        <v>Houston</v>
      </c>
    </row>
    <row r="840" spans="1:17" x14ac:dyDescent="0.3">
      <c r="A840" s="7" t="s">
        <v>1639</v>
      </c>
      <c r="B840" s="8">
        <v>44755</v>
      </c>
      <c r="C840" s="9" t="s">
        <v>1640</v>
      </c>
      <c r="D840" s="10" t="s">
        <v>135</v>
      </c>
      <c r="E840" s="9">
        <v>5</v>
      </c>
      <c r="F840" s="9" t="str">
        <f>VLOOKUP(C840,[1]customers!$A$1:$I$1001, 2, FALSE)</f>
        <v>Romain Avrashin</v>
      </c>
      <c r="G840" s="9" t="str">
        <f>VLOOKUP(orders!C840,[1]customers!$A$1:$I$1001, 3, FALSE)</f>
        <v>ravrashinna@tamu.edu</v>
      </c>
      <c r="H840" s="9" t="str">
        <f>VLOOKUP(C840, [1]customers!$A$1:$I$1001, 7, FALSE)</f>
        <v>United States</v>
      </c>
      <c r="I840" s="11" t="str">
        <f>VLOOKUP(orders!D840,[1]products!$A$1:$G$49, 2,FALSE)</f>
        <v>Ara</v>
      </c>
      <c r="J840" s="11" t="str">
        <f>VLOOKUP(orders!D840,[1]products!$A$1:$G$49, 3,FALSE)</f>
        <v>D</v>
      </c>
      <c r="K840" s="12">
        <f>VLOOKUP(orders!D840,[1]products!$A$1:$G$49, 4,FALSE)</f>
        <v>2.5</v>
      </c>
      <c r="L840" s="12">
        <f>VLOOKUP(orders!D840,[1]products!$A$1:$G$49, 5,FALSE)</f>
        <v>22.884999999999998</v>
      </c>
      <c r="M840" s="13">
        <f>PRODUCT(orders!$E840,orders!$L840)</f>
        <v>114.42499999999998</v>
      </c>
      <c r="N840" s="11" t="str">
        <f t="shared" si="26"/>
        <v>July</v>
      </c>
      <c r="O840" s="11">
        <f t="shared" si="27"/>
        <v>2022</v>
      </c>
      <c r="P840" s="11" t="str">
        <f>TEXT(orders!$B840, "DDD")</f>
        <v>Wed</v>
      </c>
      <c r="Q840" s="11" t="str">
        <f>VLOOKUP(orders!C840,[1]customers!$A$1:$I$1001, 6,FALSE)</f>
        <v>Washington</v>
      </c>
    </row>
    <row r="841" spans="1:17" x14ac:dyDescent="0.3">
      <c r="A841" s="14" t="s">
        <v>1641</v>
      </c>
      <c r="B841" s="15">
        <v>44521</v>
      </c>
      <c r="C841" s="16" t="s">
        <v>1642</v>
      </c>
      <c r="D841" s="17" t="s">
        <v>20</v>
      </c>
      <c r="E841" s="16">
        <v>5</v>
      </c>
      <c r="F841" s="9" t="str">
        <f>VLOOKUP(C841,[1]customers!$A$1:$I$1001, 2, FALSE)</f>
        <v>Miran Doidge</v>
      </c>
      <c r="G841" s="16" t="str">
        <f>VLOOKUP(orders!C841,[1]customers!$A$1:$I$1001, 3, FALSE)</f>
        <v>mdoidgenb@etsy.com</v>
      </c>
      <c r="H841" s="16" t="str">
        <f>VLOOKUP(C841, [1]customers!$A$1:$I$1001, 7, FALSE)</f>
        <v>United States</v>
      </c>
      <c r="I841" s="18" t="str">
        <f>VLOOKUP(orders!D841,[1]products!$A$1:$G$49, 2,FALSE)</f>
        <v>Exc</v>
      </c>
      <c r="J841" s="18" t="str">
        <f>VLOOKUP(orders!D841,[1]products!$A$1:$G$49, 3,FALSE)</f>
        <v>M</v>
      </c>
      <c r="K841" s="19">
        <f>VLOOKUP(orders!D841,[1]products!$A$1:$G$49, 4,FALSE)</f>
        <v>0.5</v>
      </c>
      <c r="L841" s="19">
        <f>VLOOKUP(orders!D841,[1]products!$A$1:$G$49, 5,FALSE)</f>
        <v>8.25</v>
      </c>
      <c r="M841" s="13">
        <f>PRODUCT(orders!$E841,orders!$L841)</f>
        <v>41.25</v>
      </c>
      <c r="N841" s="18" t="str">
        <f t="shared" si="26"/>
        <v>November</v>
      </c>
      <c r="O841" s="18">
        <f t="shared" si="27"/>
        <v>2021</v>
      </c>
      <c r="P841" s="11" t="str">
        <f>TEXT(orders!$B841, "DDD")</f>
        <v>Sun</v>
      </c>
      <c r="Q841" s="11" t="str">
        <f>VLOOKUP(orders!C841,[1]customers!$A$1:$I$1001, 6,FALSE)</f>
        <v>Salinas</v>
      </c>
    </row>
    <row r="842" spans="1:17" x14ac:dyDescent="0.3">
      <c r="A842" s="7" t="s">
        <v>1643</v>
      </c>
      <c r="B842" s="8">
        <v>44574</v>
      </c>
      <c r="C842" s="9" t="s">
        <v>1644</v>
      </c>
      <c r="D842" s="10" t="s">
        <v>174</v>
      </c>
      <c r="E842" s="9">
        <v>4</v>
      </c>
      <c r="F842" s="9" t="str">
        <f>VLOOKUP(C842,[1]customers!$A$1:$I$1001, 2, FALSE)</f>
        <v>Janeva Edinboro</v>
      </c>
      <c r="G842" s="9" t="str">
        <f>VLOOKUP(orders!C842,[1]customers!$A$1:$I$1001, 3, FALSE)</f>
        <v>jedinboronc@reverbnation.com</v>
      </c>
      <c r="H842" s="9" t="str">
        <f>VLOOKUP(C842, [1]customers!$A$1:$I$1001, 7, FALSE)</f>
        <v>United States</v>
      </c>
      <c r="I842" s="11" t="str">
        <f>VLOOKUP(orders!D842,[1]products!$A$1:$G$49, 2,FALSE)</f>
        <v>Rob</v>
      </c>
      <c r="J842" s="11" t="str">
        <f>VLOOKUP(orders!D842,[1]products!$A$1:$G$49, 3,FALSE)</f>
        <v>L</v>
      </c>
      <c r="K842" s="12">
        <f>VLOOKUP(orders!D842,[1]products!$A$1:$G$49, 4,FALSE)</f>
        <v>0.5</v>
      </c>
      <c r="L842" s="12">
        <f>VLOOKUP(orders!D842,[1]products!$A$1:$G$49, 5,FALSE)</f>
        <v>7.169999999999999</v>
      </c>
      <c r="M842" s="13">
        <f>PRODUCT(orders!$E842,orders!$L842)</f>
        <v>28.679999999999996</v>
      </c>
      <c r="N842" s="11" t="str">
        <f t="shared" si="26"/>
        <v>January</v>
      </c>
      <c r="O842" s="11">
        <f t="shared" si="27"/>
        <v>2022</v>
      </c>
      <c r="P842" s="11" t="str">
        <f>TEXT(orders!$B842, "DDD")</f>
        <v>Thu</v>
      </c>
      <c r="Q842" s="11" t="str">
        <f>VLOOKUP(orders!C842,[1]customers!$A$1:$I$1001, 6,FALSE)</f>
        <v>Fort Lauderdale</v>
      </c>
    </row>
    <row r="843" spans="1:17" x14ac:dyDescent="0.3">
      <c r="A843" s="14" t="s">
        <v>1645</v>
      </c>
      <c r="B843" s="15">
        <v>44755</v>
      </c>
      <c r="C843" s="16" t="s">
        <v>1646</v>
      </c>
      <c r="D843" s="17" t="s">
        <v>94</v>
      </c>
      <c r="E843" s="16">
        <v>1</v>
      </c>
      <c r="F843" s="9" t="str">
        <f>VLOOKUP(C843,[1]customers!$A$1:$I$1001, 2, FALSE)</f>
        <v>Trumaine Tewelson</v>
      </c>
      <c r="G843" s="16" t="str">
        <f>VLOOKUP(orders!C843,[1]customers!$A$1:$I$1001, 3, FALSE)</f>
        <v>ttewelsonnd@cdbaby.com</v>
      </c>
      <c r="H843" s="16" t="str">
        <f>VLOOKUP(C843, [1]customers!$A$1:$I$1001, 7, FALSE)</f>
        <v>United States</v>
      </c>
      <c r="I843" s="18" t="str">
        <f>VLOOKUP(orders!D843,[1]products!$A$1:$G$49, 2,FALSE)</f>
        <v>Lib</v>
      </c>
      <c r="J843" s="18" t="str">
        <f>VLOOKUP(orders!D843,[1]products!$A$1:$G$49, 3,FALSE)</f>
        <v>M</v>
      </c>
      <c r="K843" s="19">
        <f>VLOOKUP(orders!D843,[1]products!$A$1:$G$49, 4,FALSE)</f>
        <v>0.2</v>
      </c>
      <c r="L843" s="19">
        <f>VLOOKUP(orders!D843,[1]products!$A$1:$G$49, 5,FALSE)</f>
        <v>4.3650000000000002</v>
      </c>
      <c r="M843" s="13">
        <f>PRODUCT(orders!$E843,orders!$L843)</f>
        <v>4.3650000000000002</v>
      </c>
      <c r="N843" s="18" t="str">
        <f t="shared" si="26"/>
        <v>July</v>
      </c>
      <c r="O843" s="18">
        <f t="shared" si="27"/>
        <v>2022</v>
      </c>
      <c r="P843" s="11" t="str">
        <f>TEXT(orders!$B843, "DDD")</f>
        <v>Wed</v>
      </c>
      <c r="Q843" s="11" t="str">
        <f>VLOOKUP(orders!C843,[1]customers!$A$1:$I$1001, 6,FALSE)</f>
        <v>El Paso</v>
      </c>
    </row>
    <row r="844" spans="1:17" x14ac:dyDescent="0.3">
      <c r="A844" s="7" t="s">
        <v>1647</v>
      </c>
      <c r="B844" s="8">
        <v>44502</v>
      </c>
      <c r="C844" s="9" t="s">
        <v>1617</v>
      </c>
      <c r="D844" s="10" t="s">
        <v>81</v>
      </c>
      <c r="E844" s="9">
        <v>2</v>
      </c>
      <c r="F844" s="9" t="str">
        <f>VLOOKUP(C844,[1]customers!$A$1:$I$1001, 2, FALSE)</f>
        <v>Odelia Skerme</v>
      </c>
      <c r="G844" s="9" t="str">
        <f>VLOOKUP(orders!C844,[1]customers!$A$1:$I$1001, 3, FALSE)</f>
        <v>oskermen3@hatena.ne.jp</v>
      </c>
      <c r="H844" s="9" t="str">
        <f>VLOOKUP(C844, [1]customers!$A$1:$I$1001, 7, FALSE)</f>
        <v>United States</v>
      </c>
      <c r="I844" s="11" t="str">
        <f>VLOOKUP(orders!D844,[1]products!$A$1:$G$49, 2,FALSE)</f>
        <v>Exc</v>
      </c>
      <c r="J844" s="11" t="str">
        <f>VLOOKUP(orders!D844,[1]products!$A$1:$G$49, 3,FALSE)</f>
        <v>M</v>
      </c>
      <c r="K844" s="12">
        <f>VLOOKUP(orders!D844,[1]products!$A$1:$G$49, 4,FALSE)</f>
        <v>0.2</v>
      </c>
      <c r="L844" s="12">
        <f>VLOOKUP(orders!D844,[1]products!$A$1:$G$49, 5,FALSE)</f>
        <v>4.125</v>
      </c>
      <c r="M844" s="13">
        <f>PRODUCT(orders!$E844,orders!$L844)</f>
        <v>8.25</v>
      </c>
      <c r="N844" s="11" t="str">
        <f t="shared" si="26"/>
        <v>November</v>
      </c>
      <c r="O844" s="11">
        <f t="shared" si="27"/>
        <v>2021</v>
      </c>
      <c r="P844" s="11" t="str">
        <f>TEXT(orders!$B844, "DDD")</f>
        <v>Tue</v>
      </c>
      <c r="Q844" s="11" t="str">
        <f>VLOOKUP(orders!C844,[1]customers!$A$1:$I$1001, 6,FALSE)</f>
        <v>Oklahoma City</v>
      </c>
    </row>
    <row r="845" spans="1:17" x14ac:dyDescent="0.3">
      <c r="A845" s="14" t="s">
        <v>1648</v>
      </c>
      <c r="B845" s="15">
        <v>44387</v>
      </c>
      <c r="C845" s="16" t="s">
        <v>1649</v>
      </c>
      <c r="D845" s="17" t="s">
        <v>81</v>
      </c>
      <c r="E845" s="16">
        <v>2</v>
      </c>
      <c r="F845" s="9" t="str">
        <f>VLOOKUP(C845,[1]customers!$A$1:$I$1001, 2, FALSE)</f>
        <v>De Drewitt</v>
      </c>
      <c r="G845" s="16" t="str">
        <f>VLOOKUP(orders!C845,[1]customers!$A$1:$I$1001, 3, FALSE)</f>
        <v>ddrewittnf@mapquest.com</v>
      </c>
      <c r="H845" s="16" t="str">
        <f>VLOOKUP(C845, [1]customers!$A$1:$I$1001, 7, FALSE)</f>
        <v>United States</v>
      </c>
      <c r="I845" s="18" t="str">
        <f>VLOOKUP(orders!D845,[1]products!$A$1:$G$49, 2,FALSE)</f>
        <v>Exc</v>
      </c>
      <c r="J845" s="18" t="str">
        <f>VLOOKUP(orders!D845,[1]products!$A$1:$G$49, 3,FALSE)</f>
        <v>M</v>
      </c>
      <c r="K845" s="19">
        <f>VLOOKUP(orders!D845,[1]products!$A$1:$G$49, 4,FALSE)</f>
        <v>0.2</v>
      </c>
      <c r="L845" s="19">
        <f>VLOOKUP(orders!D845,[1]products!$A$1:$G$49, 5,FALSE)</f>
        <v>4.125</v>
      </c>
      <c r="M845" s="13">
        <f>PRODUCT(orders!$E845,orders!$L845)</f>
        <v>8.25</v>
      </c>
      <c r="N845" s="18" t="str">
        <f t="shared" si="26"/>
        <v>July</v>
      </c>
      <c r="O845" s="18">
        <f t="shared" si="27"/>
        <v>2021</v>
      </c>
      <c r="P845" s="11" t="str">
        <f>TEXT(orders!$B845, "DDD")</f>
        <v>Sat</v>
      </c>
      <c r="Q845" s="11" t="str">
        <f>VLOOKUP(orders!C845,[1]customers!$A$1:$I$1001, 6,FALSE)</f>
        <v>Alexandria</v>
      </c>
    </row>
    <row r="846" spans="1:17" x14ac:dyDescent="0.3">
      <c r="A846" s="7" t="s">
        <v>1650</v>
      </c>
      <c r="B846" s="8">
        <v>44476</v>
      </c>
      <c r="C846" s="9" t="s">
        <v>1651</v>
      </c>
      <c r="D846" s="10" t="s">
        <v>89</v>
      </c>
      <c r="E846" s="9">
        <v>6</v>
      </c>
      <c r="F846" s="9" t="str">
        <f>VLOOKUP(C846,[1]customers!$A$1:$I$1001, 2, FALSE)</f>
        <v>Adelheid Gladhill</v>
      </c>
      <c r="G846" s="9" t="str">
        <f>VLOOKUP(orders!C846,[1]customers!$A$1:$I$1001, 3, FALSE)</f>
        <v>agladhillng@stanford.edu</v>
      </c>
      <c r="H846" s="9" t="str">
        <f>VLOOKUP(C846, [1]customers!$A$1:$I$1001, 7, FALSE)</f>
        <v>United States</v>
      </c>
      <c r="I846" s="11" t="str">
        <f>VLOOKUP(orders!D846,[1]products!$A$1:$G$49, 2,FALSE)</f>
        <v>Ara</v>
      </c>
      <c r="J846" s="11" t="str">
        <f>VLOOKUP(orders!D846,[1]products!$A$1:$G$49, 3,FALSE)</f>
        <v>D</v>
      </c>
      <c r="K846" s="12">
        <f>VLOOKUP(orders!D846,[1]products!$A$1:$G$49, 4,FALSE)</f>
        <v>0.5</v>
      </c>
      <c r="L846" s="12">
        <f>VLOOKUP(orders!D846,[1]products!$A$1:$G$49, 5,FALSE)</f>
        <v>5.97</v>
      </c>
      <c r="M846" s="13">
        <f>PRODUCT(orders!$E846,orders!$L846)</f>
        <v>35.82</v>
      </c>
      <c r="N846" s="11" t="str">
        <f t="shared" si="26"/>
        <v>October</v>
      </c>
      <c r="O846" s="11">
        <f t="shared" si="27"/>
        <v>2021</v>
      </c>
      <c r="P846" s="11" t="str">
        <f>TEXT(orders!$B846, "DDD")</f>
        <v>Thu</v>
      </c>
      <c r="Q846" s="11" t="str">
        <f>VLOOKUP(orders!C846,[1]customers!$A$1:$I$1001, 6,FALSE)</f>
        <v>Baltimore</v>
      </c>
    </row>
    <row r="847" spans="1:17" x14ac:dyDescent="0.3">
      <c r="A847" s="14" t="s">
        <v>1652</v>
      </c>
      <c r="B847" s="15">
        <v>43889</v>
      </c>
      <c r="C847" s="16" t="s">
        <v>1653</v>
      </c>
      <c r="D847" s="17" t="s">
        <v>547</v>
      </c>
      <c r="E847" s="16">
        <v>6</v>
      </c>
      <c r="F847" s="9" t="str">
        <f>VLOOKUP(C847,[1]customers!$A$1:$I$1001, 2, FALSE)</f>
        <v>Murielle Lorinez</v>
      </c>
      <c r="G847" s="16" t="str">
        <f>VLOOKUP(orders!C847,[1]customers!$A$1:$I$1001, 3, FALSE)</f>
        <v>mlorineznh@whitehouse.gov</v>
      </c>
      <c r="H847" s="16" t="str">
        <f>VLOOKUP(C847, [1]customers!$A$1:$I$1001, 7, FALSE)</f>
        <v>United States</v>
      </c>
      <c r="I847" s="18" t="str">
        <f>VLOOKUP(orders!D847,[1]products!$A$1:$G$49, 2,FALSE)</f>
        <v>Exc</v>
      </c>
      <c r="J847" s="18" t="str">
        <f>VLOOKUP(orders!D847,[1]products!$A$1:$G$49, 3,FALSE)</f>
        <v>D</v>
      </c>
      <c r="K847" s="19">
        <f>VLOOKUP(orders!D847,[1]products!$A$1:$G$49, 4,FALSE)</f>
        <v>2.5</v>
      </c>
      <c r="L847" s="19">
        <f>VLOOKUP(orders!D847,[1]products!$A$1:$G$49, 5,FALSE)</f>
        <v>27.945</v>
      </c>
      <c r="M847" s="13">
        <f>PRODUCT(orders!$E847,orders!$L847)</f>
        <v>167.67000000000002</v>
      </c>
      <c r="N847" s="18" t="str">
        <f t="shared" si="26"/>
        <v>February</v>
      </c>
      <c r="O847" s="18">
        <f t="shared" si="27"/>
        <v>2020</v>
      </c>
      <c r="P847" s="11" t="str">
        <f>TEXT(orders!$B847, "DDD")</f>
        <v>Fri</v>
      </c>
      <c r="Q847" s="11" t="str">
        <f>VLOOKUP(orders!C847,[1]customers!$A$1:$I$1001, 6,FALSE)</f>
        <v>Evansville</v>
      </c>
    </row>
    <row r="848" spans="1:17" x14ac:dyDescent="0.3">
      <c r="A848" s="7" t="s">
        <v>1654</v>
      </c>
      <c r="B848" s="8">
        <v>44747</v>
      </c>
      <c r="C848" s="9" t="s">
        <v>1655</v>
      </c>
      <c r="D848" s="10" t="s">
        <v>188</v>
      </c>
      <c r="E848" s="9">
        <v>2</v>
      </c>
      <c r="F848" s="9" t="str">
        <f>VLOOKUP(C848,[1]customers!$A$1:$I$1001, 2, FALSE)</f>
        <v>Edin Mathe</v>
      </c>
      <c r="G848" s="9">
        <f>VLOOKUP(orders!C848,[1]customers!$A$1:$I$1001, 3, FALSE)</f>
        <v>0</v>
      </c>
      <c r="H848" s="9" t="str">
        <f>VLOOKUP(C848, [1]customers!$A$1:$I$1001, 7, FALSE)</f>
        <v>United States</v>
      </c>
      <c r="I848" s="11" t="str">
        <f>VLOOKUP(orders!D848,[1]products!$A$1:$G$49, 2,FALSE)</f>
        <v>Ara</v>
      </c>
      <c r="J848" s="11" t="str">
        <f>VLOOKUP(orders!D848,[1]products!$A$1:$G$49, 3,FALSE)</f>
        <v>M</v>
      </c>
      <c r="K848" s="12">
        <f>VLOOKUP(orders!D848,[1]products!$A$1:$G$49, 4,FALSE)</f>
        <v>2.5</v>
      </c>
      <c r="L848" s="12">
        <f>VLOOKUP(orders!D848,[1]products!$A$1:$G$49, 5,FALSE)</f>
        <v>25.874999999999996</v>
      </c>
      <c r="M848" s="13">
        <f>PRODUCT(orders!$E848,orders!$L848)</f>
        <v>51.749999999999993</v>
      </c>
      <c r="N848" s="11" t="str">
        <f t="shared" si="26"/>
        <v>July</v>
      </c>
      <c r="O848" s="11">
        <f t="shared" si="27"/>
        <v>2022</v>
      </c>
      <c r="P848" s="11" t="str">
        <f>TEXT(orders!$B848, "DDD")</f>
        <v>Tue</v>
      </c>
      <c r="Q848" s="11" t="str">
        <f>VLOOKUP(orders!C848,[1]customers!$A$1:$I$1001, 6,FALSE)</f>
        <v>Lawrenceville</v>
      </c>
    </row>
    <row r="849" spans="1:17" x14ac:dyDescent="0.3">
      <c r="A849" s="14" t="s">
        <v>1656</v>
      </c>
      <c r="B849" s="15">
        <v>44460</v>
      </c>
      <c r="C849" s="16" t="s">
        <v>1657</v>
      </c>
      <c r="D849" s="17" t="s">
        <v>71</v>
      </c>
      <c r="E849" s="16">
        <v>3</v>
      </c>
      <c r="F849" s="9" t="str">
        <f>VLOOKUP(C849,[1]customers!$A$1:$I$1001, 2, FALSE)</f>
        <v>Mordy Van Der Vlies</v>
      </c>
      <c r="G849" s="16" t="str">
        <f>VLOOKUP(orders!C849,[1]customers!$A$1:$I$1001, 3, FALSE)</f>
        <v>mvannj@wikipedia.org</v>
      </c>
      <c r="H849" s="16" t="str">
        <f>VLOOKUP(C849, [1]customers!$A$1:$I$1001, 7, FALSE)</f>
        <v>United States</v>
      </c>
      <c r="I849" s="18" t="str">
        <f>VLOOKUP(orders!D849,[1]products!$A$1:$G$49, 2,FALSE)</f>
        <v>Ara</v>
      </c>
      <c r="J849" s="18" t="str">
        <f>VLOOKUP(orders!D849,[1]products!$A$1:$G$49, 3,FALSE)</f>
        <v>D</v>
      </c>
      <c r="K849" s="19">
        <f>VLOOKUP(orders!D849,[1]products!$A$1:$G$49, 4,FALSE)</f>
        <v>0.2</v>
      </c>
      <c r="L849" s="19">
        <f>VLOOKUP(orders!D849,[1]products!$A$1:$G$49, 5,FALSE)</f>
        <v>2.9849999999999999</v>
      </c>
      <c r="M849" s="13">
        <f>PRODUCT(orders!$E849,orders!$L849)</f>
        <v>8.9550000000000001</v>
      </c>
      <c r="N849" s="18" t="str">
        <f t="shared" si="26"/>
        <v>September</v>
      </c>
      <c r="O849" s="18">
        <f t="shared" si="27"/>
        <v>2021</v>
      </c>
      <c r="P849" s="11" t="str">
        <f>TEXT(orders!$B849, "DDD")</f>
        <v>Tue</v>
      </c>
      <c r="Q849" s="11" t="str">
        <f>VLOOKUP(orders!C849,[1]customers!$A$1:$I$1001, 6,FALSE)</f>
        <v>Mobile</v>
      </c>
    </row>
    <row r="850" spans="1:17" x14ac:dyDescent="0.3">
      <c r="A850" s="7" t="s">
        <v>1658</v>
      </c>
      <c r="B850" s="8">
        <v>43468</v>
      </c>
      <c r="C850" s="9" t="s">
        <v>1659</v>
      </c>
      <c r="D850" s="10" t="s">
        <v>193</v>
      </c>
      <c r="E850" s="9">
        <v>6</v>
      </c>
      <c r="F850" s="9" t="str">
        <f>VLOOKUP(C850,[1]customers!$A$1:$I$1001, 2, FALSE)</f>
        <v>Spencer Wastell</v>
      </c>
      <c r="G850" s="9">
        <f>VLOOKUP(orders!C850,[1]customers!$A$1:$I$1001, 3, FALSE)</f>
        <v>0</v>
      </c>
      <c r="H850" s="9" t="str">
        <f>VLOOKUP(C850, [1]customers!$A$1:$I$1001, 7, FALSE)</f>
        <v>United States</v>
      </c>
      <c r="I850" s="11" t="str">
        <f>VLOOKUP(orders!D850,[1]products!$A$1:$G$49, 2,FALSE)</f>
        <v>Exc</v>
      </c>
      <c r="J850" s="11" t="str">
        <f>VLOOKUP(orders!D850,[1]products!$A$1:$G$49, 3,FALSE)</f>
        <v>L</v>
      </c>
      <c r="K850" s="12">
        <f>VLOOKUP(orders!D850,[1]products!$A$1:$G$49, 4,FALSE)</f>
        <v>0.5</v>
      </c>
      <c r="L850" s="12">
        <f>VLOOKUP(orders!D850,[1]products!$A$1:$G$49, 5,FALSE)</f>
        <v>8.91</v>
      </c>
      <c r="M850" s="13">
        <f>PRODUCT(orders!$E850,orders!$L850)</f>
        <v>53.46</v>
      </c>
      <c r="N850" s="11" t="str">
        <f t="shared" si="26"/>
        <v>January</v>
      </c>
      <c r="O850" s="11">
        <f t="shared" si="27"/>
        <v>2019</v>
      </c>
      <c r="P850" s="11" t="str">
        <f>TEXT(orders!$B850, "DDD")</f>
        <v>Thu</v>
      </c>
      <c r="Q850" s="11" t="str">
        <f>VLOOKUP(orders!C850,[1]customers!$A$1:$I$1001, 6,FALSE)</f>
        <v>Midland</v>
      </c>
    </row>
    <row r="851" spans="1:17" x14ac:dyDescent="0.3">
      <c r="A851" s="14" t="s">
        <v>1660</v>
      </c>
      <c r="B851" s="15">
        <v>44628</v>
      </c>
      <c r="C851" s="16" t="s">
        <v>1661</v>
      </c>
      <c r="D851" s="17" t="s">
        <v>132</v>
      </c>
      <c r="E851" s="16">
        <v>6</v>
      </c>
      <c r="F851" s="9" t="str">
        <f>VLOOKUP(C851,[1]customers!$A$1:$I$1001, 2, FALSE)</f>
        <v>Jemimah Ethelston</v>
      </c>
      <c r="G851" s="16" t="str">
        <f>VLOOKUP(orders!C851,[1]customers!$A$1:$I$1001, 3, FALSE)</f>
        <v>jethelstonnl@creativecommons.org</v>
      </c>
      <c r="H851" s="16" t="str">
        <f>VLOOKUP(C851, [1]customers!$A$1:$I$1001, 7, FALSE)</f>
        <v>United States</v>
      </c>
      <c r="I851" s="18" t="str">
        <f>VLOOKUP(orders!D851,[1]products!$A$1:$G$49, 2,FALSE)</f>
        <v>Ara</v>
      </c>
      <c r="J851" s="18" t="str">
        <f>VLOOKUP(orders!D851,[1]products!$A$1:$G$49, 3,FALSE)</f>
        <v>L</v>
      </c>
      <c r="K851" s="19">
        <f>VLOOKUP(orders!D851,[1]products!$A$1:$G$49, 4,FALSE)</f>
        <v>0.2</v>
      </c>
      <c r="L851" s="19">
        <f>VLOOKUP(orders!D851,[1]products!$A$1:$G$49, 5,FALSE)</f>
        <v>3.8849999999999998</v>
      </c>
      <c r="M851" s="13">
        <f>PRODUCT(orders!$E851,orders!$L851)</f>
        <v>23.31</v>
      </c>
      <c r="N851" s="18" t="str">
        <f t="shared" si="26"/>
        <v>March</v>
      </c>
      <c r="O851" s="18">
        <f t="shared" si="27"/>
        <v>2022</v>
      </c>
      <c r="P851" s="11" t="str">
        <f>TEXT(orders!$B851, "DDD")</f>
        <v>Tue</v>
      </c>
      <c r="Q851" s="11" t="str">
        <f>VLOOKUP(orders!C851,[1]customers!$A$1:$I$1001, 6,FALSE)</f>
        <v>Hollywood</v>
      </c>
    </row>
    <row r="852" spans="1:17" x14ac:dyDescent="0.3">
      <c r="A852" s="7" t="s">
        <v>1660</v>
      </c>
      <c r="B852" s="8">
        <v>44628</v>
      </c>
      <c r="C852" s="9" t="s">
        <v>1661</v>
      </c>
      <c r="D852" s="10" t="s">
        <v>61</v>
      </c>
      <c r="E852" s="9">
        <v>2</v>
      </c>
      <c r="F852" s="9" t="str">
        <f>VLOOKUP(C852,[1]customers!$A$1:$I$1001, 2, FALSE)</f>
        <v>Jemimah Ethelston</v>
      </c>
      <c r="G852" s="9" t="str">
        <f>VLOOKUP(orders!C852,[1]customers!$A$1:$I$1001, 3, FALSE)</f>
        <v>jethelstonnl@creativecommons.org</v>
      </c>
      <c r="H852" s="9" t="str">
        <f>VLOOKUP(C852, [1]customers!$A$1:$I$1001, 7, FALSE)</f>
        <v>United States</v>
      </c>
      <c r="I852" s="11" t="str">
        <f>VLOOKUP(orders!D852,[1]products!$A$1:$G$49, 2,FALSE)</f>
        <v>Ara</v>
      </c>
      <c r="J852" s="11" t="str">
        <f>VLOOKUP(orders!D852,[1]products!$A$1:$G$49, 3,FALSE)</f>
        <v>M</v>
      </c>
      <c r="K852" s="12">
        <f>VLOOKUP(orders!D852,[1]products!$A$1:$G$49, 4,FALSE)</f>
        <v>0.2</v>
      </c>
      <c r="L852" s="12">
        <f>VLOOKUP(orders!D852,[1]products!$A$1:$G$49, 5,FALSE)</f>
        <v>3.375</v>
      </c>
      <c r="M852" s="13">
        <f>PRODUCT(orders!$E852,orders!$L852)</f>
        <v>6.75</v>
      </c>
      <c r="N852" s="11" t="str">
        <f t="shared" si="26"/>
        <v>March</v>
      </c>
      <c r="O852" s="11">
        <f t="shared" si="27"/>
        <v>2022</v>
      </c>
      <c r="P852" s="11" t="str">
        <f>TEXT(orders!$B852, "DDD")</f>
        <v>Tue</v>
      </c>
      <c r="Q852" s="11" t="str">
        <f>VLOOKUP(orders!C852,[1]customers!$A$1:$I$1001, 6,FALSE)</f>
        <v>Hollywood</v>
      </c>
    </row>
    <row r="853" spans="1:17" x14ac:dyDescent="0.3">
      <c r="A853" s="14" t="s">
        <v>1662</v>
      </c>
      <c r="B853" s="15">
        <v>43900</v>
      </c>
      <c r="C853" s="16" t="s">
        <v>1663</v>
      </c>
      <c r="D853" s="17" t="s">
        <v>140</v>
      </c>
      <c r="E853" s="16">
        <v>1</v>
      </c>
      <c r="F853" s="9" t="str">
        <f>VLOOKUP(C853,[1]customers!$A$1:$I$1001, 2, FALSE)</f>
        <v>Perice Eberz</v>
      </c>
      <c r="G853" s="16" t="str">
        <f>VLOOKUP(orders!C853,[1]customers!$A$1:$I$1001, 3, FALSE)</f>
        <v>peberznn@woothemes.com</v>
      </c>
      <c r="H853" s="16" t="str">
        <f>VLOOKUP(C853, [1]customers!$A$1:$I$1001, 7, FALSE)</f>
        <v>United States</v>
      </c>
      <c r="I853" s="18" t="str">
        <f>VLOOKUP(orders!D853,[1]products!$A$1:$G$49, 2,FALSE)</f>
        <v>Lib</v>
      </c>
      <c r="J853" s="18" t="str">
        <f>VLOOKUP(orders!D853,[1]products!$A$1:$G$49, 3,FALSE)</f>
        <v>D</v>
      </c>
      <c r="K853" s="19">
        <f>VLOOKUP(orders!D853,[1]products!$A$1:$G$49, 4,FALSE)</f>
        <v>0.5</v>
      </c>
      <c r="L853" s="19">
        <f>VLOOKUP(orders!D853,[1]products!$A$1:$G$49, 5,FALSE)</f>
        <v>7.77</v>
      </c>
      <c r="M853" s="13">
        <f>PRODUCT(orders!$E853,orders!$L853)</f>
        <v>7.77</v>
      </c>
      <c r="N853" s="18" t="str">
        <f t="shared" si="26"/>
        <v>March</v>
      </c>
      <c r="O853" s="18">
        <f t="shared" si="27"/>
        <v>2020</v>
      </c>
      <c r="P853" s="11" t="str">
        <f>TEXT(orders!$B853, "DDD")</f>
        <v>Tue</v>
      </c>
      <c r="Q853" s="11" t="str">
        <f>VLOOKUP(orders!C853,[1]customers!$A$1:$I$1001, 6,FALSE)</f>
        <v>Chico</v>
      </c>
    </row>
    <row r="854" spans="1:17" x14ac:dyDescent="0.3">
      <c r="A854" s="7" t="s">
        <v>1664</v>
      </c>
      <c r="B854" s="8">
        <v>44527</v>
      </c>
      <c r="C854" s="9" t="s">
        <v>1665</v>
      </c>
      <c r="D854" s="10" t="s">
        <v>126</v>
      </c>
      <c r="E854" s="9">
        <v>4</v>
      </c>
      <c r="F854" s="9" t="str">
        <f>VLOOKUP(C854,[1]customers!$A$1:$I$1001, 2, FALSE)</f>
        <v>Bear Gaish</v>
      </c>
      <c r="G854" s="9" t="str">
        <f>VLOOKUP(orders!C854,[1]customers!$A$1:$I$1001, 3, FALSE)</f>
        <v>bgaishno@altervista.org</v>
      </c>
      <c r="H854" s="9" t="str">
        <f>VLOOKUP(C854, [1]customers!$A$1:$I$1001, 7, FALSE)</f>
        <v>United States</v>
      </c>
      <c r="I854" s="11" t="str">
        <f>VLOOKUP(orders!D854,[1]products!$A$1:$G$49, 2,FALSE)</f>
        <v>Lib</v>
      </c>
      <c r="J854" s="11" t="str">
        <f>VLOOKUP(orders!D854,[1]products!$A$1:$G$49, 3,FALSE)</f>
        <v>D</v>
      </c>
      <c r="K854" s="12">
        <f>VLOOKUP(orders!D854,[1]products!$A$1:$G$49, 4,FALSE)</f>
        <v>2.5</v>
      </c>
      <c r="L854" s="12">
        <f>VLOOKUP(orders!D854,[1]products!$A$1:$G$49, 5,FALSE)</f>
        <v>29.784999999999997</v>
      </c>
      <c r="M854" s="13">
        <f>PRODUCT(orders!$E854,orders!$L854)</f>
        <v>119.13999999999999</v>
      </c>
      <c r="N854" s="11" t="str">
        <f t="shared" si="26"/>
        <v>November</v>
      </c>
      <c r="O854" s="11">
        <f t="shared" si="27"/>
        <v>2021</v>
      </c>
      <c r="P854" s="11" t="str">
        <f>TEXT(orders!$B854, "DDD")</f>
        <v>Sat</v>
      </c>
      <c r="Q854" s="11" t="str">
        <f>VLOOKUP(orders!C854,[1]customers!$A$1:$I$1001, 6,FALSE)</f>
        <v>Austin</v>
      </c>
    </row>
    <row r="855" spans="1:17" x14ac:dyDescent="0.3">
      <c r="A855" s="14" t="s">
        <v>1666</v>
      </c>
      <c r="B855" s="15">
        <v>44259</v>
      </c>
      <c r="C855" s="16" t="s">
        <v>1667</v>
      </c>
      <c r="D855" s="17" t="s">
        <v>44</v>
      </c>
      <c r="E855" s="16">
        <v>2</v>
      </c>
      <c r="F855" s="9" t="str">
        <f>VLOOKUP(C855,[1]customers!$A$1:$I$1001, 2, FALSE)</f>
        <v>Lynnea Danton</v>
      </c>
      <c r="G855" s="16" t="str">
        <f>VLOOKUP(orders!C855,[1]customers!$A$1:$I$1001, 3, FALSE)</f>
        <v>ldantonnp@miitbeian.gov.cn</v>
      </c>
      <c r="H855" s="16" t="str">
        <f>VLOOKUP(C855, [1]customers!$A$1:$I$1001, 7, FALSE)</f>
        <v>United States</v>
      </c>
      <c r="I855" s="18" t="str">
        <f>VLOOKUP(orders!D855,[1]products!$A$1:$G$49, 2,FALSE)</f>
        <v>Ara</v>
      </c>
      <c r="J855" s="18" t="str">
        <f>VLOOKUP(orders!D855,[1]products!$A$1:$G$49, 3,FALSE)</f>
        <v>D</v>
      </c>
      <c r="K855" s="19">
        <f>VLOOKUP(orders!D855,[1]products!$A$1:$G$49, 4,FALSE)</f>
        <v>1</v>
      </c>
      <c r="L855" s="19">
        <f>VLOOKUP(orders!D855,[1]products!$A$1:$G$49, 5,FALSE)</f>
        <v>9.9499999999999993</v>
      </c>
      <c r="M855" s="13">
        <f>PRODUCT(orders!$E855,orders!$L855)</f>
        <v>19.899999999999999</v>
      </c>
      <c r="N855" s="18" t="str">
        <f t="shared" si="26"/>
        <v>March</v>
      </c>
      <c r="O855" s="18">
        <f t="shared" si="27"/>
        <v>2021</v>
      </c>
      <c r="P855" s="11" t="str">
        <f>TEXT(orders!$B855, "DDD")</f>
        <v>Thu</v>
      </c>
      <c r="Q855" s="11" t="str">
        <f>VLOOKUP(orders!C855,[1]customers!$A$1:$I$1001, 6,FALSE)</f>
        <v>El Paso</v>
      </c>
    </row>
    <row r="856" spans="1:17" x14ac:dyDescent="0.3">
      <c r="A856" s="7" t="s">
        <v>1668</v>
      </c>
      <c r="B856" s="8">
        <v>44516</v>
      </c>
      <c r="C856" s="9" t="s">
        <v>1669</v>
      </c>
      <c r="D856" s="10" t="s">
        <v>174</v>
      </c>
      <c r="E856" s="9">
        <v>5</v>
      </c>
      <c r="F856" s="9" t="str">
        <f>VLOOKUP(C856,[1]customers!$A$1:$I$1001, 2, FALSE)</f>
        <v>Skipton Morrall</v>
      </c>
      <c r="G856" s="9" t="str">
        <f>VLOOKUP(orders!C856,[1]customers!$A$1:$I$1001, 3, FALSE)</f>
        <v>smorrallnq@answers.com</v>
      </c>
      <c r="H856" s="9" t="str">
        <f>VLOOKUP(C856, [1]customers!$A$1:$I$1001, 7, FALSE)</f>
        <v>United States</v>
      </c>
      <c r="I856" s="11" t="str">
        <f>VLOOKUP(orders!D856,[1]products!$A$1:$G$49, 2,FALSE)</f>
        <v>Rob</v>
      </c>
      <c r="J856" s="11" t="str">
        <f>VLOOKUP(orders!D856,[1]products!$A$1:$G$49, 3,FALSE)</f>
        <v>L</v>
      </c>
      <c r="K856" s="12">
        <f>VLOOKUP(orders!D856,[1]products!$A$1:$G$49, 4,FALSE)</f>
        <v>0.5</v>
      </c>
      <c r="L856" s="12">
        <f>VLOOKUP(orders!D856,[1]products!$A$1:$G$49, 5,FALSE)</f>
        <v>7.169999999999999</v>
      </c>
      <c r="M856" s="13">
        <f>PRODUCT(orders!$E856,orders!$L856)</f>
        <v>35.849999999999994</v>
      </c>
      <c r="N856" s="11" t="str">
        <f t="shared" si="26"/>
        <v>November</v>
      </c>
      <c r="O856" s="11">
        <f t="shared" si="27"/>
        <v>2021</v>
      </c>
      <c r="P856" s="11" t="str">
        <f>TEXT(orders!$B856, "DDD")</f>
        <v>Tue</v>
      </c>
      <c r="Q856" s="11" t="str">
        <f>VLOOKUP(orders!C856,[1]customers!$A$1:$I$1001, 6,FALSE)</f>
        <v>Charleston</v>
      </c>
    </row>
    <row r="857" spans="1:17" x14ac:dyDescent="0.3">
      <c r="A857" s="14" t="s">
        <v>1670</v>
      </c>
      <c r="B857" s="15">
        <v>43632</v>
      </c>
      <c r="C857" s="16" t="s">
        <v>1671</v>
      </c>
      <c r="D857" s="17" t="s">
        <v>126</v>
      </c>
      <c r="E857" s="16">
        <v>3</v>
      </c>
      <c r="F857" s="9" t="str">
        <f>VLOOKUP(C857,[1]customers!$A$1:$I$1001, 2, FALSE)</f>
        <v>Devan Crownshaw</v>
      </c>
      <c r="G857" s="16" t="str">
        <f>VLOOKUP(orders!C857,[1]customers!$A$1:$I$1001, 3, FALSE)</f>
        <v>dcrownshawnr@photobucket.com</v>
      </c>
      <c r="H857" s="16" t="str">
        <f>VLOOKUP(C857, [1]customers!$A$1:$I$1001, 7, FALSE)</f>
        <v>United States</v>
      </c>
      <c r="I857" s="18" t="str">
        <f>VLOOKUP(orders!D857,[1]products!$A$1:$G$49, 2,FALSE)</f>
        <v>Lib</v>
      </c>
      <c r="J857" s="18" t="str">
        <f>VLOOKUP(orders!D857,[1]products!$A$1:$G$49, 3,FALSE)</f>
        <v>D</v>
      </c>
      <c r="K857" s="19">
        <f>VLOOKUP(orders!D857,[1]products!$A$1:$G$49, 4,FALSE)</f>
        <v>2.5</v>
      </c>
      <c r="L857" s="19">
        <f>VLOOKUP(orders!D857,[1]products!$A$1:$G$49, 5,FALSE)</f>
        <v>29.784999999999997</v>
      </c>
      <c r="M857" s="13">
        <f>PRODUCT(orders!$E857,orders!$L857)</f>
        <v>89.35499999999999</v>
      </c>
      <c r="N857" s="18" t="str">
        <f t="shared" si="26"/>
        <v>June</v>
      </c>
      <c r="O857" s="18">
        <f t="shared" si="27"/>
        <v>2019</v>
      </c>
      <c r="P857" s="11" t="str">
        <f>TEXT(orders!$B857, "DDD")</f>
        <v>Sun</v>
      </c>
      <c r="Q857" s="11" t="str">
        <f>VLOOKUP(orders!C857,[1]customers!$A$1:$I$1001, 6,FALSE)</f>
        <v>Allentown</v>
      </c>
    </row>
    <row r="858" spans="1:17" x14ac:dyDescent="0.3">
      <c r="A858" s="7" t="s">
        <v>1672</v>
      </c>
      <c r="B858" s="8">
        <v>44031</v>
      </c>
      <c r="C858" s="9" t="s">
        <v>1617</v>
      </c>
      <c r="D858" s="10" t="s">
        <v>94</v>
      </c>
      <c r="E858" s="9">
        <v>2</v>
      </c>
      <c r="F858" s="9" t="str">
        <f>VLOOKUP(C858,[1]customers!$A$1:$I$1001, 2, FALSE)</f>
        <v>Odelia Skerme</v>
      </c>
      <c r="G858" s="9" t="str">
        <f>VLOOKUP(orders!C858,[1]customers!$A$1:$I$1001, 3, FALSE)</f>
        <v>oskermen3@hatena.ne.jp</v>
      </c>
      <c r="H858" s="9" t="str">
        <f>VLOOKUP(C858, [1]customers!$A$1:$I$1001, 7, FALSE)</f>
        <v>United States</v>
      </c>
      <c r="I858" s="11" t="str">
        <f>VLOOKUP(orders!D858,[1]products!$A$1:$G$49, 2,FALSE)</f>
        <v>Lib</v>
      </c>
      <c r="J858" s="11" t="str">
        <f>VLOOKUP(orders!D858,[1]products!$A$1:$G$49, 3,FALSE)</f>
        <v>M</v>
      </c>
      <c r="K858" s="12">
        <f>VLOOKUP(orders!D858,[1]products!$A$1:$G$49, 4,FALSE)</f>
        <v>0.2</v>
      </c>
      <c r="L858" s="12">
        <f>VLOOKUP(orders!D858,[1]products!$A$1:$G$49, 5,FALSE)</f>
        <v>4.3650000000000002</v>
      </c>
      <c r="M858" s="13">
        <f>PRODUCT(orders!$E858,orders!$L858)</f>
        <v>8.73</v>
      </c>
      <c r="N858" s="11" t="str">
        <f t="shared" si="26"/>
        <v>July</v>
      </c>
      <c r="O858" s="11">
        <f t="shared" si="27"/>
        <v>2020</v>
      </c>
      <c r="P858" s="11" t="str">
        <f>TEXT(orders!$B858, "DDD")</f>
        <v>Sun</v>
      </c>
      <c r="Q858" s="11" t="str">
        <f>VLOOKUP(orders!C858,[1]customers!$A$1:$I$1001, 6,FALSE)</f>
        <v>Oklahoma City</v>
      </c>
    </row>
    <row r="859" spans="1:17" x14ac:dyDescent="0.3">
      <c r="A859" s="14" t="s">
        <v>1673</v>
      </c>
      <c r="B859" s="15">
        <v>43889</v>
      </c>
      <c r="C859" s="16" t="s">
        <v>1674</v>
      </c>
      <c r="D859" s="17" t="s">
        <v>27</v>
      </c>
      <c r="E859" s="16">
        <v>5</v>
      </c>
      <c r="F859" s="9" t="str">
        <f>VLOOKUP(C859,[1]customers!$A$1:$I$1001, 2, FALSE)</f>
        <v>Joceline Reddoch</v>
      </c>
      <c r="G859" s="16" t="str">
        <f>VLOOKUP(orders!C859,[1]customers!$A$1:$I$1001, 3, FALSE)</f>
        <v>jreddochnt@sun.com</v>
      </c>
      <c r="H859" s="16" t="str">
        <f>VLOOKUP(C859, [1]customers!$A$1:$I$1001, 7, FALSE)</f>
        <v>United States</v>
      </c>
      <c r="I859" s="18" t="str">
        <f>VLOOKUP(orders!D859,[1]products!$A$1:$G$49, 2,FALSE)</f>
        <v>Rob</v>
      </c>
      <c r="J859" s="18" t="str">
        <f>VLOOKUP(orders!D859,[1]products!$A$1:$G$49, 3,FALSE)</f>
        <v>L</v>
      </c>
      <c r="K859" s="19">
        <f>VLOOKUP(orders!D859,[1]products!$A$1:$G$49, 4,FALSE)</f>
        <v>2.5</v>
      </c>
      <c r="L859" s="19">
        <f>VLOOKUP(orders!D859,[1]products!$A$1:$G$49, 5,FALSE)</f>
        <v>27.484999999999996</v>
      </c>
      <c r="M859" s="13">
        <f>PRODUCT(orders!$E859,orders!$L859)</f>
        <v>137.42499999999998</v>
      </c>
      <c r="N859" s="18" t="str">
        <f t="shared" si="26"/>
        <v>February</v>
      </c>
      <c r="O859" s="18">
        <f t="shared" si="27"/>
        <v>2020</v>
      </c>
      <c r="P859" s="11" t="str">
        <f>TEXT(orders!$B859, "DDD")</f>
        <v>Fri</v>
      </c>
      <c r="Q859" s="11" t="str">
        <f>VLOOKUP(orders!C859,[1]customers!$A$1:$I$1001, 6,FALSE)</f>
        <v>Largo</v>
      </c>
    </row>
    <row r="860" spans="1:17" x14ac:dyDescent="0.3">
      <c r="A860" s="7" t="s">
        <v>1675</v>
      </c>
      <c r="B860" s="8">
        <v>43638</v>
      </c>
      <c r="C860" s="9" t="s">
        <v>1676</v>
      </c>
      <c r="D860" s="10" t="s">
        <v>95</v>
      </c>
      <c r="E860" s="9">
        <v>4</v>
      </c>
      <c r="F860" s="9" t="str">
        <f>VLOOKUP(C860,[1]customers!$A$1:$I$1001, 2, FALSE)</f>
        <v>Shelley Titley</v>
      </c>
      <c r="G860" s="9" t="str">
        <f>VLOOKUP(orders!C860,[1]customers!$A$1:$I$1001, 3, FALSE)</f>
        <v>stitleynu@whitehouse.gov</v>
      </c>
      <c r="H860" s="9" t="str">
        <f>VLOOKUP(C860, [1]customers!$A$1:$I$1001, 7, FALSE)</f>
        <v>United States</v>
      </c>
      <c r="I860" s="11" t="str">
        <f>VLOOKUP(orders!D860,[1]products!$A$1:$G$49, 2,FALSE)</f>
        <v>Lib</v>
      </c>
      <c r="J860" s="11" t="str">
        <f>VLOOKUP(orders!D860,[1]products!$A$1:$G$49, 3,FALSE)</f>
        <v>M</v>
      </c>
      <c r="K860" s="12">
        <f>VLOOKUP(orders!D860,[1]products!$A$1:$G$49, 4,FALSE)</f>
        <v>0.5</v>
      </c>
      <c r="L860" s="12">
        <f>VLOOKUP(orders!D860,[1]products!$A$1:$G$49, 5,FALSE)</f>
        <v>8.73</v>
      </c>
      <c r="M860" s="13">
        <f>PRODUCT(orders!$E860,orders!$L860)</f>
        <v>34.92</v>
      </c>
      <c r="N860" s="11" t="str">
        <f t="shared" si="26"/>
        <v>June</v>
      </c>
      <c r="O860" s="11">
        <f t="shared" si="27"/>
        <v>2019</v>
      </c>
      <c r="P860" s="11" t="str">
        <f>TEXT(orders!$B860, "DDD")</f>
        <v>Sat</v>
      </c>
      <c r="Q860" s="11" t="str">
        <f>VLOOKUP(orders!C860,[1]customers!$A$1:$I$1001, 6,FALSE)</f>
        <v>Fargo</v>
      </c>
    </row>
    <row r="861" spans="1:17" x14ac:dyDescent="0.3">
      <c r="A861" s="14" t="s">
        <v>1677</v>
      </c>
      <c r="B861" s="15">
        <v>43716</v>
      </c>
      <c r="C861" s="16" t="s">
        <v>1678</v>
      </c>
      <c r="D861" s="17" t="s">
        <v>221</v>
      </c>
      <c r="E861" s="16">
        <v>6</v>
      </c>
      <c r="F861" s="9" t="str">
        <f>VLOOKUP(C861,[1]customers!$A$1:$I$1001, 2, FALSE)</f>
        <v>Redd Simao</v>
      </c>
      <c r="G861" s="16" t="str">
        <f>VLOOKUP(orders!C861,[1]customers!$A$1:$I$1001, 3, FALSE)</f>
        <v>rsimaonv@simplemachines.org</v>
      </c>
      <c r="H861" s="16" t="str">
        <f>VLOOKUP(C861, [1]customers!$A$1:$I$1001, 7, FALSE)</f>
        <v>United States</v>
      </c>
      <c r="I861" s="18" t="str">
        <f>VLOOKUP(orders!D861,[1]products!$A$1:$G$49, 2,FALSE)</f>
        <v>Ara</v>
      </c>
      <c r="J861" s="18" t="str">
        <f>VLOOKUP(orders!D861,[1]products!$A$1:$G$49, 3,FALSE)</f>
        <v>L</v>
      </c>
      <c r="K861" s="19">
        <f>VLOOKUP(orders!D861,[1]products!$A$1:$G$49, 4,FALSE)</f>
        <v>2.5</v>
      </c>
      <c r="L861" s="19">
        <f>VLOOKUP(orders!D861,[1]products!$A$1:$G$49, 5,FALSE)</f>
        <v>29.784999999999997</v>
      </c>
      <c r="M861" s="13">
        <f>PRODUCT(orders!$E861,orders!$L861)</f>
        <v>178.70999999999998</v>
      </c>
      <c r="N861" s="18" t="str">
        <f t="shared" si="26"/>
        <v>September</v>
      </c>
      <c r="O861" s="18">
        <f t="shared" si="27"/>
        <v>2019</v>
      </c>
      <c r="P861" s="11" t="str">
        <f>TEXT(orders!$B861, "DDD")</f>
        <v>Sun</v>
      </c>
      <c r="Q861" s="11" t="str">
        <f>VLOOKUP(orders!C861,[1]customers!$A$1:$I$1001, 6,FALSE)</f>
        <v>Fort Smith</v>
      </c>
    </row>
    <row r="862" spans="1:17" x14ac:dyDescent="0.3">
      <c r="A862" s="7" t="s">
        <v>1679</v>
      </c>
      <c r="B862" s="8">
        <v>44707</v>
      </c>
      <c r="C862" s="9" t="s">
        <v>1680</v>
      </c>
      <c r="D862" s="10" t="s">
        <v>188</v>
      </c>
      <c r="E862" s="9">
        <v>1</v>
      </c>
      <c r="F862" s="9" t="str">
        <f>VLOOKUP(C862,[1]customers!$A$1:$I$1001, 2, FALSE)</f>
        <v>Cece Inker</v>
      </c>
      <c r="G862" s="9">
        <f>VLOOKUP(orders!C862,[1]customers!$A$1:$I$1001, 3, FALSE)</f>
        <v>0</v>
      </c>
      <c r="H862" s="9" t="str">
        <f>VLOOKUP(C862, [1]customers!$A$1:$I$1001, 7, FALSE)</f>
        <v>United States</v>
      </c>
      <c r="I862" s="11" t="str">
        <f>VLOOKUP(orders!D862,[1]products!$A$1:$G$49, 2,FALSE)</f>
        <v>Ara</v>
      </c>
      <c r="J862" s="11" t="str">
        <f>VLOOKUP(orders!D862,[1]products!$A$1:$G$49, 3,FALSE)</f>
        <v>M</v>
      </c>
      <c r="K862" s="12">
        <f>VLOOKUP(orders!D862,[1]products!$A$1:$G$49, 4,FALSE)</f>
        <v>2.5</v>
      </c>
      <c r="L862" s="12">
        <f>VLOOKUP(orders!D862,[1]products!$A$1:$G$49, 5,FALSE)</f>
        <v>25.874999999999996</v>
      </c>
      <c r="M862" s="13">
        <f>PRODUCT(orders!$E862,orders!$L862)</f>
        <v>25.874999999999996</v>
      </c>
      <c r="N862" s="11" t="str">
        <f t="shared" si="26"/>
        <v>May</v>
      </c>
      <c r="O862" s="11">
        <f t="shared" si="27"/>
        <v>2022</v>
      </c>
      <c r="P862" s="11" t="str">
        <f>TEXT(orders!$B862, "DDD")</f>
        <v>Thu</v>
      </c>
      <c r="Q862" s="11" t="str">
        <f>VLOOKUP(orders!C862,[1]customers!$A$1:$I$1001, 6,FALSE)</f>
        <v>Lakeland</v>
      </c>
    </row>
    <row r="863" spans="1:17" x14ac:dyDescent="0.3">
      <c r="A863" s="14" t="s">
        <v>1681</v>
      </c>
      <c r="B863" s="15">
        <v>43802</v>
      </c>
      <c r="C863" s="16" t="s">
        <v>1682</v>
      </c>
      <c r="D863" s="17" t="s">
        <v>30</v>
      </c>
      <c r="E863" s="16">
        <v>6</v>
      </c>
      <c r="F863" s="9" t="str">
        <f>VLOOKUP(C863,[1]customers!$A$1:$I$1001, 2, FALSE)</f>
        <v>Noel Chisholm</v>
      </c>
      <c r="G863" s="16" t="str">
        <f>VLOOKUP(orders!C863,[1]customers!$A$1:$I$1001, 3, FALSE)</f>
        <v>nchisholmnx@example.com</v>
      </c>
      <c r="H863" s="16" t="str">
        <f>VLOOKUP(C863, [1]customers!$A$1:$I$1001, 7, FALSE)</f>
        <v>United States</v>
      </c>
      <c r="I863" s="18" t="str">
        <f>VLOOKUP(orders!D863,[1]products!$A$1:$G$49, 2,FALSE)</f>
        <v>Lib</v>
      </c>
      <c r="J863" s="18" t="str">
        <f>VLOOKUP(orders!D863,[1]products!$A$1:$G$49, 3,FALSE)</f>
        <v>D</v>
      </c>
      <c r="K863" s="19">
        <f>VLOOKUP(orders!D863,[1]products!$A$1:$G$49, 4,FALSE)</f>
        <v>1</v>
      </c>
      <c r="L863" s="19">
        <f>VLOOKUP(orders!D863,[1]products!$A$1:$G$49, 5,FALSE)</f>
        <v>12.95</v>
      </c>
      <c r="M863" s="13">
        <f>PRODUCT(orders!$E863,orders!$L863)</f>
        <v>77.699999999999989</v>
      </c>
      <c r="N863" s="18" t="str">
        <f t="shared" si="26"/>
        <v>December</v>
      </c>
      <c r="O863" s="18">
        <f t="shared" si="27"/>
        <v>2019</v>
      </c>
      <c r="P863" s="11" t="str">
        <f>TEXT(orders!$B863, "DDD")</f>
        <v>Tue</v>
      </c>
      <c r="Q863" s="11" t="str">
        <f>VLOOKUP(orders!C863,[1]customers!$A$1:$I$1001, 6,FALSE)</f>
        <v>Knoxville</v>
      </c>
    </row>
    <row r="864" spans="1:17" x14ac:dyDescent="0.3">
      <c r="A864" s="7" t="s">
        <v>1683</v>
      </c>
      <c r="B864" s="8">
        <v>43725</v>
      </c>
      <c r="C864" s="9" t="s">
        <v>1684</v>
      </c>
      <c r="D864" s="10" t="s">
        <v>19</v>
      </c>
      <c r="E864" s="9">
        <v>1</v>
      </c>
      <c r="F864" s="9" t="str">
        <f>VLOOKUP(C864,[1]customers!$A$1:$I$1001, 2, FALSE)</f>
        <v>Grazia Oats</v>
      </c>
      <c r="G864" s="9" t="str">
        <f>VLOOKUP(orders!C864,[1]customers!$A$1:$I$1001, 3, FALSE)</f>
        <v>goatsny@live.com</v>
      </c>
      <c r="H864" s="9" t="str">
        <f>VLOOKUP(C864, [1]customers!$A$1:$I$1001, 7, FALSE)</f>
        <v>United States</v>
      </c>
      <c r="I864" s="11" t="str">
        <f>VLOOKUP(orders!D864,[1]products!$A$1:$G$49, 2,FALSE)</f>
        <v>Rob</v>
      </c>
      <c r="J864" s="11" t="str">
        <f>VLOOKUP(orders!D864,[1]products!$A$1:$G$49, 3,FALSE)</f>
        <v>M</v>
      </c>
      <c r="K864" s="12">
        <f>VLOOKUP(orders!D864,[1]products!$A$1:$G$49, 4,FALSE)</f>
        <v>1</v>
      </c>
      <c r="L864" s="12">
        <f>VLOOKUP(orders!D864,[1]products!$A$1:$G$49, 5,FALSE)</f>
        <v>9.9499999999999993</v>
      </c>
      <c r="M864" s="13">
        <f>PRODUCT(orders!$E864,orders!$L864)</f>
        <v>9.9499999999999993</v>
      </c>
      <c r="N864" s="11" t="str">
        <f t="shared" si="26"/>
        <v>September</v>
      </c>
      <c r="O864" s="11">
        <f t="shared" si="27"/>
        <v>2019</v>
      </c>
      <c r="P864" s="11" t="str">
        <f>TEXT(orders!$B864, "DDD")</f>
        <v>Tue</v>
      </c>
      <c r="Q864" s="11" t="str">
        <f>VLOOKUP(orders!C864,[1]customers!$A$1:$I$1001, 6,FALSE)</f>
        <v>Los Angeles</v>
      </c>
    </row>
    <row r="865" spans="1:17" x14ac:dyDescent="0.3">
      <c r="A865" s="14" t="s">
        <v>1685</v>
      </c>
      <c r="B865" s="15">
        <v>44712</v>
      </c>
      <c r="C865" s="16" t="s">
        <v>1686</v>
      </c>
      <c r="D865" s="17" t="s">
        <v>113</v>
      </c>
      <c r="E865" s="16">
        <v>2</v>
      </c>
      <c r="F865" s="9" t="str">
        <f>VLOOKUP(C865,[1]customers!$A$1:$I$1001, 2, FALSE)</f>
        <v>Meade Birkin</v>
      </c>
      <c r="G865" s="16" t="str">
        <f>VLOOKUP(orders!C865,[1]customers!$A$1:$I$1001, 3, FALSE)</f>
        <v>mbirkinnz@java.com</v>
      </c>
      <c r="H865" s="16" t="str">
        <f>VLOOKUP(C865, [1]customers!$A$1:$I$1001, 7, FALSE)</f>
        <v>United States</v>
      </c>
      <c r="I865" s="18" t="str">
        <f>VLOOKUP(orders!D865,[1]products!$A$1:$G$49, 2,FALSE)</f>
        <v>Lib</v>
      </c>
      <c r="J865" s="18" t="str">
        <f>VLOOKUP(orders!D865,[1]products!$A$1:$G$49, 3,FALSE)</f>
        <v>M</v>
      </c>
      <c r="K865" s="19">
        <f>VLOOKUP(orders!D865,[1]products!$A$1:$G$49, 4,FALSE)</f>
        <v>1</v>
      </c>
      <c r="L865" s="19">
        <f>VLOOKUP(orders!D865,[1]products!$A$1:$G$49, 5,FALSE)</f>
        <v>14.55</v>
      </c>
      <c r="M865" s="13">
        <f>PRODUCT(orders!$E865,orders!$L865)</f>
        <v>29.1</v>
      </c>
      <c r="N865" s="18" t="str">
        <f t="shared" si="26"/>
        <v>May</v>
      </c>
      <c r="O865" s="18">
        <f t="shared" si="27"/>
        <v>2022</v>
      </c>
      <c r="P865" s="11" t="str">
        <f>TEXT(orders!$B865, "DDD")</f>
        <v>Tue</v>
      </c>
      <c r="Q865" s="11" t="str">
        <f>VLOOKUP(orders!C865,[1]customers!$A$1:$I$1001, 6,FALSE)</f>
        <v>Miami</v>
      </c>
    </row>
    <row r="866" spans="1:17" x14ac:dyDescent="0.3">
      <c r="A866" s="7" t="s">
        <v>1687</v>
      </c>
      <c r="B866" s="8">
        <v>43759</v>
      </c>
      <c r="C866" s="9" t="s">
        <v>1688</v>
      </c>
      <c r="D866" s="10" t="s">
        <v>199</v>
      </c>
      <c r="E866" s="9">
        <v>6</v>
      </c>
      <c r="F866" s="9" t="str">
        <f>VLOOKUP(C866,[1]customers!$A$1:$I$1001, 2, FALSE)</f>
        <v>Ronda Pyson</v>
      </c>
      <c r="G866" s="9" t="str">
        <f>VLOOKUP(orders!C866,[1]customers!$A$1:$I$1001, 3, FALSE)</f>
        <v>rpysono0@constantcontact.com</v>
      </c>
      <c r="H866" s="9" t="str">
        <f>VLOOKUP(C866, [1]customers!$A$1:$I$1001, 7, FALSE)</f>
        <v>Ireland</v>
      </c>
      <c r="I866" s="11" t="str">
        <f>VLOOKUP(orders!D866,[1]products!$A$1:$G$49, 2,FALSE)</f>
        <v>Rob</v>
      </c>
      <c r="J866" s="11" t="str">
        <f>VLOOKUP(orders!D866,[1]products!$A$1:$G$49, 3,FALSE)</f>
        <v>L</v>
      </c>
      <c r="K866" s="12">
        <f>VLOOKUP(orders!D866,[1]products!$A$1:$G$49, 4,FALSE)</f>
        <v>0.2</v>
      </c>
      <c r="L866" s="12">
        <f>VLOOKUP(orders!D866,[1]products!$A$1:$G$49, 5,FALSE)</f>
        <v>3.5849999999999995</v>
      </c>
      <c r="M866" s="13">
        <f>PRODUCT(orders!$E866,orders!$L866)</f>
        <v>21.509999999999998</v>
      </c>
      <c r="N866" s="11" t="str">
        <f t="shared" si="26"/>
        <v>October</v>
      </c>
      <c r="O866" s="11">
        <f t="shared" si="27"/>
        <v>2019</v>
      </c>
      <c r="P866" s="11" t="str">
        <f>TEXT(orders!$B866, "DDD")</f>
        <v>Mon</v>
      </c>
      <c r="Q866" s="11" t="str">
        <f>VLOOKUP(orders!C866,[1]customers!$A$1:$I$1001, 6,FALSE)</f>
        <v>Clones</v>
      </c>
    </row>
    <row r="867" spans="1:17" x14ac:dyDescent="0.3">
      <c r="A867" s="14" t="s">
        <v>1689</v>
      </c>
      <c r="B867" s="15">
        <v>44675</v>
      </c>
      <c r="C867" s="16" t="s">
        <v>1690</v>
      </c>
      <c r="D867" s="17" t="s">
        <v>84</v>
      </c>
      <c r="E867" s="16">
        <v>1</v>
      </c>
      <c r="F867" s="9" t="str">
        <f>VLOOKUP(C867,[1]customers!$A$1:$I$1001, 2, FALSE)</f>
        <v>Modesty MacConnechie</v>
      </c>
      <c r="G867" s="16" t="str">
        <f>VLOOKUP(orders!C867,[1]customers!$A$1:$I$1001, 3, FALSE)</f>
        <v>mmacconnechieo9@reuters.com</v>
      </c>
      <c r="H867" s="16" t="str">
        <f>VLOOKUP(C867, [1]customers!$A$1:$I$1001, 7, FALSE)</f>
        <v>United States</v>
      </c>
      <c r="I867" s="18" t="str">
        <f>VLOOKUP(orders!D867,[1]products!$A$1:$G$49, 2,FALSE)</f>
        <v>Ara</v>
      </c>
      <c r="J867" s="18" t="str">
        <f>VLOOKUP(orders!D867,[1]products!$A$1:$G$49, 3,FALSE)</f>
        <v>M</v>
      </c>
      <c r="K867" s="19">
        <f>VLOOKUP(orders!D867,[1]products!$A$1:$G$49, 4,FALSE)</f>
        <v>0.5</v>
      </c>
      <c r="L867" s="19">
        <f>VLOOKUP(orders!D867,[1]products!$A$1:$G$49, 5,FALSE)</f>
        <v>6.75</v>
      </c>
      <c r="M867" s="13">
        <f>PRODUCT(orders!$E867,orders!$L867)</f>
        <v>6.75</v>
      </c>
      <c r="N867" s="18" t="str">
        <f t="shared" si="26"/>
        <v>April</v>
      </c>
      <c r="O867" s="18">
        <f t="shared" si="27"/>
        <v>2022</v>
      </c>
      <c r="P867" s="11" t="str">
        <f>TEXT(orders!$B867, "DDD")</f>
        <v>Sun</v>
      </c>
      <c r="Q867" s="11" t="str">
        <f>VLOOKUP(orders!C867,[1]customers!$A$1:$I$1001, 6,FALSE)</f>
        <v>Charleston</v>
      </c>
    </row>
    <row r="868" spans="1:17" x14ac:dyDescent="0.3">
      <c r="A868" s="7" t="s">
        <v>1691</v>
      </c>
      <c r="B868" s="8">
        <v>44209</v>
      </c>
      <c r="C868" s="9" t="s">
        <v>1692</v>
      </c>
      <c r="D868" s="10" t="s">
        <v>89</v>
      </c>
      <c r="E868" s="9">
        <v>3</v>
      </c>
      <c r="F868" s="9" t="str">
        <f>VLOOKUP(C868,[1]customers!$A$1:$I$1001, 2, FALSE)</f>
        <v>Rafaela Treacher</v>
      </c>
      <c r="G868" s="9" t="str">
        <f>VLOOKUP(orders!C868,[1]customers!$A$1:$I$1001, 3, FALSE)</f>
        <v>rtreachero2@usa.gov</v>
      </c>
      <c r="H868" s="9" t="str">
        <f>VLOOKUP(C868, [1]customers!$A$1:$I$1001, 7, FALSE)</f>
        <v>Ireland</v>
      </c>
      <c r="I868" s="11" t="str">
        <f>VLOOKUP(orders!D868,[1]products!$A$1:$G$49, 2,FALSE)</f>
        <v>Ara</v>
      </c>
      <c r="J868" s="11" t="str">
        <f>VLOOKUP(orders!D868,[1]products!$A$1:$G$49, 3,FALSE)</f>
        <v>D</v>
      </c>
      <c r="K868" s="12">
        <f>VLOOKUP(orders!D868,[1]products!$A$1:$G$49, 4,FALSE)</f>
        <v>0.5</v>
      </c>
      <c r="L868" s="12">
        <f>VLOOKUP(orders!D868,[1]products!$A$1:$G$49, 5,FALSE)</f>
        <v>5.97</v>
      </c>
      <c r="M868" s="13">
        <f>PRODUCT(orders!$E868,orders!$L868)</f>
        <v>17.91</v>
      </c>
      <c r="N868" s="11" t="str">
        <f t="shared" si="26"/>
        <v>January</v>
      </c>
      <c r="O868" s="11">
        <f t="shared" si="27"/>
        <v>2021</v>
      </c>
      <c r="P868" s="11" t="str">
        <f>TEXT(orders!$B868, "DDD")</f>
        <v>Wed</v>
      </c>
      <c r="Q868" s="11" t="str">
        <f>VLOOKUP(orders!C868,[1]customers!$A$1:$I$1001, 6,FALSE)</f>
        <v>Greystones</v>
      </c>
    </row>
    <row r="869" spans="1:17" x14ac:dyDescent="0.3">
      <c r="A869" s="14" t="s">
        <v>1693</v>
      </c>
      <c r="B869" s="15">
        <v>44792</v>
      </c>
      <c r="C869" s="16" t="s">
        <v>1694</v>
      </c>
      <c r="D869" s="17" t="s">
        <v>221</v>
      </c>
      <c r="E869" s="16">
        <v>1</v>
      </c>
      <c r="F869" s="9" t="str">
        <f>VLOOKUP(C869,[1]customers!$A$1:$I$1001, 2, FALSE)</f>
        <v>Bee Fattorini</v>
      </c>
      <c r="G869" s="16" t="str">
        <f>VLOOKUP(orders!C869,[1]customers!$A$1:$I$1001, 3, FALSE)</f>
        <v>bfattorinio3@quantcast.com</v>
      </c>
      <c r="H869" s="16" t="str">
        <f>VLOOKUP(C869, [1]customers!$A$1:$I$1001, 7, FALSE)</f>
        <v>Ireland</v>
      </c>
      <c r="I869" s="18" t="str">
        <f>VLOOKUP(orders!D869,[1]products!$A$1:$G$49, 2,FALSE)</f>
        <v>Ara</v>
      </c>
      <c r="J869" s="18" t="str">
        <f>VLOOKUP(orders!D869,[1]products!$A$1:$G$49, 3,FALSE)</f>
        <v>L</v>
      </c>
      <c r="K869" s="19">
        <f>VLOOKUP(orders!D869,[1]products!$A$1:$G$49, 4,FALSE)</f>
        <v>2.5</v>
      </c>
      <c r="L869" s="19">
        <f>VLOOKUP(orders!D869,[1]products!$A$1:$G$49, 5,FALSE)</f>
        <v>29.784999999999997</v>
      </c>
      <c r="M869" s="13">
        <f>PRODUCT(orders!$E869,orders!$L869)</f>
        <v>29.784999999999997</v>
      </c>
      <c r="N869" s="18" t="str">
        <f t="shared" si="26"/>
        <v>August</v>
      </c>
      <c r="O869" s="18">
        <f t="shared" si="27"/>
        <v>2022</v>
      </c>
      <c r="P869" s="11" t="str">
        <f>TEXT(orders!$B869, "DDD")</f>
        <v>Fri</v>
      </c>
      <c r="Q869" s="11" t="str">
        <f>VLOOKUP(orders!C869,[1]customers!$A$1:$I$1001, 6,FALSE)</f>
        <v>Monaghan</v>
      </c>
    </row>
    <row r="870" spans="1:17" x14ac:dyDescent="0.3">
      <c r="A870" s="7" t="s">
        <v>1695</v>
      </c>
      <c r="B870" s="8">
        <v>43526</v>
      </c>
      <c r="C870" s="9" t="s">
        <v>1696</v>
      </c>
      <c r="D870" s="10" t="s">
        <v>20</v>
      </c>
      <c r="E870" s="9">
        <v>5</v>
      </c>
      <c r="F870" s="9" t="str">
        <f>VLOOKUP(C870,[1]customers!$A$1:$I$1001, 2, FALSE)</f>
        <v>Margie Palleske</v>
      </c>
      <c r="G870" s="9" t="str">
        <f>VLOOKUP(orders!C870,[1]customers!$A$1:$I$1001, 3, FALSE)</f>
        <v>mpalleskeo4@nyu.edu</v>
      </c>
      <c r="H870" s="9" t="str">
        <f>VLOOKUP(C870, [1]customers!$A$1:$I$1001, 7, FALSE)</f>
        <v>United States</v>
      </c>
      <c r="I870" s="11" t="str">
        <f>VLOOKUP(orders!D870,[1]products!$A$1:$G$49, 2,FALSE)</f>
        <v>Exc</v>
      </c>
      <c r="J870" s="11" t="str">
        <f>VLOOKUP(orders!D870,[1]products!$A$1:$G$49, 3,FALSE)</f>
        <v>M</v>
      </c>
      <c r="K870" s="12">
        <f>VLOOKUP(orders!D870,[1]products!$A$1:$G$49, 4,FALSE)</f>
        <v>0.5</v>
      </c>
      <c r="L870" s="12">
        <f>VLOOKUP(orders!D870,[1]products!$A$1:$G$49, 5,FALSE)</f>
        <v>8.25</v>
      </c>
      <c r="M870" s="13">
        <f>PRODUCT(orders!$E870,orders!$L870)</f>
        <v>41.25</v>
      </c>
      <c r="N870" s="11" t="str">
        <f t="shared" si="26"/>
        <v>March</v>
      </c>
      <c r="O870" s="11">
        <f t="shared" si="27"/>
        <v>2019</v>
      </c>
      <c r="P870" s="11" t="str">
        <f>TEXT(orders!$B870, "DDD")</f>
        <v>Sat</v>
      </c>
      <c r="Q870" s="11" t="str">
        <f>VLOOKUP(orders!C870,[1]customers!$A$1:$I$1001, 6,FALSE)</f>
        <v>Pompano Beach</v>
      </c>
    </row>
    <row r="871" spans="1:17" x14ac:dyDescent="0.3">
      <c r="A871" s="14" t="s">
        <v>1697</v>
      </c>
      <c r="B871" s="15">
        <v>43851</v>
      </c>
      <c r="C871" s="16" t="s">
        <v>1698</v>
      </c>
      <c r="D871" s="17" t="s">
        <v>39</v>
      </c>
      <c r="E871" s="16">
        <v>3</v>
      </c>
      <c r="F871" s="9" t="str">
        <f>VLOOKUP(C871,[1]customers!$A$1:$I$1001, 2, FALSE)</f>
        <v>Alexina Randals</v>
      </c>
      <c r="G871" s="16">
        <f>VLOOKUP(orders!C871,[1]customers!$A$1:$I$1001, 3, FALSE)</f>
        <v>0</v>
      </c>
      <c r="H871" s="16" t="str">
        <f>VLOOKUP(C871, [1]customers!$A$1:$I$1001, 7, FALSE)</f>
        <v>United States</v>
      </c>
      <c r="I871" s="18" t="str">
        <f>VLOOKUP(orders!D871,[1]products!$A$1:$G$49, 2,FALSE)</f>
        <v>Rob</v>
      </c>
      <c r="J871" s="18" t="str">
        <f>VLOOKUP(orders!D871,[1]products!$A$1:$G$49, 3,FALSE)</f>
        <v>M</v>
      </c>
      <c r="K871" s="19">
        <f>VLOOKUP(orders!D871,[1]products!$A$1:$G$49, 4,FALSE)</f>
        <v>0.5</v>
      </c>
      <c r="L871" s="19">
        <f>VLOOKUP(orders!D871,[1]products!$A$1:$G$49, 5,FALSE)</f>
        <v>5.97</v>
      </c>
      <c r="M871" s="13">
        <f>PRODUCT(orders!$E871,orders!$L871)</f>
        <v>17.91</v>
      </c>
      <c r="N871" s="18" t="str">
        <f t="shared" si="26"/>
        <v>January</v>
      </c>
      <c r="O871" s="18">
        <f t="shared" si="27"/>
        <v>2020</v>
      </c>
      <c r="P871" s="11" t="str">
        <f>TEXT(orders!$B871, "DDD")</f>
        <v>Tue</v>
      </c>
      <c r="Q871" s="11" t="str">
        <f>VLOOKUP(orders!C871,[1]customers!$A$1:$I$1001, 6,FALSE)</f>
        <v>Sacramento</v>
      </c>
    </row>
    <row r="872" spans="1:17" x14ac:dyDescent="0.3">
      <c r="A872" s="7" t="s">
        <v>1699</v>
      </c>
      <c r="B872" s="8">
        <v>44460</v>
      </c>
      <c r="C872" s="9" t="s">
        <v>1700</v>
      </c>
      <c r="D872" s="10" t="s">
        <v>33</v>
      </c>
      <c r="E872" s="9">
        <v>1</v>
      </c>
      <c r="F872" s="9" t="str">
        <f>VLOOKUP(C872,[1]customers!$A$1:$I$1001, 2, FALSE)</f>
        <v>Filip Antcliffe</v>
      </c>
      <c r="G872" s="9" t="str">
        <f>VLOOKUP(orders!C872,[1]customers!$A$1:$I$1001, 3, FALSE)</f>
        <v>fantcliffeo6@amazon.co.jp</v>
      </c>
      <c r="H872" s="9" t="str">
        <f>VLOOKUP(C872, [1]customers!$A$1:$I$1001, 7, FALSE)</f>
        <v>Ireland</v>
      </c>
      <c r="I872" s="11" t="str">
        <f>VLOOKUP(orders!D872,[1]products!$A$1:$G$49, 2,FALSE)</f>
        <v>Exc</v>
      </c>
      <c r="J872" s="11" t="str">
        <f>VLOOKUP(orders!D872,[1]products!$A$1:$G$49, 3,FALSE)</f>
        <v>D</v>
      </c>
      <c r="K872" s="12">
        <f>VLOOKUP(orders!D872,[1]products!$A$1:$G$49, 4,FALSE)</f>
        <v>0.5</v>
      </c>
      <c r="L872" s="12">
        <f>VLOOKUP(orders!D872,[1]products!$A$1:$G$49, 5,FALSE)</f>
        <v>7.29</v>
      </c>
      <c r="M872" s="13">
        <f>PRODUCT(orders!$E872,orders!$L872)</f>
        <v>7.29</v>
      </c>
      <c r="N872" s="11" t="str">
        <f t="shared" si="26"/>
        <v>September</v>
      </c>
      <c r="O872" s="11">
        <f t="shared" si="27"/>
        <v>2021</v>
      </c>
      <c r="P872" s="11" t="str">
        <f>TEXT(orders!$B872, "DDD")</f>
        <v>Tue</v>
      </c>
      <c r="Q872" s="11" t="str">
        <f>VLOOKUP(orders!C872,[1]customers!$A$1:$I$1001, 6,FALSE)</f>
        <v>Clonskeagh</v>
      </c>
    </row>
    <row r="873" spans="1:17" x14ac:dyDescent="0.3">
      <c r="A873" s="14" t="s">
        <v>1701</v>
      </c>
      <c r="B873" s="15">
        <v>43707</v>
      </c>
      <c r="C873" s="16" t="s">
        <v>1702</v>
      </c>
      <c r="D873" s="17" t="s">
        <v>154</v>
      </c>
      <c r="E873" s="16">
        <v>2</v>
      </c>
      <c r="F873" s="9" t="str">
        <f>VLOOKUP(C873,[1]customers!$A$1:$I$1001, 2, FALSE)</f>
        <v>Peyter Matignon</v>
      </c>
      <c r="G873" s="16" t="str">
        <f>VLOOKUP(orders!C873,[1]customers!$A$1:$I$1001, 3, FALSE)</f>
        <v>pmatignono7@harvard.edu</v>
      </c>
      <c r="H873" s="16" t="str">
        <f>VLOOKUP(C873, [1]customers!$A$1:$I$1001, 7, FALSE)</f>
        <v>United Kingdom</v>
      </c>
      <c r="I873" s="18" t="str">
        <f>VLOOKUP(orders!D873,[1]products!$A$1:$G$49, 2,FALSE)</f>
        <v>Exc</v>
      </c>
      <c r="J873" s="18" t="str">
        <f>VLOOKUP(orders!D873,[1]products!$A$1:$G$49, 3,FALSE)</f>
        <v>L</v>
      </c>
      <c r="K873" s="19">
        <f>VLOOKUP(orders!D873,[1]products!$A$1:$G$49, 4,FALSE)</f>
        <v>1</v>
      </c>
      <c r="L873" s="19">
        <f>VLOOKUP(orders!D873,[1]products!$A$1:$G$49, 5,FALSE)</f>
        <v>14.85</v>
      </c>
      <c r="M873" s="13">
        <f>PRODUCT(orders!$E873,orders!$L873)</f>
        <v>29.7</v>
      </c>
      <c r="N873" s="18" t="str">
        <f t="shared" si="26"/>
        <v>August</v>
      </c>
      <c r="O873" s="18">
        <f t="shared" si="27"/>
        <v>2019</v>
      </c>
      <c r="P873" s="11" t="str">
        <f>TEXT(orders!$B873, "DDD")</f>
        <v>Fri</v>
      </c>
      <c r="Q873" s="11" t="str">
        <f>VLOOKUP(orders!C873,[1]customers!$A$1:$I$1001, 6,FALSE)</f>
        <v>Kirkton</v>
      </c>
    </row>
    <row r="874" spans="1:17" x14ac:dyDescent="0.3">
      <c r="A874" s="7" t="s">
        <v>1703</v>
      </c>
      <c r="B874" s="8">
        <v>43521</v>
      </c>
      <c r="C874" s="9" t="s">
        <v>1704</v>
      </c>
      <c r="D874" s="10" t="s">
        <v>78</v>
      </c>
      <c r="E874" s="9">
        <v>2</v>
      </c>
      <c r="F874" s="9" t="str">
        <f>VLOOKUP(C874,[1]customers!$A$1:$I$1001, 2, FALSE)</f>
        <v>Claudie Weond</v>
      </c>
      <c r="G874" s="9" t="str">
        <f>VLOOKUP(orders!C874,[1]customers!$A$1:$I$1001, 3, FALSE)</f>
        <v>cweondo8@theglobeandmail.com</v>
      </c>
      <c r="H874" s="9" t="str">
        <f>VLOOKUP(C874, [1]customers!$A$1:$I$1001, 7, FALSE)</f>
        <v>United States</v>
      </c>
      <c r="I874" s="11" t="str">
        <f>VLOOKUP(orders!D874,[1]products!$A$1:$G$49, 2,FALSE)</f>
        <v>Ara</v>
      </c>
      <c r="J874" s="11" t="str">
        <f>VLOOKUP(orders!D874,[1]products!$A$1:$G$49, 3,FALSE)</f>
        <v>M</v>
      </c>
      <c r="K874" s="12">
        <f>VLOOKUP(orders!D874,[1]products!$A$1:$G$49, 4,FALSE)</f>
        <v>1</v>
      </c>
      <c r="L874" s="12">
        <f>VLOOKUP(orders!D874,[1]products!$A$1:$G$49, 5,FALSE)</f>
        <v>11.25</v>
      </c>
      <c r="M874" s="13">
        <f>PRODUCT(orders!$E874,orders!$L874)</f>
        <v>22.5</v>
      </c>
      <c r="N874" s="11" t="str">
        <f t="shared" si="26"/>
        <v>February</v>
      </c>
      <c r="O874" s="11">
        <f t="shared" si="27"/>
        <v>2019</v>
      </c>
      <c r="P874" s="11" t="str">
        <f>TEXT(orders!$B874, "DDD")</f>
        <v>Mon</v>
      </c>
      <c r="Q874" s="11" t="str">
        <f>VLOOKUP(orders!C874,[1]customers!$A$1:$I$1001, 6,FALSE)</f>
        <v>Asheville</v>
      </c>
    </row>
    <row r="875" spans="1:17" x14ac:dyDescent="0.3">
      <c r="A875" s="14" t="s">
        <v>1705</v>
      </c>
      <c r="B875" s="15">
        <v>43725</v>
      </c>
      <c r="C875" s="16" t="s">
        <v>1690</v>
      </c>
      <c r="D875" s="17" t="s">
        <v>179</v>
      </c>
      <c r="E875" s="16">
        <v>4</v>
      </c>
      <c r="F875" s="9" t="str">
        <f>VLOOKUP(C875,[1]customers!$A$1:$I$1001, 2, FALSE)</f>
        <v>Modesty MacConnechie</v>
      </c>
      <c r="G875" s="16" t="str">
        <f>VLOOKUP(orders!C875,[1]customers!$A$1:$I$1001, 3, FALSE)</f>
        <v>mmacconnechieo9@reuters.com</v>
      </c>
      <c r="H875" s="16" t="str">
        <f>VLOOKUP(C875, [1]customers!$A$1:$I$1001, 7, FALSE)</f>
        <v>United States</v>
      </c>
      <c r="I875" s="18" t="str">
        <f>VLOOKUP(orders!D875,[1]products!$A$1:$G$49, 2,FALSE)</f>
        <v>Rob</v>
      </c>
      <c r="J875" s="18" t="str">
        <f>VLOOKUP(orders!D875,[1]products!$A$1:$G$49, 3,FALSE)</f>
        <v>M</v>
      </c>
      <c r="K875" s="19">
        <f>VLOOKUP(orders!D875,[1]products!$A$1:$G$49, 4,FALSE)</f>
        <v>0.2</v>
      </c>
      <c r="L875" s="19">
        <f>VLOOKUP(orders!D875,[1]products!$A$1:$G$49, 5,FALSE)</f>
        <v>2.9849999999999999</v>
      </c>
      <c r="M875" s="13">
        <f>PRODUCT(orders!$E875,orders!$L875)</f>
        <v>11.94</v>
      </c>
      <c r="N875" s="18" t="str">
        <f t="shared" si="26"/>
        <v>September</v>
      </c>
      <c r="O875" s="18">
        <f t="shared" si="27"/>
        <v>2019</v>
      </c>
      <c r="P875" s="11" t="str">
        <f>TEXT(orders!$B875, "DDD")</f>
        <v>Tue</v>
      </c>
      <c r="Q875" s="11" t="str">
        <f>VLOOKUP(orders!C875,[1]customers!$A$1:$I$1001, 6,FALSE)</f>
        <v>Charleston</v>
      </c>
    </row>
    <row r="876" spans="1:17" x14ac:dyDescent="0.3">
      <c r="A876" s="7" t="s">
        <v>1706</v>
      </c>
      <c r="B876" s="8">
        <v>43680</v>
      </c>
      <c r="C876" s="9" t="s">
        <v>1707</v>
      </c>
      <c r="D876" s="10" t="s">
        <v>23</v>
      </c>
      <c r="E876" s="9">
        <v>2</v>
      </c>
      <c r="F876" s="9" t="str">
        <f>VLOOKUP(C876,[1]customers!$A$1:$I$1001, 2, FALSE)</f>
        <v>Jaquenette Skentelbery</v>
      </c>
      <c r="G876" s="9" t="str">
        <f>VLOOKUP(orders!C876,[1]customers!$A$1:$I$1001, 3, FALSE)</f>
        <v>jskentelberyoa@paypal.com</v>
      </c>
      <c r="H876" s="9" t="str">
        <f>VLOOKUP(C876, [1]customers!$A$1:$I$1001, 7, FALSE)</f>
        <v>United States</v>
      </c>
      <c r="I876" s="11" t="str">
        <f>VLOOKUP(orders!D876,[1]products!$A$1:$G$49, 2,FALSE)</f>
        <v>Ara</v>
      </c>
      <c r="J876" s="11" t="str">
        <f>VLOOKUP(orders!D876,[1]products!$A$1:$G$49, 3,FALSE)</f>
        <v>L</v>
      </c>
      <c r="K876" s="12">
        <f>VLOOKUP(orders!D876,[1]products!$A$1:$G$49, 4,FALSE)</f>
        <v>1</v>
      </c>
      <c r="L876" s="12">
        <f>VLOOKUP(orders!D876,[1]products!$A$1:$G$49, 5,FALSE)</f>
        <v>12.95</v>
      </c>
      <c r="M876" s="13">
        <f>PRODUCT(orders!$E876,orders!$L876)</f>
        <v>25.9</v>
      </c>
      <c r="N876" s="11" t="str">
        <f t="shared" si="26"/>
        <v>August</v>
      </c>
      <c r="O876" s="11">
        <f t="shared" si="27"/>
        <v>2019</v>
      </c>
      <c r="P876" s="11" t="str">
        <f>TEXT(orders!$B876, "DDD")</f>
        <v>Sat</v>
      </c>
      <c r="Q876" s="11" t="str">
        <f>VLOOKUP(orders!C876,[1]customers!$A$1:$I$1001, 6,FALSE)</f>
        <v>Houston</v>
      </c>
    </row>
    <row r="877" spans="1:17" x14ac:dyDescent="0.3">
      <c r="A877" s="14" t="s">
        <v>1708</v>
      </c>
      <c r="B877" s="15">
        <v>44253</v>
      </c>
      <c r="C877" s="16" t="s">
        <v>1709</v>
      </c>
      <c r="D877" s="17" t="s">
        <v>95</v>
      </c>
      <c r="E877" s="16">
        <v>5</v>
      </c>
      <c r="F877" s="9" t="str">
        <f>VLOOKUP(C877,[1]customers!$A$1:$I$1001, 2, FALSE)</f>
        <v>Orazio Comber</v>
      </c>
      <c r="G877" s="16" t="str">
        <f>VLOOKUP(orders!C877,[1]customers!$A$1:$I$1001, 3, FALSE)</f>
        <v>ocomberob@goo.gl</v>
      </c>
      <c r="H877" s="16" t="str">
        <f>VLOOKUP(C877, [1]customers!$A$1:$I$1001, 7, FALSE)</f>
        <v>Ireland</v>
      </c>
      <c r="I877" s="18" t="str">
        <f>VLOOKUP(orders!D877,[1]products!$A$1:$G$49, 2,FALSE)</f>
        <v>Lib</v>
      </c>
      <c r="J877" s="18" t="str">
        <f>VLOOKUP(orders!D877,[1]products!$A$1:$G$49, 3,FALSE)</f>
        <v>M</v>
      </c>
      <c r="K877" s="19">
        <f>VLOOKUP(orders!D877,[1]products!$A$1:$G$49, 4,FALSE)</f>
        <v>0.5</v>
      </c>
      <c r="L877" s="19">
        <f>VLOOKUP(orders!D877,[1]products!$A$1:$G$49, 5,FALSE)</f>
        <v>8.73</v>
      </c>
      <c r="M877" s="13">
        <f>PRODUCT(orders!$E877,orders!$L877)</f>
        <v>43.650000000000006</v>
      </c>
      <c r="N877" s="18" t="str">
        <f t="shared" si="26"/>
        <v>February</v>
      </c>
      <c r="O877" s="18">
        <f t="shared" si="27"/>
        <v>2021</v>
      </c>
      <c r="P877" s="11" t="str">
        <f>TEXT(orders!$B877, "DDD")</f>
        <v>Fri</v>
      </c>
      <c r="Q877" s="11" t="str">
        <f>VLOOKUP(orders!C877,[1]customers!$A$1:$I$1001, 6,FALSE)</f>
        <v>Confey</v>
      </c>
    </row>
    <row r="878" spans="1:17" x14ac:dyDescent="0.3">
      <c r="A878" s="7" t="s">
        <v>1708</v>
      </c>
      <c r="B878" s="8">
        <v>44253</v>
      </c>
      <c r="C878" s="9" t="s">
        <v>1709</v>
      </c>
      <c r="D878" s="10" t="s">
        <v>209</v>
      </c>
      <c r="E878" s="9">
        <v>6</v>
      </c>
      <c r="F878" s="9" t="str">
        <f>VLOOKUP(C878,[1]customers!$A$1:$I$1001, 2, FALSE)</f>
        <v>Orazio Comber</v>
      </c>
      <c r="G878" s="9" t="str">
        <f>VLOOKUP(orders!C878,[1]customers!$A$1:$I$1001, 3, FALSE)</f>
        <v>ocomberob@goo.gl</v>
      </c>
      <c r="H878" s="9" t="str">
        <f>VLOOKUP(C878, [1]customers!$A$1:$I$1001, 7, FALSE)</f>
        <v>Ireland</v>
      </c>
      <c r="I878" s="11" t="str">
        <f>VLOOKUP(orders!D878,[1]products!$A$1:$G$49, 2,FALSE)</f>
        <v>Ara</v>
      </c>
      <c r="J878" s="11" t="str">
        <f>VLOOKUP(orders!D878,[1]products!$A$1:$G$49, 3,FALSE)</f>
        <v>L</v>
      </c>
      <c r="K878" s="12">
        <f>VLOOKUP(orders!D878,[1]products!$A$1:$G$49, 4,FALSE)</f>
        <v>0.5</v>
      </c>
      <c r="L878" s="12">
        <f>VLOOKUP(orders!D878,[1]products!$A$1:$G$49, 5,FALSE)</f>
        <v>7.77</v>
      </c>
      <c r="M878" s="13">
        <f>PRODUCT(orders!$E878,orders!$L878)</f>
        <v>46.62</v>
      </c>
      <c r="N878" s="11" t="str">
        <f t="shared" si="26"/>
        <v>February</v>
      </c>
      <c r="O878" s="11">
        <f t="shared" si="27"/>
        <v>2021</v>
      </c>
      <c r="P878" s="11" t="str">
        <f>TEXT(orders!$B878, "DDD")</f>
        <v>Fri</v>
      </c>
      <c r="Q878" s="11" t="str">
        <f>VLOOKUP(orders!C878,[1]customers!$A$1:$I$1001, 6,FALSE)</f>
        <v>Confey</v>
      </c>
    </row>
    <row r="879" spans="1:17" x14ac:dyDescent="0.3">
      <c r="A879" s="14" t="s">
        <v>1710</v>
      </c>
      <c r="B879" s="15">
        <v>44411</v>
      </c>
      <c r="C879" s="16" t="s">
        <v>1711</v>
      </c>
      <c r="D879" s="17" t="s">
        <v>100</v>
      </c>
      <c r="E879" s="16">
        <v>3</v>
      </c>
      <c r="F879" s="9" t="str">
        <f>VLOOKUP(C879,[1]customers!$A$1:$I$1001, 2, FALSE)</f>
        <v>Zachary Tramel</v>
      </c>
      <c r="G879" s="16" t="str">
        <f>VLOOKUP(orders!C879,[1]customers!$A$1:$I$1001, 3, FALSE)</f>
        <v>ztramelod@netlog.com</v>
      </c>
      <c r="H879" s="16" t="str">
        <f>VLOOKUP(C879, [1]customers!$A$1:$I$1001, 7, FALSE)</f>
        <v>United States</v>
      </c>
      <c r="I879" s="18" t="str">
        <f>VLOOKUP(orders!D879,[1]products!$A$1:$G$49, 2,FALSE)</f>
        <v>Lib</v>
      </c>
      <c r="J879" s="18" t="str">
        <f>VLOOKUP(orders!D879,[1]products!$A$1:$G$49, 3,FALSE)</f>
        <v>L</v>
      </c>
      <c r="K879" s="19">
        <f>VLOOKUP(orders!D879,[1]products!$A$1:$G$49, 4,FALSE)</f>
        <v>0.5</v>
      </c>
      <c r="L879" s="19">
        <f>VLOOKUP(orders!D879,[1]products!$A$1:$G$49, 5,FALSE)</f>
        <v>9.51</v>
      </c>
      <c r="M879" s="13">
        <f>PRODUCT(orders!$E879,orders!$L879)</f>
        <v>28.53</v>
      </c>
      <c r="N879" s="18" t="str">
        <f t="shared" si="26"/>
        <v>August</v>
      </c>
      <c r="O879" s="18">
        <f t="shared" si="27"/>
        <v>2021</v>
      </c>
      <c r="P879" s="11" t="str">
        <f>TEXT(orders!$B879, "DDD")</f>
        <v>Tue</v>
      </c>
      <c r="Q879" s="11" t="str">
        <f>VLOOKUP(orders!C879,[1]customers!$A$1:$I$1001, 6,FALSE)</f>
        <v>Newark</v>
      </c>
    </row>
    <row r="880" spans="1:17" x14ac:dyDescent="0.3">
      <c r="A880" s="7" t="s">
        <v>1712</v>
      </c>
      <c r="B880" s="8">
        <v>44323</v>
      </c>
      <c r="C880" s="9" t="s">
        <v>1713</v>
      </c>
      <c r="D880" s="10" t="s">
        <v>27</v>
      </c>
      <c r="E880" s="9">
        <v>1</v>
      </c>
      <c r="F880" s="9" t="str">
        <f>VLOOKUP(C880,[1]customers!$A$1:$I$1001, 2, FALSE)</f>
        <v>Izaak Primak</v>
      </c>
      <c r="G880" s="9">
        <f>VLOOKUP(orders!C880,[1]customers!$A$1:$I$1001, 3, FALSE)</f>
        <v>0</v>
      </c>
      <c r="H880" s="9" t="str">
        <f>VLOOKUP(C880, [1]customers!$A$1:$I$1001, 7, FALSE)</f>
        <v>United States</v>
      </c>
      <c r="I880" s="11" t="str">
        <f>VLOOKUP(orders!D880,[1]products!$A$1:$G$49, 2,FALSE)</f>
        <v>Rob</v>
      </c>
      <c r="J880" s="11" t="str">
        <f>VLOOKUP(orders!D880,[1]products!$A$1:$G$49, 3,FALSE)</f>
        <v>L</v>
      </c>
      <c r="K880" s="12">
        <f>VLOOKUP(orders!D880,[1]products!$A$1:$G$49, 4,FALSE)</f>
        <v>2.5</v>
      </c>
      <c r="L880" s="12">
        <f>VLOOKUP(orders!D880,[1]products!$A$1:$G$49, 5,FALSE)</f>
        <v>27.484999999999996</v>
      </c>
      <c r="M880" s="13">
        <f>PRODUCT(orders!$E880,orders!$L880)</f>
        <v>27.484999999999996</v>
      </c>
      <c r="N880" s="11" t="str">
        <f t="shared" si="26"/>
        <v>May</v>
      </c>
      <c r="O880" s="11">
        <f t="shared" si="27"/>
        <v>2021</v>
      </c>
      <c r="P880" s="11" t="str">
        <f>TEXT(orders!$B880, "DDD")</f>
        <v>Fri</v>
      </c>
      <c r="Q880" s="11" t="str">
        <f>VLOOKUP(orders!C880,[1]customers!$A$1:$I$1001, 6,FALSE)</f>
        <v>Seattle</v>
      </c>
    </row>
    <row r="881" spans="1:17" x14ac:dyDescent="0.3">
      <c r="A881" s="14" t="s">
        <v>1714</v>
      </c>
      <c r="B881" s="15">
        <v>43630</v>
      </c>
      <c r="C881" s="16" t="s">
        <v>1715</v>
      </c>
      <c r="D881" s="17" t="s">
        <v>68</v>
      </c>
      <c r="E881" s="16">
        <v>3</v>
      </c>
      <c r="F881" s="9" t="str">
        <f>VLOOKUP(C881,[1]customers!$A$1:$I$1001, 2, FALSE)</f>
        <v>Brittani Thoresbie</v>
      </c>
      <c r="G881" s="16">
        <f>VLOOKUP(orders!C881,[1]customers!$A$1:$I$1001, 3, FALSE)</f>
        <v>0</v>
      </c>
      <c r="H881" s="16" t="str">
        <f>VLOOKUP(C881, [1]customers!$A$1:$I$1001, 7, FALSE)</f>
        <v>United States</v>
      </c>
      <c r="I881" s="18" t="str">
        <f>VLOOKUP(orders!D881,[1]products!$A$1:$G$49, 2,FALSE)</f>
        <v>Exc</v>
      </c>
      <c r="J881" s="18" t="str">
        <f>VLOOKUP(orders!D881,[1]products!$A$1:$G$49, 3,FALSE)</f>
        <v>D</v>
      </c>
      <c r="K881" s="19">
        <f>VLOOKUP(orders!D881,[1]products!$A$1:$G$49, 4,FALSE)</f>
        <v>0.2</v>
      </c>
      <c r="L881" s="19">
        <f>VLOOKUP(orders!D881,[1]products!$A$1:$G$49, 5,FALSE)</f>
        <v>3.645</v>
      </c>
      <c r="M881" s="13">
        <f>PRODUCT(orders!$E881,orders!$L881)</f>
        <v>10.935</v>
      </c>
      <c r="N881" s="18" t="str">
        <f t="shared" si="26"/>
        <v>June</v>
      </c>
      <c r="O881" s="18">
        <f t="shared" si="27"/>
        <v>2019</v>
      </c>
      <c r="P881" s="11" t="str">
        <f>TEXT(orders!$B881, "DDD")</f>
        <v>Fri</v>
      </c>
      <c r="Q881" s="11" t="str">
        <f>VLOOKUP(orders!C881,[1]customers!$A$1:$I$1001, 6,FALSE)</f>
        <v>Englewood</v>
      </c>
    </row>
    <row r="882" spans="1:17" x14ac:dyDescent="0.3">
      <c r="A882" s="7" t="s">
        <v>1716</v>
      </c>
      <c r="B882" s="8">
        <v>43790</v>
      </c>
      <c r="C882" s="9" t="s">
        <v>1717</v>
      </c>
      <c r="D882" s="10" t="s">
        <v>199</v>
      </c>
      <c r="E882" s="9">
        <v>2</v>
      </c>
      <c r="F882" s="9" t="str">
        <f>VLOOKUP(C882,[1]customers!$A$1:$I$1001, 2, FALSE)</f>
        <v>Constanta Hatfull</v>
      </c>
      <c r="G882" s="9" t="str">
        <f>VLOOKUP(orders!C882,[1]customers!$A$1:$I$1001, 3, FALSE)</f>
        <v>chatfullog@ebay.com</v>
      </c>
      <c r="H882" s="9" t="str">
        <f>VLOOKUP(C882, [1]customers!$A$1:$I$1001, 7, FALSE)</f>
        <v>United States</v>
      </c>
      <c r="I882" s="11" t="str">
        <f>VLOOKUP(orders!D882,[1]products!$A$1:$G$49, 2,FALSE)</f>
        <v>Rob</v>
      </c>
      <c r="J882" s="11" t="str">
        <f>VLOOKUP(orders!D882,[1]products!$A$1:$G$49, 3,FALSE)</f>
        <v>L</v>
      </c>
      <c r="K882" s="12">
        <f>VLOOKUP(orders!D882,[1]products!$A$1:$G$49, 4,FALSE)</f>
        <v>0.2</v>
      </c>
      <c r="L882" s="12">
        <f>VLOOKUP(orders!D882,[1]products!$A$1:$G$49, 5,FALSE)</f>
        <v>3.5849999999999995</v>
      </c>
      <c r="M882" s="13">
        <f>PRODUCT(orders!$E882,orders!$L882)</f>
        <v>7.169999999999999</v>
      </c>
      <c r="N882" s="11" t="str">
        <f t="shared" si="26"/>
        <v>November</v>
      </c>
      <c r="O882" s="11">
        <f t="shared" si="27"/>
        <v>2019</v>
      </c>
      <c r="P882" s="11" t="str">
        <f>TEXT(orders!$B882, "DDD")</f>
        <v>Thu</v>
      </c>
      <c r="Q882" s="11" t="str">
        <f>VLOOKUP(orders!C882,[1]customers!$A$1:$I$1001, 6,FALSE)</f>
        <v>Rockford</v>
      </c>
    </row>
    <row r="883" spans="1:17" x14ac:dyDescent="0.3">
      <c r="A883" s="14" t="s">
        <v>1718</v>
      </c>
      <c r="B883" s="15">
        <v>44286</v>
      </c>
      <c r="C883" s="16" t="s">
        <v>1719</v>
      </c>
      <c r="D883" s="17" t="s">
        <v>132</v>
      </c>
      <c r="E883" s="16">
        <v>6</v>
      </c>
      <c r="F883" s="9" t="str">
        <f>VLOOKUP(C883,[1]customers!$A$1:$I$1001, 2, FALSE)</f>
        <v>Bobbe Castagneto</v>
      </c>
      <c r="G883" s="16">
        <f>VLOOKUP(orders!C883,[1]customers!$A$1:$I$1001, 3, FALSE)</f>
        <v>0</v>
      </c>
      <c r="H883" s="16" t="str">
        <f>VLOOKUP(C883, [1]customers!$A$1:$I$1001, 7, FALSE)</f>
        <v>United States</v>
      </c>
      <c r="I883" s="18" t="str">
        <f>VLOOKUP(orders!D883,[1]products!$A$1:$G$49, 2,FALSE)</f>
        <v>Ara</v>
      </c>
      <c r="J883" s="18" t="str">
        <f>VLOOKUP(orders!D883,[1]products!$A$1:$G$49, 3,FALSE)</f>
        <v>L</v>
      </c>
      <c r="K883" s="19">
        <f>VLOOKUP(orders!D883,[1]products!$A$1:$G$49, 4,FALSE)</f>
        <v>0.2</v>
      </c>
      <c r="L883" s="19">
        <f>VLOOKUP(orders!D883,[1]products!$A$1:$G$49, 5,FALSE)</f>
        <v>3.8849999999999998</v>
      </c>
      <c r="M883" s="13">
        <f>PRODUCT(orders!$E883,orders!$L883)</f>
        <v>23.31</v>
      </c>
      <c r="N883" s="18" t="str">
        <f t="shared" si="26"/>
        <v>March</v>
      </c>
      <c r="O883" s="18">
        <f t="shared" si="27"/>
        <v>2021</v>
      </c>
      <c r="P883" s="11" t="str">
        <f>TEXT(orders!$B883, "DDD")</f>
        <v>Wed</v>
      </c>
      <c r="Q883" s="11" t="str">
        <f>VLOOKUP(orders!C883,[1]customers!$A$1:$I$1001, 6,FALSE)</f>
        <v>Billings</v>
      </c>
    </row>
    <row r="884" spans="1:17" x14ac:dyDescent="0.3">
      <c r="A884" s="7" t="s">
        <v>1720</v>
      </c>
      <c r="B884" s="8">
        <v>43647</v>
      </c>
      <c r="C884" s="9" t="s">
        <v>1721</v>
      </c>
      <c r="D884" s="10" t="s">
        <v>135</v>
      </c>
      <c r="E884" s="9">
        <v>5</v>
      </c>
      <c r="F884" s="9" t="str">
        <f>VLOOKUP(C884,[1]customers!$A$1:$I$1001, 2, FALSE)</f>
        <v>Kippie Marrison</v>
      </c>
      <c r="G884" s="9" t="str">
        <f>VLOOKUP(orders!C884,[1]customers!$A$1:$I$1001, 3, FALSE)</f>
        <v>kmarrisonoq@dropbox.com</v>
      </c>
      <c r="H884" s="9" t="str">
        <f>VLOOKUP(C884, [1]customers!$A$1:$I$1001, 7, FALSE)</f>
        <v>United States</v>
      </c>
      <c r="I884" s="11" t="str">
        <f>VLOOKUP(orders!D884,[1]products!$A$1:$G$49, 2,FALSE)</f>
        <v>Ara</v>
      </c>
      <c r="J884" s="11" t="str">
        <f>VLOOKUP(orders!D884,[1]products!$A$1:$G$49, 3,FALSE)</f>
        <v>D</v>
      </c>
      <c r="K884" s="12">
        <f>VLOOKUP(orders!D884,[1]products!$A$1:$G$49, 4,FALSE)</f>
        <v>2.5</v>
      </c>
      <c r="L884" s="12">
        <f>VLOOKUP(orders!D884,[1]products!$A$1:$G$49, 5,FALSE)</f>
        <v>22.884999999999998</v>
      </c>
      <c r="M884" s="13">
        <f>PRODUCT(orders!$E884,orders!$L884)</f>
        <v>114.42499999999998</v>
      </c>
      <c r="N884" s="11" t="str">
        <f t="shared" si="26"/>
        <v>July</v>
      </c>
      <c r="O884" s="11">
        <f t="shared" si="27"/>
        <v>2019</v>
      </c>
      <c r="P884" s="11" t="str">
        <f>TEXT(orders!$B884, "DDD")</f>
        <v>Mon</v>
      </c>
      <c r="Q884" s="11" t="str">
        <f>VLOOKUP(orders!C884,[1]customers!$A$1:$I$1001, 6,FALSE)</f>
        <v>Denver</v>
      </c>
    </row>
    <row r="885" spans="1:17" x14ac:dyDescent="0.3">
      <c r="A885" s="14" t="s">
        <v>1722</v>
      </c>
      <c r="B885" s="15">
        <v>43956</v>
      </c>
      <c r="C885" s="16" t="s">
        <v>1723</v>
      </c>
      <c r="D885" s="17" t="s">
        <v>188</v>
      </c>
      <c r="E885" s="16">
        <v>3</v>
      </c>
      <c r="F885" s="9" t="str">
        <f>VLOOKUP(C885,[1]customers!$A$1:$I$1001, 2, FALSE)</f>
        <v>Lindon Agnolo</v>
      </c>
      <c r="G885" s="16" t="str">
        <f>VLOOKUP(orders!C885,[1]customers!$A$1:$I$1001, 3, FALSE)</f>
        <v>lagnolooj@pinterest.com</v>
      </c>
      <c r="H885" s="16" t="str">
        <f>VLOOKUP(C885, [1]customers!$A$1:$I$1001, 7, FALSE)</f>
        <v>United States</v>
      </c>
      <c r="I885" s="18" t="str">
        <f>VLOOKUP(orders!D885,[1]products!$A$1:$G$49, 2,FALSE)</f>
        <v>Ara</v>
      </c>
      <c r="J885" s="18" t="str">
        <f>VLOOKUP(orders!D885,[1]products!$A$1:$G$49, 3,FALSE)</f>
        <v>M</v>
      </c>
      <c r="K885" s="19">
        <f>VLOOKUP(orders!D885,[1]products!$A$1:$G$49, 4,FALSE)</f>
        <v>2.5</v>
      </c>
      <c r="L885" s="19">
        <f>VLOOKUP(orders!D885,[1]products!$A$1:$G$49, 5,FALSE)</f>
        <v>25.874999999999996</v>
      </c>
      <c r="M885" s="13">
        <f>PRODUCT(orders!$E885,orders!$L885)</f>
        <v>77.624999999999986</v>
      </c>
      <c r="N885" s="18" t="str">
        <f t="shared" si="26"/>
        <v>May</v>
      </c>
      <c r="O885" s="18">
        <f t="shared" si="27"/>
        <v>2020</v>
      </c>
      <c r="P885" s="11" t="str">
        <f>TEXT(orders!$B885, "DDD")</f>
        <v>Tue</v>
      </c>
      <c r="Q885" s="11" t="str">
        <f>VLOOKUP(orders!C885,[1]customers!$A$1:$I$1001, 6,FALSE)</f>
        <v>Tulsa</v>
      </c>
    </row>
    <row r="886" spans="1:17" x14ac:dyDescent="0.3">
      <c r="A886" s="7" t="s">
        <v>1724</v>
      </c>
      <c r="B886" s="8">
        <v>43941</v>
      </c>
      <c r="C886" s="9" t="s">
        <v>1725</v>
      </c>
      <c r="D886" s="10" t="s">
        <v>163</v>
      </c>
      <c r="E886" s="9">
        <v>1</v>
      </c>
      <c r="F886" s="9" t="str">
        <f>VLOOKUP(C886,[1]customers!$A$1:$I$1001, 2, FALSE)</f>
        <v>Delainey Kiddy</v>
      </c>
      <c r="G886" s="9" t="str">
        <f>VLOOKUP(orders!C886,[1]customers!$A$1:$I$1001, 3, FALSE)</f>
        <v>dkiddyok@fda.gov</v>
      </c>
      <c r="H886" s="9" t="str">
        <f>VLOOKUP(C886, [1]customers!$A$1:$I$1001, 7, FALSE)</f>
        <v>United States</v>
      </c>
      <c r="I886" s="11" t="str">
        <f>VLOOKUP(orders!D886,[1]products!$A$1:$G$49, 2,FALSE)</f>
        <v>Rob</v>
      </c>
      <c r="J886" s="11" t="str">
        <f>VLOOKUP(orders!D886,[1]products!$A$1:$G$49, 3,FALSE)</f>
        <v>D</v>
      </c>
      <c r="K886" s="12">
        <f>VLOOKUP(orders!D886,[1]products!$A$1:$G$49, 4,FALSE)</f>
        <v>0.5</v>
      </c>
      <c r="L886" s="12">
        <f>VLOOKUP(orders!D886,[1]products!$A$1:$G$49, 5,FALSE)</f>
        <v>5.3699999999999992</v>
      </c>
      <c r="M886" s="13">
        <f>PRODUCT(orders!$E886,orders!$L886)</f>
        <v>5.3699999999999992</v>
      </c>
      <c r="N886" s="11" t="str">
        <f t="shared" si="26"/>
        <v>April</v>
      </c>
      <c r="O886" s="11">
        <f t="shared" si="27"/>
        <v>2020</v>
      </c>
      <c r="P886" s="11" t="str">
        <f>TEXT(orders!$B886, "DDD")</f>
        <v>Mon</v>
      </c>
      <c r="Q886" s="11" t="str">
        <f>VLOOKUP(orders!C886,[1]customers!$A$1:$I$1001, 6,FALSE)</f>
        <v>Fresno</v>
      </c>
    </row>
    <row r="887" spans="1:17" x14ac:dyDescent="0.3">
      <c r="A887" s="14" t="s">
        <v>1726</v>
      </c>
      <c r="B887" s="15">
        <v>43664</v>
      </c>
      <c r="C887" s="16" t="s">
        <v>1727</v>
      </c>
      <c r="D887" s="17" t="s">
        <v>52</v>
      </c>
      <c r="E887" s="16">
        <v>6</v>
      </c>
      <c r="F887" s="9" t="str">
        <f>VLOOKUP(C887,[1]customers!$A$1:$I$1001, 2, FALSE)</f>
        <v>Helli Petroulis</v>
      </c>
      <c r="G887" s="16" t="str">
        <f>VLOOKUP(orders!C887,[1]customers!$A$1:$I$1001, 3, FALSE)</f>
        <v>hpetroulisol@state.tx.us</v>
      </c>
      <c r="H887" s="16" t="str">
        <f>VLOOKUP(C887, [1]customers!$A$1:$I$1001, 7, FALSE)</f>
        <v>Ireland</v>
      </c>
      <c r="I887" s="18" t="str">
        <f>VLOOKUP(orders!D887,[1]products!$A$1:$G$49, 2,FALSE)</f>
        <v>Rob</v>
      </c>
      <c r="J887" s="18" t="str">
        <f>VLOOKUP(orders!D887,[1]products!$A$1:$G$49, 3,FALSE)</f>
        <v>D</v>
      </c>
      <c r="K887" s="19">
        <f>VLOOKUP(orders!D887,[1]products!$A$1:$G$49, 4,FALSE)</f>
        <v>2.5</v>
      </c>
      <c r="L887" s="19">
        <f>VLOOKUP(orders!D887,[1]products!$A$1:$G$49, 5,FALSE)</f>
        <v>20.584999999999997</v>
      </c>
      <c r="M887" s="13">
        <f>PRODUCT(orders!$E887,orders!$L887)</f>
        <v>123.50999999999999</v>
      </c>
      <c r="N887" s="18" t="str">
        <f t="shared" si="26"/>
        <v>July</v>
      </c>
      <c r="O887" s="18">
        <f t="shared" si="27"/>
        <v>2019</v>
      </c>
      <c r="P887" s="11" t="str">
        <f>TEXT(orders!$B887, "DDD")</f>
        <v>Thu</v>
      </c>
      <c r="Q887" s="11" t="str">
        <f>VLOOKUP(orders!C887,[1]customers!$A$1:$I$1001, 6,FALSE)</f>
        <v>Mullagh</v>
      </c>
    </row>
    <row r="888" spans="1:17" x14ac:dyDescent="0.3">
      <c r="A888" s="7" t="s">
        <v>1728</v>
      </c>
      <c r="B888" s="8">
        <v>44518</v>
      </c>
      <c r="C888" s="9" t="s">
        <v>1729</v>
      </c>
      <c r="D888" s="10" t="s">
        <v>95</v>
      </c>
      <c r="E888" s="9">
        <v>2</v>
      </c>
      <c r="F888" s="9" t="str">
        <f>VLOOKUP(C888,[1]customers!$A$1:$I$1001, 2, FALSE)</f>
        <v>Marty Scholl</v>
      </c>
      <c r="G888" s="9" t="str">
        <f>VLOOKUP(orders!C888,[1]customers!$A$1:$I$1001, 3, FALSE)</f>
        <v>mschollom@taobao.com</v>
      </c>
      <c r="H888" s="9" t="str">
        <f>VLOOKUP(C888, [1]customers!$A$1:$I$1001, 7, FALSE)</f>
        <v>United States</v>
      </c>
      <c r="I888" s="11" t="str">
        <f>VLOOKUP(orders!D888,[1]products!$A$1:$G$49, 2,FALSE)</f>
        <v>Lib</v>
      </c>
      <c r="J888" s="11" t="str">
        <f>VLOOKUP(orders!D888,[1]products!$A$1:$G$49, 3,FALSE)</f>
        <v>M</v>
      </c>
      <c r="K888" s="12">
        <f>VLOOKUP(orders!D888,[1]products!$A$1:$G$49, 4,FALSE)</f>
        <v>0.5</v>
      </c>
      <c r="L888" s="12">
        <f>VLOOKUP(orders!D888,[1]products!$A$1:$G$49, 5,FALSE)</f>
        <v>8.73</v>
      </c>
      <c r="M888" s="13">
        <f>PRODUCT(orders!$E888,orders!$L888)</f>
        <v>17.46</v>
      </c>
      <c r="N888" s="11" t="str">
        <f t="shared" si="26"/>
        <v>November</v>
      </c>
      <c r="O888" s="11">
        <f t="shared" si="27"/>
        <v>2021</v>
      </c>
      <c r="P888" s="11" t="str">
        <f>TEXT(orders!$B888, "DDD")</f>
        <v>Thu</v>
      </c>
      <c r="Q888" s="11" t="str">
        <f>VLOOKUP(orders!C888,[1]customers!$A$1:$I$1001, 6,FALSE)</f>
        <v>San Francisco</v>
      </c>
    </row>
    <row r="889" spans="1:17" x14ac:dyDescent="0.3">
      <c r="A889" s="14" t="s">
        <v>1730</v>
      </c>
      <c r="B889" s="15">
        <v>44002</v>
      </c>
      <c r="C889" s="16" t="s">
        <v>1731</v>
      </c>
      <c r="D889" s="17" t="s">
        <v>271</v>
      </c>
      <c r="E889" s="16">
        <v>3</v>
      </c>
      <c r="F889" s="9" t="str">
        <f>VLOOKUP(C889,[1]customers!$A$1:$I$1001, 2, FALSE)</f>
        <v>Kienan Ferson</v>
      </c>
      <c r="G889" s="16" t="str">
        <f>VLOOKUP(orders!C889,[1]customers!$A$1:$I$1001, 3, FALSE)</f>
        <v>kfersonon@g.co</v>
      </c>
      <c r="H889" s="16" t="str">
        <f>VLOOKUP(C889, [1]customers!$A$1:$I$1001, 7, FALSE)</f>
        <v>United States</v>
      </c>
      <c r="I889" s="18" t="str">
        <f>VLOOKUP(orders!D889,[1]products!$A$1:$G$49, 2,FALSE)</f>
        <v>Exc</v>
      </c>
      <c r="J889" s="18" t="str">
        <f>VLOOKUP(orders!D889,[1]products!$A$1:$G$49, 3,FALSE)</f>
        <v>L</v>
      </c>
      <c r="K889" s="19">
        <f>VLOOKUP(orders!D889,[1]products!$A$1:$G$49, 4,FALSE)</f>
        <v>0.2</v>
      </c>
      <c r="L889" s="19">
        <f>VLOOKUP(orders!D889,[1]products!$A$1:$G$49, 5,FALSE)</f>
        <v>4.4550000000000001</v>
      </c>
      <c r="M889" s="13">
        <f>PRODUCT(orders!$E889,orders!$L889)</f>
        <v>13.365</v>
      </c>
      <c r="N889" s="18" t="str">
        <f t="shared" si="26"/>
        <v>June</v>
      </c>
      <c r="O889" s="18">
        <f t="shared" si="27"/>
        <v>2020</v>
      </c>
      <c r="P889" s="11" t="str">
        <f>TEXT(orders!$B889, "DDD")</f>
        <v>Sat</v>
      </c>
      <c r="Q889" s="11" t="str">
        <f>VLOOKUP(orders!C889,[1]customers!$A$1:$I$1001, 6,FALSE)</f>
        <v>Mobile</v>
      </c>
    </row>
    <row r="890" spans="1:17" x14ac:dyDescent="0.3">
      <c r="A890" s="7" t="s">
        <v>1732</v>
      </c>
      <c r="B890" s="8">
        <v>44292</v>
      </c>
      <c r="C890" s="9" t="s">
        <v>1733</v>
      </c>
      <c r="D890" s="10" t="s">
        <v>132</v>
      </c>
      <c r="E890" s="9">
        <v>2</v>
      </c>
      <c r="F890" s="9" t="str">
        <f>VLOOKUP(C890,[1]customers!$A$1:$I$1001, 2, FALSE)</f>
        <v>Blake Kelloway</v>
      </c>
      <c r="G890" s="9" t="str">
        <f>VLOOKUP(orders!C890,[1]customers!$A$1:$I$1001, 3, FALSE)</f>
        <v>bkellowayoo@omniture.com</v>
      </c>
      <c r="H890" s="9" t="str">
        <f>VLOOKUP(C890, [1]customers!$A$1:$I$1001, 7, FALSE)</f>
        <v>United States</v>
      </c>
      <c r="I890" s="11" t="str">
        <f>VLOOKUP(orders!D890,[1]products!$A$1:$G$49, 2,FALSE)</f>
        <v>Ara</v>
      </c>
      <c r="J890" s="11" t="str">
        <f>VLOOKUP(orders!D890,[1]products!$A$1:$G$49, 3,FALSE)</f>
        <v>L</v>
      </c>
      <c r="K890" s="12">
        <f>VLOOKUP(orders!D890,[1]products!$A$1:$G$49, 4,FALSE)</f>
        <v>0.2</v>
      </c>
      <c r="L890" s="12">
        <f>VLOOKUP(orders!D890,[1]products!$A$1:$G$49, 5,FALSE)</f>
        <v>3.8849999999999998</v>
      </c>
      <c r="M890" s="13">
        <f>PRODUCT(orders!$E890,orders!$L890)</f>
        <v>7.77</v>
      </c>
      <c r="N890" s="11" t="str">
        <f t="shared" si="26"/>
        <v>April</v>
      </c>
      <c r="O890" s="11">
        <f t="shared" si="27"/>
        <v>2021</v>
      </c>
      <c r="P890" s="11" t="str">
        <f>TEXT(orders!$B890, "DDD")</f>
        <v>Tue</v>
      </c>
      <c r="Q890" s="11" t="str">
        <f>VLOOKUP(orders!C890,[1]customers!$A$1:$I$1001, 6,FALSE)</f>
        <v>San Francisco</v>
      </c>
    </row>
    <row r="891" spans="1:17" x14ac:dyDescent="0.3">
      <c r="A891" s="14" t="s">
        <v>1734</v>
      </c>
      <c r="B891" s="15">
        <v>43633</v>
      </c>
      <c r="C891" s="16" t="s">
        <v>1735</v>
      </c>
      <c r="D891" s="17" t="s">
        <v>118</v>
      </c>
      <c r="E891" s="16">
        <v>1</v>
      </c>
      <c r="F891" s="9" t="str">
        <f>VLOOKUP(C891,[1]customers!$A$1:$I$1001, 2, FALSE)</f>
        <v>Scarlett Oliffe</v>
      </c>
      <c r="G891" s="16" t="str">
        <f>VLOOKUP(orders!C891,[1]customers!$A$1:$I$1001, 3, FALSE)</f>
        <v>soliffeop@yellowbook.com</v>
      </c>
      <c r="H891" s="16" t="str">
        <f>VLOOKUP(C891, [1]customers!$A$1:$I$1001, 7, FALSE)</f>
        <v>United States</v>
      </c>
      <c r="I891" s="18" t="str">
        <f>VLOOKUP(orders!D891,[1]products!$A$1:$G$49, 2,FALSE)</f>
        <v>Rob</v>
      </c>
      <c r="J891" s="18" t="str">
        <f>VLOOKUP(orders!D891,[1]products!$A$1:$G$49, 3,FALSE)</f>
        <v>D</v>
      </c>
      <c r="K891" s="19">
        <f>VLOOKUP(orders!D891,[1]products!$A$1:$G$49, 4,FALSE)</f>
        <v>0.2</v>
      </c>
      <c r="L891" s="19">
        <f>VLOOKUP(orders!D891,[1]products!$A$1:$G$49, 5,FALSE)</f>
        <v>2.6849999999999996</v>
      </c>
      <c r="M891" s="13">
        <f>PRODUCT(orders!$E891,orders!$L891)</f>
        <v>2.6849999999999996</v>
      </c>
      <c r="N891" s="18" t="str">
        <f t="shared" si="26"/>
        <v>June</v>
      </c>
      <c r="O891" s="18">
        <f t="shared" si="27"/>
        <v>2019</v>
      </c>
      <c r="P891" s="11" t="str">
        <f>TEXT(orders!$B891, "DDD")</f>
        <v>Mon</v>
      </c>
      <c r="Q891" s="11" t="str">
        <f>VLOOKUP(orders!C891,[1]customers!$A$1:$I$1001, 6,FALSE)</f>
        <v>Jamaica</v>
      </c>
    </row>
    <row r="892" spans="1:17" x14ac:dyDescent="0.3">
      <c r="A892" s="7" t="s">
        <v>1736</v>
      </c>
      <c r="B892" s="8">
        <v>44646</v>
      </c>
      <c r="C892" s="9" t="s">
        <v>1721</v>
      </c>
      <c r="D892" s="10" t="s">
        <v>52</v>
      </c>
      <c r="E892" s="9">
        <v>1</v>
      </c>
      <c r="F892" s="9" t="str">
        <f>VLOOKUP(C892,[1]customers!$A$1:$I$1001, 2, FALSE)</f>
        <v>Kippie Marrison</v>
      </c>
      <c r="G892" s="9" t="str">
        <f>VLOOKUP(orders!C892,[1]customers!$A$1:$I$1001, 3, FALSE)</f>
        <v>kmarrisonoq@dropbox.com</v>
      </c>
      <c r="H892" s="9" t="str">
        <f>VLOOKUP(C892, [1]customers!$A$1:$I$1001, 7, FALSE)</f>
        <v>United States</v>
      </c>
      <c r="I892" s="11" t="str">
        <f>VLOOKUP(orders!D892,[1]products!$A$1:$G$49, 2,FALSE)</f>
        <v>Rob</v>
      </c>
      <c r="J892" s="11" t="str">
        <f>VLOOKUP(orders!D892,[1]products!$A$1:$G$49, 3,FALSE)</f>
        <v>D</v>
      </c>
      <c r="K892" s="12">
        <f>VLOOKUP(orders!D892,[1]products!$A$1:$G$49, 4,FALSE)</f>
        <v>2.5</v>
      </c>
      <c r="L892" s="12">
        <f>VLOOKUP(orders!D892,[1]products!$A$1:$G$49, 5,FALSE)</f>
        <v>20.584999999999997</v>
      </c>
      <c r="M892" s="13">
        <f>PRODUCT(orders!$E892,orders!$L892)</f>
        <v>20.584999999999997</v>
      </c>
      <c r="N892" s="11" t="str">
        <f t="shared" si="26"/>
        <v>March</v>
      </c>
      <c r="O892" s="11">
        <f t="shared" si="27"/>
        <v>2022</v>
      </c>
      <c r="P892" s="11" t="str">
        <f>TEXT(orders!$B892, "DDD")</f>
        <v>Sat</v>
      </c>
      <c r="Q892" s="11" t="str">
        <f>VLOOKUP(orders!C892,[1]customers!$A$1:$I$1001, 6,FALSE)</f>
        <v>Denver</v>
      </c>
    </row>
    <row r="893" spans="1:17" x14ac:dyDescent="0.3">
      <c r="A893" s="14" t="s">
        <v>1737</v>
      </c>
      <c r="B893" s="15">
        <v>44469</v>
      </c>
      <c r="C893" s="16" t="s">
        <v>1738</v>
      </c>
      <c r="D893" s="17" t="s">
        <v>135</v>
      </c>
      <c r="E893" s="16">
        <v>5</v>
      </c>
      <c r="F893" s="9" t="str">
        <f>VLOOKUP(C893,[1]customers!$A$1:$I$1001, 2, FALSE)</f>
        <v>Celestia Dolohunty</v>
      </c>
      <c r="G893" s="16" t="str">
        <f>VLOOKUP(orders!C893,[1]customers!$A$1:$I$1001, 3, FALSE)</f>
        <v>cdolohuntyor@dailymail.co.uk</v>
      </c>
      <c r="H893" s="16" t="str">
        <f>VLOOKUP(C893, [1]customers!$A$1:$I$1001, 7, FALSE)</f>
        <v>United States</v>
      </c>
      <c r="I893" s="18" t="str">
        <f>VLOOKUP(orders!D893,[1]products!$A$1:$G$49, 2,FALSE)</f>
        <v>Ara</v>
      </c>
      <c r="J893" s="18" t="str">
        <f>VLOOKUP(orders!D893,[1]products!$A$1:$G$49, 3,FALSE)</f>
        <v>D</v>
      </c>
      <c r="K893" s="19">
        <f>VLOOKUP(orders!D893,[1]products!$A$1:$G$49, 4,FALSE)</f>
        <v>2.5</v>
      </c>
      <c r="L893" s="19">
        <f>VLOOKUP(orders!D893,[1]products!$A$1:$G$49, 5,FALSE)</f>
        <v>22.884999999999998</v>
      </c>
      <c r="M893" s="13">
        <f>PRODUCT(orders!$E893,orders!$L893)</f>
        <v>114.42499999999998</v>
      </c>
      <c r="N893" s="18" t="str">
        <f t="shared" si="26"/>
        <v>September</v>
      </c>
      <c r="O893" s="18">
        <f t="shared" si="27"/>
        <v>2021</v>
      </c>
      <c r="P893" s="11" t="str">
        <f>TEXT(orders!$B893, "DDD")</f>
        <v>Thu</v>
      </c>
      <c r="Q893" s="11" t="str">
        <f>VLOOKUP(orders!C893,[1]customers!$A$1:$I$1001, 6,FALSE)</f>
        <v>San Diego</v>
      </c>
    </row>
    <row r="894" spans="1:17" x14ac:dyDescent="0.3">
      <c r="A894" s="7" t="s">
        <v>1739</v>
      </c>
      <c r="B894" s="8">
        <v>43635</v>
      </c>
      <c r="C894" s="9" t="s">
        <v>1740</v>
      </c>
      <c r="D894" s="10" t="s">
        <v>81</v>
      </c>
      <c r="E894" s="9">
        <v>5</v>
      </c>
      <c r="F894" s="9" t="str">
        <f>VLOOKUP(C894,[1]customers!$A$1:$I$1001, 2, FALSE)</f>
        <v>Patsy Vasilenko</v>
      </c>
      <c r="G894" s="9" t="str">
        <f>VLOOKUP(orders!C894,[1]customers!$A$1:$I$1001, 3, FALSE)</f>
        <v>pvasilenkoos@addtoany.com</v>
      </c>
      <c r="H894" s="9" t="str">
        <f>VLOOKUP(C894, [1]customers!$A$1:$I$1001, 7, FALSE)</f>
        <v>United Kingdom</v>
      </c>
      <c r="I894" s="11" t="str">
        <f>VLOOKUP(orders!D894,[1]products!$A$1:$G$49, 2,FALSE)</f>
        <v>Exc</v>
      </c>
      <c r="J894" s="11" t="str">
        <f>VLOOKUP(orders!D894,[1]products!$A$1:$G$49, 3,FALSE)</f>
        <v>M</v>
      </c>
      <c r="K894" s="12">
        <f>VLOOKUP(orders!D894,[1]products!$A$1:$G$49, 4,FALSE)</f>
        <v>0.2</v>
      </c>
      <c r="L894" s="12">
        <f>VLOOKUP(orders!D894,[1]products!$A$1:$G$49, 5,FALSE)</f>
        <v>4.125</v>
      </c>
      <c r="M894" s="13">
        <f>PRODUCT(orders!$E894,orders!$L894)</f>
        <v>20.625</v>
      </c>
      <c r="N894" s="11" t="str">
        <f t="shared" si="26"/>
        <v>June</v>
      </c>
      <c r="O894" s="11">
        <f t="shared" si="27"/>
        <v>2019</v>
      </c>
      <c r="P894" s="11" t="str">
        <f>TEXT(orders!$B894, "DDD")</f>
        <v>Wed</v>
      </c>
      <c r="Q894" s="11" t="str">
        <f>VLOOKUP(orders!C894,[1]customers!$A$1:$I$1001, 6,FALSE)</f>
        <v>Preston</v>
      </c>
    </row>
    <row r="895" spans="1:17" x14ac:dyDescent="0.3">
      <c r="A895" s="14" t="s">
        <v>1741</v>
      </c>
      <c r="B895" s="15">
        <v>44651</v>
      </c>
      <c r="C895" s="16" t="s">
        <v>1742</v>
      </c>
      <c r="D895" s="17" t="s">
        <v>100</v>
      </c>
      <c r="E895" s="16">
        <v>6</v>
      </c>
      <c r="F895" s="9" t="str">
        <f>VLOOKUP(C895,[1]customers!$A$1:$I$1001, 2, FALSE)</f>
        <v>Raphaela Schankelborg</v>
      </c>
      <c r="G895" s="16" t="str">
        <f>VLOOKUP(orders!C895,[1]customers!$A$1:$I$1001, 3, FALSE)</f>
        <v>rschankelborgot@ameblo.jp</v>
      </c>
      <c r="H895" s="16" t="str">
        <f>VLOOKUP(C895, [1]customers!$A$1:$I$1001, 7, FALSE)</f>
        <v>United States</v>
      </c>
      <c r="I895" s="18" t="str">
        <f>VLOOKUP(orders!D895,[1]products!$A$1:$G$49, 2,FALSE)</f>
        <v>Lib</v>
      </c>
      <c r="J895" s="18" t="str">
        <f>VLOOKUP(orders!D895,[1]products!$A$1:$G$49, 3,FALSE)</f>
        <v>L</v>
      </c>
      <c r="K895" s="19">
        <f>VLOOKUP(orders!D895,[1]products!$A$1:$G$49, 4,FALSE)</f>
        <v>0.5</v>
      </c>
      <c r="L895" s="19">
        <f>VLOOKUP(orders!D895,[1]products!$A$1:$G$49, 5,FALSE)</f>
        <v>9.51</v>
      </c>
      <c r="M895" s="13">
        <f>PRODUCT(orders!$E895,orders!$L895)</f>
        <v>57.06</v>
      </c>
      <c r="N895" s="18" t="str">
        <f t="shared" si="26"/>
        <v>March</v>
      </c>
      <c r="O895" s="18">
        <f t="shared" si="27"/>
        <v>2022</v>
      </c>
      <c r="P895" s="11" t="str">
        <f>TEXT(orders!$B895, "DDD")</f>
        <v>Thu</v>
      </c>
      <c r="Q895" s="11" t="str">
        <f>VLOOKUP(orders!C895,[1]customers!$A$1:$I$1001, 6,FALSE)</f>
        <v>Pittsburgh</v>
      </c>
    </row>
    <row r="896" spans="1:17" x14ac:dyDescent="0.3">
      <c r="A896" s="7" t="s">
        <v>1743</v>
      </c>
      <c r="B896" s="8">
        <v>44016</v>
      </c>
      <c r="C896" s="9" t="s">
        <v>1744</v>
      </c>
      <c r="D896" s="10" t="s">
        <v>52</v>
      </c>
      <c r="E896" s="9">
        <v>4</v>
      </c>
      <c r="F896" s="9" t="str">
        <f>VLOOKUP(C896,[1]customers!$A$1:$I$1001, 2, FALSE)</f>
        <v>Sharity Wickens</v>
      </c>
      <c r="G896" s="9">
        <f>VLOOKUP(orders!C896,[1]customers!$A$1:$I$1001, 3, FALSE)</f>
        <v>0</v>
      </c>
      <c r="H896" s="9" t="str">
        <f>VLOOKUP(C896, [1]customers!$A$1:$I$1001, 7, FALSE)</f>
        <v>Ireland</v>
      </c>
      <c r="I896" s="11" t="str">
        <f>VLOOKUP(orders!D896,[1]products!$A$1:$G$49, 2,FALSE)</f>
        <v>Rob</v>
      </c>
      <c r="J896" s="11" t="str">
        <f>VLOOKUP(orders!D896,[1]products!$A$1:$G$49, 3,FALSE)</f>
        <v>D</v>
      </c>
      <c r="K896" s="12">
        <f>VLOOKUP(orders!D896,[1]products!$A$1:$G$49, 4,FALSE)</f>
        <v>2.5</v>
      </c>
      <c r="L896" s="12">
        <f>VLOOKUP(orders!D896,[1]products!$A$1:$G$49, 5,FALSE)</f>
        <v>20.584999999999997</v>
      </c>
      <c r="M896" s="13">
        <f>PRODUCT(orders!$E896,orders!$L896)</f>
        <v>82.339999999999989</v>
      </c>
      <c r="N896" s="11" t="str">
        <f t="shared" si="26"/>
        <v>July</v>
      </c>
      <c r="O896" s="11">
        <f t="shared" si="27"/>
        <v>2020</v>
      </c>
      <c r="P896" s="11" t="str">
        <f>TEXT(orders!$B896, "DDD")</f>
        <v>Sat</v>
      </c>
      <c r="Q896" s="11" t="str">
        <f>VLOOKUP(orders!C896,[1]customers!$A$1:$I$1001, 6,FALSE)</f>
        <v>Cavan</v>
      </c>
    </row>
    <row r="897" spans="1:17" x14ac:dyDescent="0.3">
      <c r="A897" s="14" t="s">
        <v>1745</v>
      </c>
      <c r="B897" s="15">
        <v>44521</v>
      </c>
      <c r="C897" s="16" t="s">
        <v>1746</v>
      </c>
      <c r="D897" s="17" t="s">
        <v>129</v>
      </c>
      <c r="E897" s="16">
        <v>5</v>
      </c>
      <c r="F897" s="9" t="str">
        <f>VLOOKUP(C897,[1]customers!$A$1:$I$1001, 2, FALSE)</f>
        <v>Derick Snow</v>
      </c>
      <c r="G897" s="16">
        <f>VLOOKUP(orders!C897,[1]customers!$A$1:$I$1001, 3, FALSE)</f>
        <v>0</v>
      </c>
      <c r="H897" s="16" t="str">
        <f>VLOOKUP(C897, [1]customers!$A$1:$I$1001, 7, FALSE)</f>
        <v>United States</v>
      </c>
      <c r="I897" s="18" t="str">
        <f>VLOOKUP(orders!D897,[1]products!$A$1:$G$49, 2,FALSE)</f>
        <v>Exc</v>
      </c>
      <c r="J897" s="18" t="str">
        <f>VLOOKUP(orders!D897,[1]products!$A$1:$G$49, 3,FALSE)</f>
        <v>M</v>
      </c>
      <c r="K897" s="19">
        <f>VLOOKUP(orders!D897,[1]products!$A$1:$G$49, 4,FALSE)</f>
        <v>2.5</v>
      </c>
      <c r="L897" s="19">
        <f>VLOOKUP(orders!D897,[1]products!$A$1:$G$49, 5,FALSE)</f>
        <v>31.624999999999996</v>
      </c>
      <c r="M897" s="13">
        <f>PRODUCT(orders!$E897,orders!$L897)</f>
        <v>158.12499999999997</v>
      </c>
      <c r="N897" s="18" t="str">
        <f t="shared" si="26"/>
        <v>November</v>
      </c>
      <c r="O897" s="18">
        <f t="shared" si="27"/>
        <v>2021</v>
      </c>
      <c r="P897" s="11" t="str">
        <f>TEXT(orders!$B897, "DDD")</f>
        <v>Sun</v>
      </c>
      <c r="Q897" s="11" t="str">
        <f>VLOOKUP(orders!C897,[1]customers!$A$1:$I$1001, 6,FALSE)</f>
        <v>New York City</v>
      </c>
    </row>
    <row r="898" spans="1:17" x14ac:dyDescent="0.3">
      <c r="A898" s="7" t="s">
        <v>1747</v>
      </c>
      <c r="B898" s="8">
        <v>44347</v>
      </c>
      <c r="C898" s="9" t="s">
        <v>1748</v>
      </c>
      <c r="D898" s="10" t="s">
        <v>163</v>
      </c>
      <c r="E898" s="9">
        <v>6</v>
      </c>
      <c r="F898" s="9" t="str">
        <f>VLOOKUP(C898,[1]customers!$A$1:$I$1001, 2, FALSE)</f>
        <v>Baxy Cargen</v>
      </c>
      <c r="G898" s="9" t="str">
        <f>VLOOKUP(orders!C898,[1]customers!$A$1:$I$1001, 3, FALSE)</f>
        <v>bcargenow@geocities.jp</v>
      </c>
      <c r="H898" s="9" t="str">
        <f>VLOOKUP(C898, [1]customers!$A$1:$I$1001, 7, FALSE)</f>
        <v>United States</v>
      </c>
      <c r="I898" s="11" t="str">
        <f>VLOOKUP(orders!D898,[1]products!$A$1:$G$49, 2,FALSE)</f>
        <v>Rob</v>
      </c>
      <c r="J898" s="11" t="str">
        <f>VLOOKUP(orders!D898,[1]products!$A$1:$G$49, 3,FALSE)</f>
        <v>D</v>
      </c>
      <c r="K898" s="12">
        <f>VLOOKUP(orders!D898,[1]products!$A$1:$G$49, 4,FALSE)</f>
        <v>0.5</v>
      </c>
      <c r="L898" s="12">
        <f>VLOOKUP(orders!D898,[1]products!$A$1:$G$49, 5,FALSE)</f>
        <v>5.3699999999999992</v>
      </c>
      <c r="M898" s="13">
        <f>PRODUCT(orders!$E898,orders!$L898)</f>
        <v>32.22</v>
      </c>
      <c r="N898" s="11" t="str">
        <f t="shared" ref="N898:N961" si="28">TEXT(B898, "mmmm")</f>
        <v>May</v>
      </c>
      <c r="O898" s="11">
        <f t="shared" ref="O898:O961" si="29">YEAR(B898)</f>
        <v>2021</v>
      </c>
      <c r="P898" s="11" t="str">
        <f>TEXT(orders!$B898, "DDD")</f>
        <v>Mon</v>
      </c>
      <c r="Q898" s="11" t="str">
        <f>VLOOKUP(orders!C898,[1]customers!$A$1:$I$1001, 6,FALSE)</f>
        <v>Seattle</v>
      </c>
    </row>
    <row r="899" spans="1:17" x14ac:dyDescent="0.3">
      <c r="A899" s="14" t="s">
        <v>1749</v>
      </c>
      <c r="B899" s="15">
        <v>43932</v>
      </c>
      <c r="C899" s="16" t="s">
        <v>1750</v>
      </c>
      <c r="D899" s="17" t="s">
        <v>262</v>
      </c>
      <c r="E899" s="16">
        <v>2</v>
      </c>
      <c r="F899" s="9" t="str">
        <f>VLOOKUP(C899,[1]customers!$A$1:$I$1001, 2, FALSE)</f>
        <v>Ryann Stickler</v>
      </c>
      <c r="G899" s="16" t="str">
        <f>VLOOKUP(orders!C899,[1]customers!$A$1:$I$1001, 3, FALSE)</f>
        <v>rsticklerox@printfriendly.com</v>
      </c>
      <c r="H899" s="16" t="str">
        <f>VLOOKUP(C899, [1]customers!$A$1:$I$1001, 7, FALSE)</f>
        <v>United Kingdom</v>
      </c>
      <c r="I899" s="18" t="str">
        <f>VLOOKUP(orders!D899,[1]products!$A$1:$G$49, 2,FALSE)</f>
        <v>Exc</v>
      </c>
      <c r="J899" s="18" t="str">
        <f>VLOOKUP(orders!D899,[1]products!$A$1:$G$49, 3,FALSE)</f>
        <v>D</v>
      </c>
      <c r="K899" s="19">
        <f>VLOOKUP(orders!D899,[1]products!$A$1:$G$49, 4,FALSE)</f>
        <v>1</v>
      </c>
      <c r="L899" s="19">
        <f>VLOOKUP(orders!D899,[1]products!$A$1:$G$49, 5,FALSE)</f>
        <v>12.15</v>
      </c>
      <c r="M899" s="13">
        <f>PRODUCT(orders!$E899,orders!$L899)</f>
        <v>24.3</v>
      </c>
      <c r="N899" s="18" t="str">
        <f t="shared" si="28"/>
        <v>April</v>
      </c>
      <c r="O899" s="18">
        <f t="shared" si="29"/>
        <v>2020</v>
      </c>
      <c r="P899" s="11" t="str">
        <f>TEXT(orders!$B899, "DDD")</f>
        <v>Sat</v>
      </c>
      <c r="Q899" s="11" t="str">
        <f>VLOOKUP(orders!C899,[1]customers!$A$1:$I$1001, 6,FALSE)</f>
        <v>Birmingham</v>
      </c>
    </row>
    <row r="900" spans="1:17" x14ac:dyDescent="0.3">
      <c r="A900" s="7" t="s">
        <v>1751</v>
      </c>
      <c r="B900" s="8">
        <v>44089</v>
      </c>
      <c r="C900" s="9" t="s">
        <v>1752</v>
      </c>
      <c r="D900" s="10" t="s">
        <v>174</v>
      </c>
      <c r="E900" s="9">
        <v>5</v>
      </c>
      <c r="F900" s="9" t="str">
        <f>VLOOKUP(C900,[1]customers!$A$1:$I$1001, 2, FALSE)</f>
        <v>Daryn Cassius</v>
      </c>
      <c r="G900" s="9">
        <f>VLOOKUP(orders!C900,[1]customers!$A$1:$I$1001, 3, FALSE)</f>
        <v>0</v>
      </c>
      <c r="H900" s="9" t="str">
        <f>VLOOKUP(C900, [1]customers!$A$1:$I$1001, 7, FALSE)</f>
        <v>United States</v>
      </c>
      <c r="I900" s="11" t="str">
        <f>VLOOKUP(orders!D900,[1]products!$A$1:$G$49, 2,FALSE)</f>
        <v>Rob</v>
      </c>
      <c r="J900" s="11" t="str">
        <f>VLOOKUP(orders!D900,[1]products!$A$1:$G$49, 3,FALSE)</f>
        <v>L</v>
      </c>
      <c r="K900" s="12">
        <f>VLOOKUP(orders!D900,[1]products!$A$1:$G$49, 4,FALSE)</f>
        <v>0.5</v>
      </c>
      <c r="L900" s="12">
        <f>VLOOKUP(orders!D900,[1]products!$A$1:$G$49, 5,FALSE)</f>
        <v>7.169999999999999</v>
      </c>
      <c r="M900" s="13">
        <f>PRODUCT(orders!$E900,orders!$L900)</f>
        <v>35.849999999999994</v>
      </c>
      <c r="N900" s="11" t="str">
        <f t="shared" si="28"/>
        <v>September</v>
      </c>
      <c r="O900" s="11">
        <f t="shared" si="29"/>
        <v>2020</v>
      </c>
      <c r="P900" s="11" t="str">
        <f>TEXT(orders!$B900, "DDD")</f>
        <v>Tue</v>
      </c>
      <c r="Q900" s="11" t="str">
        <f>VLOOKUP(orders!C900,[1]customers!$A$1:$I$1001, 6,FALSE)</f>
        <v>Battle Creek</v>
      </c>
    </row>
    <row r="901" spans="1:17" x14ac:dyDescent="0.3">
      <c r="A901" s="14" t="s">
        <v>1753</v>
      </c>
      <c r="B901" s="15">
        <v>44523</v>
      </c>
      <c r="C901" s="16" t="s">
        <v>1746</v>
      </c>
      <c r="D901" s="17" t="s">
        <v>113</v>
      </c>
      <c r="E901" s="16">
        <v>5</v>
      </c>
      <c r="F901" s="9" t="str">
        <f>VLOOKUP(C901,[1]customers!$A$1:$I$1001, 2, FALSE)</f>
        <v>Derick Snow</v>
      </c>
      <c r="G901" s="16">
        <f>VLOOKUP(orders!C901,[1]customers!$A$1:$I$1001, 3, FALSE)</f>
        <v>0</v>
      </c>
      <c r="H901" s="16" t="str">
        <f>VLOOKUP(C901, [1]customers!$A$1:$I$1001, 7, FALSE)</f>
        <v>United States</v>
      </c>
      <c r="I901" s="18" t="str">
        <f>VLOOKUP(orders!D901,[1]products!$A$1:$G$49, 2,FALSE)</f>
        <v>Lib</v>
      </c>
      <c r="J901" s="18" t="str">
        <f>VLOOKUP(orders!D901,[1]products!$A$1:$G$49, 3,FALSE)</f>
        <v>M</v>
      </c>
      <c r="K901" s="19">
        <f>VLOOKUP(orders!D901,[1]products!$A$1:$G$49, 4,FALSE)</f>
        <v>1</v>
      </c>
      <c r="L901" s="19">
        <f>VLOOKUP(orders!D901,[1]products!$A$1:$G$49, 5,FALSE)</f>
        <v>14.55</v>
      </c>
      <c r="M901" s="13">
        <f>PRODUCT(orders!$E901,orders!$L901)</f>
        <v>72.75</v>
      </c>
      <c r="N901" s="18" t="str">
        <f t="shared" si="28"/>
        <v>November</v>
      </c>
      <c r="O901" s="18">
        <f t="shared" si="29"/>
        <v>2021</v>
      </c>
      <c r="P901" s="11" t="str">
        <f>TEXT(orders!$B901, "DDD")</f>
        <v>Tue</v>
      </c>
      <c r="Q901" s="11" t="str">
        <f>VLOOKUP(orders!C901,[1]customers!$A$1:$I$1001, 6,FALSE)</f>
        <v>New York City</v>
      </c>
    </row>
    <row r="902" spans="1:17" x14ac:dyDescent="0.3">
      <c r="A902" s="7" t="s">
        <v>1754</v>
      </c>
      <c r="B902" s="8">
        <v>44584</v>
      </c>
      <c r="C902" s="9" t="s">
        <v>1755</v>
      </c>
      <c r="D902" s="10" t="s">
        <v>149</v>
      </c>
      <c r="E902" s="9">
        <v>3</v>
      </c>
      <c r="F902" s="9" t="str">
        <f>VLOOKUP(C902,[1]customers!$A$1:$I$1001, 2, FALSE)</f>
        <v>Skelly Dolohunty</v>
      </c>
      <c r="G902" s="9">
        <f>VLOOKUP(orders!C902,[1]customers!$A$1:$I$1001, 3, FALSE)</f>
        <v>0</v>
      </c>
      <c r="H902" s="9" t="str">
        <f>VLOOKUP(C902, [1]customers!$A$1:$I$1001, 7, FALSE)</f>
        <v>Ireland</v>
      </c>
      <c r="I902" s="11" t="str">
        <f>VLOOKUP(orders!D902,[1]products!$A$1:$G$49, 2,FALSE)</f>
        <v>Lib</v>
      </c>
      <c r="J902" s="11" t="str">
        <f>VLOOKUP(orders!D902,[1]products!$A$1:$G$49, 3,FALSE)</f>
        <v>L</v>
      </c>
      <c r="K902" s="12">
        <f>VLOOKUP(orders!D902,[1]products!$A$1:$G$49, 4,FALSE)</f>
        <v>1</v>
      </c>
      <c r="L902" s="12">
        <f>VLOOKUP(orders!D902,[1]products!$A$1:$G$49, 5,FALSE)</f>
        <v>15.85</v>
      </c>
      <c r="M902" s="13">
        <f>PRODUCT(orders!$E902,orders!$L902)</f>
        <v>47.55</v>
      </c>
      <c r="N902" s="11" t="str">
        <f t="shared" si="28"/>
        <v>January</v>
      </c>
      <c r="O902" s="11">
        <f t="shared" si="29"/>
        <v>2022</v>
      </c>
      <c r="P902" s="11" t="str">
        <f>TEXT(orders!$B902, "DDD")</f>
        <v>Sun</v>
      </c>
      <c r="Q902" s="11" t="str">
        <f>VLOOKUP(orders!C902,[1]customers!$A$1:$I$1001, 6,FALSE)</f>
        <v>Ballymun</v>
      </c>
    </row>
    <row r="903" spans="1:17" x14ac:dyDescent="0.3">
      <c r="A903" s="14" t="s">
        <v>1756</v>
      </c>
      <c r="B903" s="15">
        <v>44223</v>
      </c>
      <c r="C903" s="16" t="s">
        <v>1757</v>
      </c>
      <c r="D903" s="17" t="s">
        <v>199</v>
      </c>
      <c r="E903" s="16">
        <v>1</v>
      </c>
      <c r="F903" s="9" t="str">
        <f>VLOOKUP(C903,[1]customers!$A$1:$I$1001, 2, FALSE)</f>
        <v>Drake Jevon</v>
      </c>
      <c r="G903" s="16" t="str">
        <f>VLOOKUP(orders!C903,[1]customers!$A$1:$I$1001, 3, FALSE)</f>
        <v>djevonp1@ibm.com</v>
      </c>
      <c r="H903" s="16" t="str">
        <f>VLOOKUP(C903, [1]customers!$A$1:$I$1001, 7, FALSE)</f>
        <v>United States</v>
      </c>
      <c r="I903" s="18" t="str">
        <f>VLOOKUP(orders!D903,[1]products!$A$1:$G$49, 2,FALSE)</f>
        <v>Rob</v>
      </c>
      <c r="J903" s="18" t="str">
        <f>VLOOKUP(orders!D903,[1]products!$A$1:$G$49, 3,FALSE)</f>
        <v>L</v>
      </c>
      <c r="K903" s="19">
        <f>VLOOKUP(orders!D903,[1]products!$A$1:$G$49, 4,FALSE)</f>
        <v>0.2</v>
      </c>
      <c r="L903" s="19">
        <f>VLOOKUP(orders!D903,[1]products!$A$1:$G$49, 5,FALSE)</f>
        <v>3.5849999999999995</v>
      </c>
      <c r="M903" s="13">
        <f>PRODUCT(orders!$E903,orders!$L903)</f>
        <v>3.5849999999999995</v>
      </c>
      <c r="N903" s="18" t="str">
        <f t="shared" si="28"/>
        <v>January</v>
      </c>
      <c r="O903" s="18">
        <f t="shared" si="29"/>
        <v>2021</v>
      </c>
      <c r="P903" s="11" t="str">
        <f>TEXT(orders!$B903, "DDD")</f>
        <v>Wed</v>
      </c>
      <c r="Q903" s="11" t="str">
        <f>VLOOKUP(orders!C903,[1]customers!$A$1:$I$1001, 6,FALSE)</f>
        <v>Houston</v>
      </c>
    </row>
    <row r="904" spans="1:17" x14ac:dyDescent="0.3">
      <c r="A904" s="7" t="s">
        <v>1758</v>
      </c>
      <c r="B904" s="8">
        <v>43640</v>
      </c>
      <c r="C904" s="9" t="s">
        <v>1759</v>
      </c>
      <c r="D904" s="10" t="s">
        <v>129</v>
      </c>
      <c r="E904" s="9">
        <v>5</v>
      </c>
      <c r="F904" s="9" t="str">
        <f>VLOOKUP(C904,[1]customers!$A$1:$I$1001, 2, FALSE)</f>
        <v>Hall Ranner</v>
      </c>
      <c r="G904" s="9" t="str">
        <f>VLOOKUP(orders!C904,[1]customers!$A$1:$I$1001, 3, FALSE)</f>
        <v>hrannerp2@omniture.com</v>
      </c>
      <c r="H904" s="9" t="str">
        <f>VLOOKUP(C904, [1]customers!$A$1:$I$1001, 7, FALSE)</f>
        <v>United States</v>
      </c>
      <c r="I904" s="11" t="str">
        <f>VLOOKUP(orders!D904,[1]products!$A$1:$G$49, 2,FALSE)</f>
        <v>Exc</v>
      </c>
      <c r="J904" s="11" t="str">
        <f>VLOOKUP(orders!D904,[1]products!$A$1:$G$49, 3,FALSE)</f>
        <v>M</v>
      </c>
      <c r="K904" s="12">
        <f>VLOOKUP(orders!D904,[1]products!$A$1:$G$49, 4,FALSE)</f>
        <v>2.5</v>
      </c>
      <c r="L904" s="12">
        <f>VLOOKUP(orders!D904,[1]products!$A$1:$G$49, 5,FALSE)</f>
        <v>31.624999999999996</v>
      </c>
      <c r="M904" s="13">
        <f>PRODUCT(orders!$E904,orders!$L904)</f>
        <v>158.12499999999997</v>
      </c>
      <c r="N904" s="11" t="str">
        <f t="shared" si="28"/>
        <v>June</v>
      </c>
      <c r="O904" s="11">
        <f t="shared" si="29"/>
        <v>2019</v>
      </c>
      <c r="P904" s="11" t="str">
        <f>TEXT(orders!$B904, "DDD")</f>
        <v>Mon</v>
      </c>
      <c r="Q904" s="11" t="str">
        <f>VLOOKUP(orders!C904,[1]customers!$A$1:$I$1001, 6,FALSE)</f>
        <v>Cincinnati</v>
      </c>
    </row>
    <row r="905" spans="1:17" x14ac:dyDescent="0.3">
      <c r="A905" s="14" t="s">
        <v>1760</v>
      </c>
      <c r="B905" s="15">
        <v>43905</v>
      </c>
      <c r="C905" s="16" t="s">
        <v>1761</v>
      </c>
      <c r="D905" s="17" t="s">
        <v>95</v>
      </c>
      <c r="E905" s="16">
        <v>2</v>
      </c>
      <c r="F905" s="9" t="str">
        <f>VLOOKUP(C905,[1]customers!$A$1:$I$1001, 2, FALSE)</f>
        <v>Berkly Imrie</v>
      </c>
      <c r="G905" s="16" t="str">
        <f>VLOOKUP(orders!C905,[1]customers!$A$1:$I$1001, 3, FALSE)</f>
        <v>bimriep3@addtoany.com</v>
      </c>
      <c r="H905" s="16" t="str">
        <f>VLOOKUP(C905, [1]customers!$A$1:$I$1001, 7, FALSE)</f>
        <v>United States</v>
      </c>
      <c r="I905" s="18" t="str">
        <f>VLOOKUP(orders!D905,[1]products!$A$1:$G$49, 2,FALSE)</f>
        <v>Lib</v>
      </c>
      <c r="J905" s="18" t="str">
        <f>VLOOKUP(orders!D905,[1]products!$A$1:$G$49, 3,FALSE)</f>
        <v>M</v>
      </c>
      <c r="K905" s="19">
        <f>VLOOKUP(orders!D905,[1]products!$A$1:$G$49, 4,FALSE)</f>
        <v>0.5</v>
      </c>
      <c r="L905" s="19">
        <f>VLOOKUP(orders!D905,[1]products!$A$1:$G$49, 5,FALSE)</f>
        <v>8.73</v>
      </c>
      <c r="M905" s="13">
        <f>PRODUCT(orders!$E905,orders!$L905)</f>
        <v>17.46</v>
      </c>
      <c r="N905" s="18" t="str">
        <f t="shared" si="28"/>
        <v>March</v>
      </c>
      <c r="O905" s="18">
        <f t="shared" si="29"/>
        <v>2020</v>
      </c>
      <c r="P905" s="11" t="str">
        <f>TEXT(orders!$B905, "DDD")</f>
        <v>Sun</v>
      </c>
      <c r="Q905" s="11" t="str">
        <f>VLOOKUP(orders!C905,[1]customers!$A$1:$I$1001, 6,FALSE)</f>
        <v>Fresno</v>
      </c>
    </row>
    <row r="906" spans="1:17" x14ac:dyDescent="0.3">
      <c r="A906" s="7" t="s">
        <v>1762</v>
      </c>
      <c r="B906" s="8">
        <v>44463</v>
      </c>
      <c r="C906" s="9" t="s">
        <v>1763</v>
      </c>
      <c r="D906" s="10" t="s">
        <v>221</v>
      </c>
      <c r="E906" s="9">
        <v>5</v>
      </c>
      <c r="F906" s="9" t="str">
        <f>VLOOKUP(C906,[1]customers!$A$1:$I$1001, 2, FALSE)</f>
        <v>Dorey Sopper</v>
      </c>
      <c r="G906" s="9" t="str">
        <f>VLOOKUP(orders!C906,[1]customers!$A$1:$I$1001, 3, FALSE)</f>
        <v>dsopperp4@eventbrite.com</v>
      </c>
      <c r="H906" s="9" t="str">
        <f>VLOOKUP(C906, [1]customers!$A$1:$I$1001, 7, FALSE)</f>
        <v>United States</v>
      </c>
      <c r="I906" s="11" t="str">
        <f>VLOOKUP(orders!D906,[1]products!$A$1:$G$49, 2,FALSE)</f>
        <v>Ara</v>
      </c>
      <c r="J906" s="11" t="str">
        <f>VLOOKUP(orders!D906,[1]products!$A$1:$G$49, 3,FALSE)</f>
        <v>L</v>
      </c>
      <c r="K906" s="12">
        <f>VLOOKUP(orders!D906,[1]products!$A$1:$G$49, 4,FALSE)</f>
        <v>2.5</v>
      </c>
      <c r="L906" s="12">
        <f>VLOOKUP(orders!D906,[1]products!$A$1:$G$49, 5,FALSE)</f>
        <v>29.784999999999997</v>
      </c>
      <c r="M906" s="13">
        <f>PRODUCT(orders!$E906,orders!$L906)</f>
        <v>148.92499999999998</v>
      </c>
      <c r="N906" s="11" t="str">
        <f t="shared" si="28"/>
        <v>September</v>
      </c>
      <c r="O906" s="11">
        <f t="shared" si="29"/>
        <v>2021</v>
      </c>
      <c r="P906" s="11" t="str">
        <f>TEXT(orders!$B906, "DDD")</f>
        <v>Fri</v>
      </c>
      <c r="Q906" s="11" t="str">
        <f>VLOOKUP(orders!C906,[1]customers!$A$1:$I$1001, 6,FALSE)</f>
        <v>Saint Paul</v>
      </c>
    </row>
    <row r="907" spans="1:17" x14ac:dyDescent="0.3">
      <c r="A907" s="14" t="s">
        <v>1764</v>
      </c>
      <c r="B907" s="15">
        <v>43560</v>
      </c>
      <c r="C907" s="16" t="s">
        <v>1765</v>
      </c>
      <c r="D907" s="17" t="s">
        <v>84</v>
      </c>
      <c r="E907" s="16">
        <v>6</v>
      </c>
      <c r="F907" s="9" t="str">
        <f>VLOOKUP(C907,[1]customers!$A$1:$I$1001, 2, FALSE)</f>
        <v>Darcy Lochran</v>
      </c>
      <c r="G907" s="16">
        <f>VLOOKUP(orders!C907,[1]customers!$A$1:$I$1001, 3, FALSE)</f>
        <v>0</v>
      </c>
      <c r="H907" s="16" t="str">
        <f>VLOOKUP(C907, [1]customers!$A$1:$I$1001, 7, FALSE)</f>
        <v>United States</v>
      </c>
      <c r="I907" s="18" t="str">
        <f>VLOOKUP(orders!D907,[1]products!$A$1:$G$49, 2,FALSE)</f>
        <v>Ara</v>
      </c>
      <c r="J907" s="18" t="str">
        <f>VLOOKUP(orders!D907,[1]products!$A$1:$G$49, 3,FALSE)</f>
        <v>M</v>
      </c>
      <c r="K907" s="19">
        <f>VLOOKUP(orders!D907,[1]products!$A$1:$G$49, 4,FALSE)</f>
        <v>0.5</v>
      </c>
      <c r="L907" s="19">
        <f>VLOOKUP(orders!D907,[1]products!$A$1:$G$49, 5,FALSE)</f>
        <v>6.75</v>
      </c>
      <c r="M907" s="13">
        <f>PRODUCT(orders!$E907,orders!$L907)</f>
        <v>40.5</v>
      </c>
      <c r="N907" s="18" t="str">
        <f t="shared" si="28"/>
        <v>April</v>
      </c>
      <c r="O907" s="18">
        <f t="shared" si="29"/>
        <v>2019</v>
      </c>
      <c r="P907" s="11" t="str">
        <f>TEXT(orders!$B907, "DDD")</f>
        <v>Fri</v>
      </c>
      <c r="Q907" s="11" t="str">
        <f>VLOOKUP(orders!C907,[1]customers!$A$1:$I$1001, 6,FALSE)</f>
        <v>El Paso</v>
      </c>
    </row>
    <row r="908" spans="1:17" x14ac:dyDescent="0.3">
      <c r="A908" s="7" t="s">
        <v>1766</v>
      </c>
      <c r="B908" s="8">
        <v>44588</v>
      </c>
      <c r="C908" s="9" t="s">
        <v>1767</v>
      </c>
      <c r="D908" s="10" t="s">
        <v>84</v>
      </c>
      <c r="E908" s="9">
        <v>4</v>
      </c>
      <c r="F908" s="9" t="str">
        <f>VLOOKUP(C908,[1]customers!$A$1:$I$1001, 2, FALSE)</f>
        <v>Lauritz Ledgley</v>
      </c>
      <c r="G908" s="9" t="str">
        <f>VLOOKUP(orders!C908,[1]customers!$A$1:$I$1001, 3, FALSE)</f>
        <v>lledgleyp6@de.vu</v>
      </c>
      <c r="H908" s="9" t="str">
        <f>VLOOKUP(C908, [1]customers!$A$1:$I$1001, 7, FALSE)</f>
        <v>United States</v>
      </c>
      <c r="I908" s="11" t="str">
        <f>VLOOKUP(orders!D908,[1]products!$A$1:$G$49, 2,FALSE)</f>
        <v>Ara</v>
      </c>
      <c r="J908" s="11" t="str">
        <f>VLOOKUP(orders!D908,[1]products!$A$1:$G$49, 3,FALSE)</f>
        <v>M</v>
      </c>
      <c r="K908" s="12">
        <f>VLOOKUP(orders!D908,[1]products!$A$1:$G$49, 4,FALSE)</f>
        <v>0.5</v>
      </c>
      <c r="L908" s="12">
        <f>VLOOKUP(orders!D908,[1]products!$A$1:$G$49, 5,FALSE)</f>
        <v>6.75</v>
      </c>
      <c r="M908" s="13">
        <f>PRODUCT(orders!$E908,orders!$L908)</f>
        <v>27</v>
      </c>
      <c r="N908" s="11" t="str">
        <f t="shared" si="28"/>
        <v>January</v>
      </c>
      <c r="O908" s="11">
        <f t="shared" si="29"/>
        <v>2022</v>
      </c>
      <c r="P908" s="11" t="str">
        <f>TEXT(orders!$B908, "DDD")</f>
        <v>Thu</v>
      </c>
      <c r="Q908" s="11" t="str">
        <f>VLOOKUP(orders!C908,[1]customers!$A$1:$I$1001, 6,FALSE)</f>
        <v>Des Moines</v>
      </c>
    </row>
    <row r="909" spans="1:17" x14ac:dyDescent="0.3">
      <c r="A909" s="14" t="s">
        <v>1768</v>
      </c>
      <c r="B909" s="15">
        <v>44449</v>
      </c>
      <c r="C909" s="16" t="s">
        <v>1769</v>
      </c>
      <c r="D909" s="17" t="s">
        <v>30</v>
      </c>
      <c r="E909" s="16">
        <v>3</v>
      </c>
      <c r="F909" s="9" t="str">
        <f>VLOOKUP(C909,[1]customers!$A$1:$I$1001, 2, FALSE)</f>
        <v>Tawnya Menary</v>
      </c>
      <c r="G909" s="16" t="str">
        <f>VLOOKUP(orders!C909,[1]customers!$A$1:$I$1001, 3, FALSE)</f>
        <v>tmenaryp7@phoca.cz</v>
      </c>
      <c r="H909" s="16" t="str">
        <f>VLOOKUP(C909, [1]customers!$A$1:$I$1001, 7, FALSE)</f>
        <v>United States</v>
      </c>
      <c r="I909" s="18" t="str">
        <f>VLOOKUP(orders!D909,[1]products!$A$1:$G$49, 2,FALSE)</f>
        <v>Lib</v>
      </c>
      <c r="J909" s="18" t="str">
        <f>VLOOKUP(orders!D909,[1]products!$A$1:$G$49, 3,FALSE)</f>
        <v>D</v>
      </c>
      <c r="K909" s="19">
        <f>VLOOKUP(orders!D909,[1]products!$A$1:$G$49, 4,FALSE)</f>
        <v>1</v>
      </c>
      <c r="L909" s="19">
        <f>VLOOKUP(orders!D909,[1]products!$A$1:$G$49, 5,FALSE)</f>
        <v>12.95</v>
      </c>
      <c r="M909" s="13">
        <f>PRODUCT(orders!$E909,orders!$L909)</f>
        <v>38.849999999999994</v>
      </c>
      <c r="N909" s="18" t="str">
        <f t="shared" si="28"/>
        <v>September</v>
      </c>
      <c r="O909" s="18">
        <f t="shared" si="29"/>
        <v>2021</v>
      </c>
      <c r="P909" s="11" t="str">
        <f>TEXT(orders!$B909, "DDD")</f>
        <v>Fri</v>
      </c>
      <c r="Q909" s="11" t="str">
        <f>VLOOKUP(orders!C909,[1]customers!$A$1:$I$1001, 6,FALSE)</f>
        <v>Portland</v>
      </c>
    </row>
    <row r="910" spans="1:17" x14ac:dyDescent="0.3">
      <c r="A910" s="7" t="s">
        <v>1770</v>
      </c>
      <c r="B910" s="8">
        <v>43836</v>
      </c>
      <c r="C910" s="9" t="s">
        <v>1771</v>
      </c>
      <c r="D910" s="10" t="s">
        <v>206</v>
      </c>
      <c r="E910" s="9">
        <v>5</v>
      </c>
      <c r="F910" s="9" t="str">
        <f>VLOOKUP(C910,[1]customers!$A$1:$I$1001, 2, FALSE)</f>
        <v>Gustaf Ciccotti</v>
      </c>
      <c r="G910" s="9" t="str">
        <f>VLOOKUP(orders!C910,[1]customers!$A$1:$I$1001, 3, FALSE)</f>
        <v>gciccottip8@so-net.ne.jp</v>
      </c>
      <c r="H910" s="9" t="str">
        <f>VLOOKUP(C910, [1]customers!$A$1:$I$1001, 7, FALSE)</f>
        <v>United States</v>
      </c>
      <c r="I910" s="11" t="str">
        <f>VLOOKUP(orders!D910,[1]products!$A$1:$G$49, 2,FALSE)</f>
        <v>Rob</v>
      </c>
      <c r="J910" s="11" t="str">
        <f>VLOOKUP(orders!D910,[1]products!$A$1:$G$49, 3,FALSE)</f>
        <v>L</v>
      </c>
      <c r="K910" s="12">
        <f>VLOOKUP(orders!D910,[1]products!$A$1:$G$49, 4,FALSE)</f>
        <v>1</v>
      </c>
      <c r="L910" s="12">
        <f>VLOOKUP(orders!D910,[1]products!$A$1:$G$49, 5,FALSE)</f>
        <v>11.95</v>
      </c>
      <c r="M910" s="13">
        <f>PRODUCT(orders!$E910,orders!$L910)</f>
        <v>59.75</v>
      </c>
      <c r="N910" s="11" t="str">
        <f t="shared" si="28"/>
        <v>January</v>
      </c>
      <c r="O910" s="11">
        <f t="shared" si="29"/>
        <v>2020</v>
      </c>
      <c r="P910" s="11" t="str">
        <f>TEXT(orders!$B910, "DDD")</f>
        <v>Mon</v>
      </c>
      <c r="Q910" s="11" t="str">
        <f>VLOOKUP(orders!C910,[1]customers!$A$1:$I$1001, 6,FALSE)</f>
        <v>Houston</v>
      </c>
    </row>
    <row r="911" spans="1:17" x14ac:dyDescent="0.3">
      <c r="A911" s="14" t="s">
        <v>1772</v>
      </c>
      <c r="B911" s="15">
        <v>44635</v>
      </c>
      <c r="C911" s="16" t="s">
        <v>1773</v>
      </c>
      <c r="D911" s="17" t="s">
        <v>199</v>
      </c>
      <c r="E911" s="16">
        <v>3</v>
      </c>
      <c r="F911" s="9" t="str">
        <f>VLOOKUP(C911,[1]customers!$A$1:$I$1001, 2, FALSE)</f>
        <v>Bobbe Renner</v>
      </c>
      <c r="G911" s="16">
        <f>VLOOKUP(orders!C911,[1]customers!$A$1:$I$1001, 3, FALSE)</f>
        <v>0</v>
      </c>
      <c r="H911" s="16" t="str">
        <f>VLOOKUP(C911, [1]customers!$A$1:$I$1001, 7, FALSE)</f>
        <v>United States</v>
      </c>
      <c r="I911" s="18" t="str">
        <f>VLOOKUP(orders!D911,[1]products!$A$1:$G$49, 2,FALSE)</f>
        <v>Rob</v>
      </c>
      <c r="J911" s="18" t="str">
        <f>VLOOKUP(orders!D911,[1]products!$A$1:$G$49, 3,FALSE)</f>
        <v>L</v>
      </c>
      <c r="K911" s="19">
        <f>VLOOKUP(orders!D911,[1]products!$A$1:$G$49, 4,FALSE)</f>
        <v>0.2</v>
      </c>
      <c r="L911" s="19">
        <f>VLOOKUP(orders!D911,[1]products!$A$1:$G$49, 5,FALSE)</f>
        <v>3.5849999999999995</v>
      </c>
      <c r="M911" s="13">
        <f>PRODUCT(orders!$E911,orders!$L911)</f>
        <v>10.754999999999999</v>
      </c>
      <c r="N911" s="18" t="str">
        <f t="shared" si="28"/>
        <v>March</v>
      </c>
      <c r="O911" s="18">
        <f t="shared" si="29"/>
        <v>2022</v>
      </c>
      <c r="P911" s="11" t="str">
        <f>TEXT(orders!$B911, "DDD")</f>
        <v>Tue</v>
      </c>
      <c r="Q911" s="11" t="str">
        <f>VLOOKUP(orders!C911,[1]customers!$A$1:$I$1001, 6,FALSE)</f>
        <v>Durham</v>
      </c>
    </row>
    <row r="912" spans="1:17" x14ac:dyDescent="0.3">
      <c r="A912" s="7" t="s">
        <v>1774</v>
      </c>
      <c r="B912" s="8">
        <v>44447</v>
      </c>
      <c r="C912" s="9" t="s">
        <v>1775</v>
      </c>
      <c r="D912" s="10" t="s">
        <v>135</v>
      </c>
      <c r="E912" s="9">
        <v>4</v>
      </c>
      <c r="F912" s="9" t="str">
        <f>VLOOKUP(C912,[1]customers!$A$1:$I$1001, 2, FALSE)</f>
        <v>Wilton Jallin</v>
      </c>
      <c r="G912" s="9" t="str">
        <f>VLOOKUP(orders!C912,[1]customers!$A$1:$I$1001, 3, FALSE)</f>
        <v>wjallinpa@pcworld.com</v>
      </c>
      <c r="H912" s="9" t="str">
        <f>VLOOKUP(C912, [1]customers!$A$1:$I$1001, 7, FALSE)</f>
        <v>United States</v>
      </c>
      <c r="I912" s="11" t="str">
        <f>VLOOKUP(orders!D912,[1]products!$A$1:$G$49, 2,FALSE)</f>
        <v>Ara</v>
      </c>
      <c r="J912" s="11" t="str">
        <f>VLOOKUP(orders!D912,[1]products!$A$1:$G$49, 3,FALSE)</f>
        <v>D</v>
      </c>
      <c r="K912" s="12">
        <f>VLOOKUP(orders!D912,[1]products!$A$1:$G$49, 4,FALSE)</f>
        <v>2.5</v>
      </c>
      <c r="L912" s="12">
        <f>VLOOKUP(orders!D912,[1]products!$A$1:$G$49, 5,FALSE)</f>
        <v>22.884999999999998</v>
      </c>
      <c r="M912" s="13">
        <f>PRODUCT(orders!$E912,orders!$L912)</f>
        <v>91.539999999999992</v>
      </c>
      <c r="N912" s="11" t="str">
        <f t="shared" si="28"/>
        <v>September</v>
      </c>
      <c r="O912" s="11">
        <f t="shared" si="29"/>
        <v>2021</v>
      </c>
      <c r="P912" s="11" t="str">
        <f>TEXT(orders!$B912, "DDD")</f>
        <v>Wed</v>
      </c>
      <c r="Q912" s="11" t="str">
        <f>VLOOKUP(orders!C912,[1]customers!$A$1:$I$1001, 6,FALSE)</f>
        <v>Boston</v>
      </c>
    </row>
    <row r="913" spans="1:17" x14ac:dyDescent="0.3">
      <c r="A913" s="14" t="s">
        <v>1776</v>
      </c>
      <c r="B913" s="15">
        <v>44511</v>
      </c>
      <c r="C913" s="16" t="s">
        <v>1777</v>
      </c>
      <c r="D913" s="17" t="s">
        <v>78</v>
      </c>
      <c r="E913" s="16">
        <v>4</v>
      </c>
      <c r="F913" s="9" t="str">
        <f>VLOOKUP(C913,[1]customers!$A$1:$I$1001, 2, FALSE)</f>
        <v>Mindy Bogey</v>
      </c>
      <c r="G913" s="16" t="str">
        <f>VLOOKUP(orders!C913,[1]customers!$A$1:$I$1001, 3, FALSE)</f>
        <v>mbogeypb@thetimes.co.uk</v>
      </c>
      <c r="H913" s="16" t="str">
        <f>VLOOKUP(C913, [1]customers!$A$1:$I$1001, 7, FALSE)</f>
        <v>United States</v>
      </c>
      <c r="I913" s="18" t="str">
        <f>VLOOKUP(orders!D913,[1]products!$A$1:$G$49, 2,FALSE)</f>
        <v>Ara</v>
      </c>
      <c r="J913" s="18" t="str">
        <f>VLOOKUP(orders!D913,[1]products!$A$1:$G$49, 3,FALSE)</f>
        <v>M</v>
      </c>
      <c r="K913" s="19">
        <f>VLOOKUP(orders!D913,[1]products!$A$1:$G$49, 4,FALSE)</f>
        <v>1</v>
      </c>
      <c r="L913" s="19">
        <f>VLOOKUP(orders!D913,[1]products!$A$1:$G$49, 5,FALSE)</f>
        <v>11.25</v>
      </c>
      <c r="M913" s="13">
        <f>PRODUCT(orders!$E913,orders!$L913)</f>
        <v>45</v>
      </c>
      <c r="N913" s="18" t="str">
        <f t="shared" si="28"/>
        <v>November</v>
      </c>
      <c r="O913" s="18">
        <f t="shared" si="29"/>
        <v>2021</v>
      </c>
      <c r="P913" s="11" t="str">
        <f>TEXT(orders!$B913, "DDD")</f>
        <v>Thu</v>
      </c>
      <c r="Q913" s="11" t="str">
        <f>VLOOKUP(orders!C913,[1]customers!$A$1:$I$1001, 6,FALSE)</f>
        <v>Washington</v>
      </c>
    </row>
    <row r="914" spans="1:17" x14ac:dyDescent="0.3">
      <c r="A914" s="7" t="s">
        <v>1778</v>
      </c>
      <c r="B914" s="8">
        <v>43726</v>
      </c>
      <c r="C914" s="9" t="s">
        <v>1779</v>
      </c>
      <c r="D914" s="10" t="s">
        <v>58</v>
      </c>
      <c r="E914" s="9">
        <v>6</v>
      </c>
      <c r="F914" s="9" t="str">
        <f>VLOOKUP(C914,[1]customers!$A$1:$I$1001, 2, FALSE)</f>
        <v>Paulie Fonzone</v>
      </c>
      <c r="G914" s="9">
        <f>VLOOKUP(orders!C914,[1]customers!$A$1:$I$1001, 3, FALSE)</f>
        <v>0</v>
      </c>
      <c r="H914" s="9" t="str">
        <f>VLOOKUP(C914, [1]customers!$A$1:$I$1001, 7, FALSE)</f>
        <v>United States</v>
      </c>
      <c r="I914" s="11" t="str">
        <f>VLOOKUP(orders!D914,[1]products!$A$1:$G$49, 2,FALSE)</f>
        <v>Rob</v>
      </c>
      <c r="J914" s="11" t="str">
        <f>VLOOKUP(orders!D914,[1]products!$A$1:$G$49, 3,FALSE)</f>
        <v>M</v>
      </c>
      <c r="K914" s="12">
        <f>VLOOKUP(orders!D914,[1]products!$A$1:$G$49, 4,FALSE)</f>
        <v>2.5</v>
      </c>
      <c r="L914" s="12">
        <f>VLOOKUP(orders!D914,[1]products!$A$1:$G$49, 5,FALSE)</f>
        <v>22.884999999999998</v>
      </c>
      <c r="M914" s="13">
        <f>PRODUCT(orders!$E914,orders!$L914)</f>
        <v>137.31</v>
      </c>
      <c r="N914" s="11" t="str">
        <f t="shared" si="28"/>
        <v>September</v>
      </c>
      <c r="O914" s="11">
        <f t="shared" si="29"/>
        <v>2019</v>
      </c>
      <c r="P914" s="11" t="str">
        <f>TEXT(orders!$B914, "DDD")</f>
        <v>Wed</v>
      </c>
      <c r="Q914" s="11" t="str">
        <f>VLOOKUP(orders!C914,[1]customers!$A$1:$I$1001, 6,FALSE)</f>
        <v>Albany</v>
      </c>
    </row>
    <row r="915" spans="1:17" x14ac:dyDescent="0.3">
      <c r="A915" s="14" t="s">
        <v>1780</v>
      </c>
      <c r="B915" s="15">
        <v>44406</v>
      </c>
      <c r="C915" s="16" t="s">
        <v>1781</v>
      </c>
      <c r="D915" s="17" t="s">
        <v>84</v>
      </c>
      <c r="E915" s="16">
        <v>1</v>
      </c>
      <c r="F915" s="9" t="str">
        <f>VLOOKUP(C915,[1]customers!$A$1:$I$1001, 2, FALSE)</f>
        <v>Merrile Cobbledick</v>
      </c>
      <c r="G915" s="16" t="str">
        <f>VLOOKUP(orders!C915,[1]customers!$A$1:$I$1001, 3, FALSE)</f>
        <v>mcobbledickpd@ucsd.edu</v>
      </c>
      <c r="H915" s="16" t="str">
        <f>VLOOKUP(C915, [1]customers!$A$1:$I$1001, 7, FALSE)</f>
        <v>United States</v>
      </c>
      <c r="I915" s="18" t="str">
        <f>VLOOKUP(orders!D915,[1]products!$A$1:$G$49, 2,FALSE)</f>
        <v>Ara</v>
      </c>
      <c r="J915" s="18" t="str">
        <f>VLOOKUP(orders!D915,[1]products!$A$1:$G$49, 3,FALSE)</f>
        <v>M</v>
      </c>
      <c r="K915" s="19">
        <f>VLOOKUP(orders!D915,[1]products!$A$1:$G$49, 4,FALSE)</f>
        <v>0.5</v>
      </c>
      <c r="L915" s="19">
        <f>VLOOKUP(orders!D915,[1]products!$A$1:$G$49, 5,FALSE)</f>
        <v>6.75</v>
      </c>
      <c r="M915" s="13">
        <f>PRODUCT(orders!$E915,orders!$L915)</f>
        <v>6.75</v>
      </c>
      <c r="N915" s="18" t="str">
        <f t="shared" si="28"/>
        <v>July</v>
      </c>
      <c r="O915" s="18">
        <f t="shared" si="29"/>
        <v>2021</v>
      </c>
      <c r="P915" s="11" t="str">
        <f>TEXT(orders!$B915, "DDD")</f>
        <v>Thu</v>
      </c>
      <c r="Q915" s="11" t="str">
        <f>VLOOKUP(orders!C915,[1]customers!$A$1:$I$1001, 6,FALSE)</f>
        <v>Tucson</v>
      </c>
    </row>
    <row r="916" spans="1:17" x14ac:dyDescent="0.3">
      <c r="A916" s="7" t="s">
        <v>1782</v>
      </c>
      <c r="B916" s="8">
        <v>44640</v>
      </c>
      <c r="C916" s="9" t="s">
        <v>1783</v>
      </c>
      <c r="D916" s="10" t="s">
        <v>78</v>
      </c>
      <c r="E916" s="9">
        <v>4</v>
      </c>
      <c r="F916" s="9" t="str">
        <f>VLOOKUP(C916,[1]customers!$A$1:$I$1001, 2, FALSE)</f>
        <v>Antonius Lewry</v>
      </c>
      <c r="G916" s="9" t="str">
        <f>VLOOKUP(orders!C916,[1]customers!$A$1:$I$1001, 3, FALSE)</f>
        <v>alewrype@whitehouse.gov</v>
      </c>
      <c r="H916" s="9" t="str">
        <f>VLOOKUP(C916, [1]customers!$A$1:$I$1001, 7, FALSE)</f>
        <v>United States</v>
      </c>
      <c r="I916" s="11" t="str">
        <f>VLOOKUP(orders!D916,[1]products!$A$1:$G$49, 2,FALSE)</f>
        <v>Ara</v>
      </c>
      <c r="J916" s="11" t="str">
        <f>VLOOKUP(orders!D916,[1]products!$A$1:$G$49, 3,FALSE)</f>
        <v>M</v>
      </c>
      <c r="K916" s="12">
        <f>VLOOKUP(orders!D916,[1]products!$A$1:$G$49, 4,FALSE)</f>
        <v>1</v>
      </c>
      <c r="L916" s="12">
        <f>VLOOKUP(orders!D916,[1]products!$A$1:$G$49, 5,FALSE)</f>
        <v>11.25</v>
      </c>
      <c r="M916" s="13">
        <f>PRODUCT(orders!$E916,orders!$L916)</f>
        <v>45</v>
      </c>
      <c r="N916" s="11" t="str">
        <f t="shared" si="28"/>
        <v>March</v>
      </c>
      <c r="O916" s="11">
        <f t="shared" si="29"/>
        <v>2022</v>
      </c>
      <c r="P916" s="11" t="str">
        <f>TEXT(orders!$B916, "DDD")</f>
        <v>Sun</v>
      </c>
      <c r="Q916" s="11" t="str">
        <f>VLOOKUP(orders!C916,[1]customers!$A$1:$I$1001, 6,FALSE)</f>
        <v>Montgomery</v>
      </c>
    </row>
    <row r="917" spans="1:17" x14ac:dyDescent="0.3">
      <c r="A917" s="14" t="s">
        <v>1784</v>
      </c>
      <c r="B917" s="15">
        <v>43955</v>
      </c>
      <c r="C917" s="16" t="s">
        <v>1785</v>
      </c>
      <c r="D917" s="17" t="s">
        <v>547</v>
      </c>
      <c r="E917" s="16">
        <v>3</v>
      </c>
      <c r="F917" s="9" t="str">
        <f>VLOOKUP(C917,[1]customers!$A$1:$I$1001, 2, FALSE)</f>
        <v>Isis Hessel</v>
      </c>
      <c r="G917" s="16" t="str">
        <f>VLOOKUP(orders!C917,[1]customers!$A$1:$I$1001, 3, FALSE)</f>
        <v>ihesselpf@ox.ac.uk</v>
      </c>
      <c r="H917" s="16" t="str">
        <f>VLOOKUP(C917, [1]customers!$A$1:$I$1001, 7, FALSE)</f>
        <v>United States</v>
      </c>
      <c r="I917" s="18" t="str">
        <f>VLOOKUP(orders!D917,[1]products!$A$1:$G$49, 2,FALSE)</f>
        <v>Exc</v>
      </c>
      <c r="J917" s="18" t="str">
        <f>VLOOKUP(orders!D917,[1]products!$A$1:$G$49, 3,FALSE)</f>
        <v>D</v>
      </c>
      <c r="K917" s="19">
        <f>VLOOKUP(orders!D917,[1]products!$A$1:$G$49, 4,FALSE)</f>
        <v>2.5</v>
      </c>
      <c r="L917" s="19">
        <f>VLOOKUP(orders!D917,[1]products!$A$1:$G$49, 5,FALSE)</f>
        <v>27.945</v>
      </c>
      <c r="M917" s="13">
        <f>PRODUCT(orders!$E917,orders!$L917)</f>
        <v>83.835000000000008</v>
      </c>
      <c r="N917" s="18" t="str">
        <f t="shared" si="28"/>
        <v>May</v>
      </c>
      <c r="O917" s="18">
        <f t="shared" si="29"/>
        <v>2020</v>
      </c>
      <c r="P917" s="11" t="str">
        <f>TEXT(orders!$B917, "DDD")</f>
        <v>Mon</v>
      </c>
      <c r="Q917" s="11" t="str">
        <f>VLOOKUP(orders!C917,[1]customers!$A$1:$I$1001, 6,FALSE)</f>
        <v>Fairbanks</v>
      </c>
    </row>
    <row r="918" spans="1:17" x14ac:dyDescent="0.3">
      <c r="A918" s="7" t="s">
        <v>1786</v>
      </c>
      <c r="B918" s="8">
        <v>44291</v>
      </c>
      <c r="C918" s="9" t="s">
        <v>1787</v>
      </c>
      <c r="D918" s="10" t="s">
        <v>68</v>
      </c>
      <c r="E918" s="9">
        <v>1</v>
      </c>
      <c r="F918" s="9" t="str">
        <f>VLOOKUP(C918,[1]customers!$A$1:$I$1001, 2, FALSE)</f>
        <v>Harland Trematick</v>
      </c>
      <c r="G918" s="9">
        <f>VLOOKUP(orders!C918,[1]customers!$A$1:$I$1001, 3, FALSE)</f>
        <v>0</v>
      </c>
      <c r="H918" s="9" t="str">
        <f>VLOOKUP(C918, [1]customers!$A$1:$I$1001, 7, FALSE)</f>
        <v>Ireland</v>
      </c>
      <c r="I918" s="11" t="str">
        <f>VLOOKUP(orders!D918,[1]products!$A$1:$G$49, 2,FALSE)</f>
        <v>Exc</v>
      </c>
      <c r="J918" s="11" t="str">
        <f>VLOOKUP(orders!D918,[1]products!$A$1:$G$49, 3,FALSE)</f>
        <v>D</v>
      </c>
      <c r="K918" s="12">
        <f>VLOOKUP(orders!D918,[1]products!$A$1:$G$49, 4,FALSE)</f>
        <v>0.2</v>
      </c>
      <c r="L918" s="12">
        <f>VLOOKUP(orders!D918,[1]products!$A$1:$G$49, 5,FALSE)</f>
        <v>3.645</v>
      </c>
      <c r="M918" s="13">
        <f>PRODUCT(orders!$E918,orders!$L918)</f>
        <v>3.645</v>
      </c>
      <c r="N918" s="11" t="str">
        <f t="shared" si="28"/>
        <v>April</v>
      </c>
      <c r="O918" s="11">
        <f t="shared" si="29"/>
        <v>2021</v>
      </c>
      <c r="P918" s="11" t="str">
        <f>TEXT(orders!$B918, "DDD")</f>
        <v>Mon</v>
      </c>
      <c r="Q918" s="11" t="str">
        <f>VLOOKUP(orders!C918,[1]customers!$A$1:$I$1001, 6,FALSE)</f>
        <v>Monasterevin</v>
      </c>
    </row>
    <row r="919" spans="1:17" x14ac:dyDescent="0.3">
      <c r="A919" s="14" t="s">
        <v>1788</v>
      </c>
      <c r="B919" s="15">
        <v>44573</v>
      </c>
      <c r="C919" s="16" t="s">
        <v>1789</v>
      </c>
      <c r="D919" s="17" t="s">
        <v>84</v>
      </c>
      <c r="E919" s="16">
        <v>1</v>
      </c>
      <c r="F919" s="9" t="str">
        <f>VLOOKUP(C919,[1]customers!$A$1:$I$1001, 2, FALSE)</f>
        <v>Chloris Sorrell</v>
      </c>
      <c r="G919" s="16" t="str">
        <f>VLOOKUP(orders!C919,[1]customers!$A$1:$I$1001, 3, FALSE)</f>
        <v>csorrellph@amazon.com</v>
      </c>
      <c r="H919" s="16" t="str">
        <f>VLOOKUP(C919, [1]customers!$A$1:$I$1001, 7, FALSE)</f>
        <v>United Kingdom</v>
      </c>
      <c r="I919" s="18" t="str">
        <f>VLOOKUP(orders!D919,[1]products!$A$1:$G$49, 2,FALSE)</f>
        <v>Ara</v>
      </c>
      <c r="J919" s="18" t="str">
        <f>VLOOKUP(orders!D919,[1]products!$A$1:$G$49, 3,FALSE)</f>
        <v>M</v>
      </c>
      <c r="K919" s="19">
        <f>VLOOKUP(orders!D919,[1]products!$A$1:$G$49, 4,FALSE)</f>
        <v>0.5</v>
      </c>
      <c r="L919" s="19">
        <f>VLOOKUP(orders!D919,[1]products!$A$1:$G$49, 5,FALSE)</f>
        <v>6.75</v>
      </c>
      <c r="M919" s="13">
        <f>PRODUCT(orders!$E919,orders!$L919)</f>
        <v>6.75</v>
      </c>
      <c r="N919" s="18" t="str">
        <f t="shared" si="28"/>
        <v>January</v>
      </c>
      <c r="O919" s="18">
        <f t="shared" si="29"/>
        <v>2022</v>
      </c>
      <c r="P919" s="11" t="str">
        <f>TEXT(orders!$B919, "DDD")</f>
        <v>Wed</v>
      </c>
      <c r="Q919" s="11" t="str">
        <f>VLOOKUP(orders!C919,[1]customers!$A$1:$I$1001, 6,FALSE)</f>
        <v>Norton</v>
      </c>
    </row>
    <row r="920" spans="1:17" x14ac:dyDescent="0.3">
      <c r="A920" s="7" t="s">
        <v>1788</v>
      </c>
      <c r="B920" s="8">
        <v>44573</v>
      </c>
      <c r="C920" s="9" t="s">
        <v>1789</v>
      </c>
      <c r="D920" s="10" t="s">
        <v>33</v>
      </c>
      <c r="E920" s="9">
        <v>3</v>
      </c>
      <c r="F920" s="9" t="str">
        <f>VLOOKUP(C920,[1]customers!$A$1:$I$1001, 2, FALSE)</f>
        <v>Chloris Sorrell</v>
      </c>
      <c r="G920" s="9" t="str">
        <f>VLOOKUP(orders!C920,[1]customers!$A$1:$I$1001, 3, FALSE)</f>
        <v>csorrellph@amazon.com</v>
      </c>
      <c r="H920" s="9" t="str">
        <f>VLOOKUP(C920, [1]customers!$A$1:$I$1001, 7, FALSE)</f>
        <v>United Kingdom</v>
      </c>
      <c r="I920" s="11" t="str">
        <f>VLOOKUP(orders!D920,[1]products!$A$1:$G$49, 2,FALSE)</f>
        <v>Exc</v>
      </c>
      <c r="J920" s="11" t="str">
        <f>VLOOKUP(orders!D920,[1]products!$A$1:$G$49, 3,FALSE)</f>
        <v>D</v>
      </c>
      <c r="K920" s="12">
        <f>VLOOKUP(orders!D920,[1]products!$A$1:$G$49, 4,FALSE)</f>
        <v>0.5</v>
      </c>
      <c r="L920" s="12">
        <f>VLOOKUP(orders!D920,[1]products!$A$1:$G$49, 5,FALSE)</f>
        <v>7.29</v>
      </c>
      <c r="M920" s="13">
        <f>PRODUCT(orders!$E920,orders!$L920)</f>
        <v>21.87</v>
      </c>
      <c r="N920" s="11" t="str">
        <f t="shared" si="28"/>
        <v>January</v>
      </c>
      <c r="O920" s="11">
        <f t="shared" si="29"/>
        <v>2022</v>
      </c>
      <c r="P920" s="11" t="str">
        <f>TEXT(orders!$B920, "DDD")</f>
        <v>Wed</v>
      </c>
      <c r="Q920" s="11" t="str">
        <f>VLOOKUP(orders!C920,[1]customers!$A$1:$I$1001, 6,FALSE)</f>
        <v>Norton</v>
      </c>
    </row>
    <row r="921" spans="1:17" x14ac:dyDescent="0.3">
      <c r="A921" s="14" t="s">
        <v>1790</v>
      </c>
      <c r="B921" s="15">
        <v>44181</v>
      </c>
      <c r="C921" s="16" t="s">
        <v>1791</v>
      </c>
      <c r="D921" s="17" t="s">
        <v>118</v>
      </c>
      <c r="E921" s="16">
        <v>5</v>
      </c>
      <c r="F921" s="9" t="str">
        <f>VLOOKUP(C921,[1]customers!$A$1:$I$1001, 2, FALSE)</f>
        <v>Quintina Heavyside</v>
      </c>
      <c r="G921" s="16" t="str">
        <f>VLOOKUP(orders!C921,[1]customers!$A$1:$I$1001, 3, FALSE)</f>
        <v>qheavysidepj@unc.edu</v>
      </c>
      <c r="H921" s="16" t="str">
        <f>VLOOKUP(C921, [1]customers!$A$1:$I$1001, 7, FALSE)</f>
        <v>United States</v>
      </c>
      <c r="I921" s="18" t="str">
        <f>VLOOKUP(orders!D921,[1]products!$A$1:$G$49, 2,FALSE)</f>
        <v>Rob</v>
      </c>
      <c r="J921" s="18" t="str">
        <f>VLOOKUP(orders!D921,[1]products!$A$1:$G$49, 3,FALSE)</f>
        <v>D</v>
      </c>
      <c r="K921" s="19">
        <f>VLOOKUP(orders!D921,[1]products!$A$1:$G$49, 4,FALSE)</f>
        <v>0.2</v>
      </c>
      <c r="L921" s="19">
        <f>VLOOKUP(orders!D921,[1]products!$A$1:$G$49, 5,FALSE)</f>
        <v>2.6849999999999996</v>
      </c>
      <c r="M921" s="13">
        <f>PRODUCT(orders!$E921,orders!$L921)</f>
        <v>13.424999999999997</v>
      </c>
      <c r="N921" s="18" t="str">
        <f t="shared" si="28"/>
        <v>December</v>
      </c>
      <c r="O921" s="18">
        <f t="shared" si="29"/>
        <v>2020</v>
      </c>
      <c r="P921" s="11" t="str">
        <f>TEXT(orders!$B921, "DDD")</f>
        <v>Wed</v>
      </c>
      <c r="Q921" s="11" t="str">
        <f>VLOOKUP(orders!C921,[1]customers!$A$1:$I$1001, 6,FALSE)</f>
        <v>Lexington</v>
      </c>
    </row>
    <row r="922" spans="1:17" x14ac:dyDescent="0.3">
      <c r="A922" s="7" t="s">
        <v>1792</v>
      </c>
      <c r="B922" s="8">
        <v>44711</v>
      </c>
      <c r="C922" s="9" t="s">
        <v>1793</v>
      </c>
      <c r="D922" s="10" t="s">
        <v>52</v>
      </c>
      <c r="E922" s="9">
        <v>6</v>
      </c>
      <c r="F922" s="9" t="str">
        <f>VLOOKUP(C922,[1]customers!$A$1:$I$1001, 2, FALSE)</f>
        <v>Hadley Reuven</v>
      </c>
      <c r="G922" s="9" t="str">
        <f>VLOOKUP(orders!C922,[1]customers!$A$1:$I$1001, 3, FALSE)</f>
        <v>hreuvenpk@whitehouse.gov</v>
      </c>
      <c r="H922" s="9" t="str">
        <f>VLOOKUP(C922, [1]customers!$A$1:$I$1001, 7, FALSE)</f>
        <v>United States</v>
      </c>
      <c r="I922" s="11" t="str">
        <f>VLOOKUP(orders!D922,[1]products!$A$1:$G$49, 2,FALSE)</f>
        <v>Rob</v>
      </c>
      <c r="J922" s="11" t="str">
        <f>VLOOKUP(orders!D922,[1]products!$A$1:$G$49, 3,FALSE)</f>
        <v>D</v>
      </c>
      <c r="K922" s="12">
        <f>VLOOKUP(orders!D922,[1]products!$A$1:$G$49, 4,FALSE)</f>
        <v>2.5</v>
      </c>
      <c r="L922" s="12">
        <f>VLOOKUP(orders!D922,[1]products!$A$1:$G$49, 5,FALSE)</f>
        <v>20.584999999999997</v>
      </c>
      <c r="M922" s="13">
        <f>PRODUCT(orders!$E922,orders!$L922)</f>
        <v>123.50999999999999</v>
      </c>
      <c r="N922" s="11" t="str">
        <f t="shared" si="28"/>
        <v>May</v>
      </c>
      <c r="O922" s="11">
        <f t="shared" si="29"/>
        <v>2022</v>
      </c>
      <c r="P922" s="11" t="str">
        <f>TEXT(orders!$B922, "DDD")</f>
        <v>Mon</v>
      </c>
      <c r="Q922" s="11" t="str">
        <f>VLOOKUP(orders!C922,[1]customers!$A$1:$I$1001, 6,FALSE)</f>
        <v>Grand Rapids</v>
      </c>
    </row>
    <row r="923" spans="1:17" x14ac:dyDescent="0.3">
      <c r="A923" s="14" t="s">
        <v>1794</v>
      </c>
      <c r="B923" s="15">
        <v>44509</v>
      </c>
      <c r="C923" s="16" t="s">
        <v>1795</v>
      </c>
      <c r="D923" s="17" t="s">
        <v>55</v>
      </c>
      <c r="E923" s="16">
        <v>2</v>
      </c>
      <c r="F923" s="9" t="str">
        <f>VLOOKUP(C923,[1]customers!$A$1:$I$1001, 2, FALSE)</f>
        <v>Mitch Attwool</v>
      </c>
      <c r="G923" s="16" t="str">
        <f>VLOOKUP(orders!C923,[1]customers!$A$1:$I$1001, 3, FALSE)</f>
        <v>mattwoolpl@nba.com</v>
      </c>
      <c r="H923" s="16" t="str">
        <f>VLOOKUP(C923, [1]customers!$A$1:$I$1001, 7, FALSE)</f>
        <v>United States</v>
      </c>
      <c r="I923" s="18" t="str">
        <f>VLOOKUP(orders!D923,[1]products!$A$1:$G$49, 2,FALSE)</f>
        <v>Lib</v>
      </c>
      <c r="J923" s="18" t="str">
        <f>VLOOKUP(orders!D923,[1]products!$A$1:$G$49, 3,FALSE)</f>
        <v>D</v>
      </c>
      <c r="K923" s="19">
        <f>VLOOKUP(orders!D923,[1]products!$A$1:$G$49, 4,FALSE)</f>
        <v>0.2</v>
      </c>
      <c r="L923" s="19">
        <f>VLOOKUP(orders!D923,[1]products!$A$1:$G$49, 5,FALSE)</f>
        <v>3.8849999999999998</v>
      </c>
      <c r="M923" s="13">
        <f>PRODUCT(orders!$E923,orders!$L923)</f>
        <v>7.77</v>
      </c>
      <c r="N923" s="18" t="str">
        <f t="shared" si="28"/>
        <v>November</v>
      </c>
      <c r="O923" s="18">
        <f t="shared" si="29"/>
        <v>2021</v>
      </c>
      <c r="P923" s="11" t="str">
        <f>TEXT(orders!$B923, "DDD")</f>
        <v>Tue</v>
      </c>
      <c r="Q923" s="11" t="str">
        <f>VLOOKUP(orders!C923,[1]customers!$A$1:$I$1001, 6,FALSE)</f>
        <v>Des Moines</v>
      </c>
    </row>
    <row r="924" spans="1:17" x14ac:dyDescent="0.3">
      <c r="A924" s="7" t="s">
        <v>1796</v>
      </c>
      <c r="B924" s="8">
        <v>44659</v>
      </c>
      <c r="C924" s="9" t="s">
        <v>1797</v>
      </c>
      <c r="D924" s="10" t="s">
        <v>78</v>
      </c>
      <c r="E924" s="9">
        <v>6</v>
      </c>
      <c r="F924" s="9" t="str">
        <f>VLOOKUP(C924,[1]customers!$A$1:$I$1001, 2, FALSE)</f>
        <v>Charin Maplethorp</v>
      </c>
      <c r="G924" s="9">
        <f>VLOOKUP(orders!C924,[1]customers!$A$1:$I$1001, 3, FALSE)</f>
        <v>0</v>
      </c>
      <c r="H924" s="9" t="str">
        <f>VLOOKUP(C924, [1]customers!$A$1:$I$1001, 7, FALSE)</f>
        <v>United States</v>
      </c>
      <c r="I924" s="11" t="str">
        <f>VLOOKUP(orders!D924,[1]products!$A$1:$G$49, 2,FALSE)</f>
        <v>Ara</v>
      </c>
      <c r="J924" s="11" t="str">
        <f>VLOOKUP(orders!D924,[1]products!$A$1:$G$49, 3,FALSE)</f>
        <v>M</v>
      </c>
      <c r="K924" s="12">
        <f>VLOOKUP(orders!D924,[1]products!$A$1:$G$49, 4,FALSE)</f>
        <v>1</v>
      </c>
      <c r="L924" s="12">
        <f>VLOOKUP(orders!D924,[1]products!$A$1:$G$49, 5,FALSE)</f>
        <v>11.25</v>
      </c>
      <c r="M924" s="13">
        <f>PRODUCT(orders!$E924,orders!$L924)</f>
        <v>67.5</v>
      </c>
      <c r="N924" s="11" t="str">
        <f t="shared" si="28"/>
        <v>April</v>
      </c>
      <c r="O924" s="11">
        <f t="shared" si="29"/>
        <v>2022</v>
      </c>
      <c r="P924" s="11" t="str">
        <f>TEXT(orders!$B924, "DDD")</f>
        <v>Fri</v>
      </c>
      <c r="Q924" s="11" t="str">
        <f>VLOOKUP(orders!C924,[1]customers!$A$1:$I$1001, 6,FALSE)</f>
        <v>Wilmington</v>
      </c>
    </row>
    <row r="925" spans="1:17" x14ac:dyDescent="0.3">
      <c r="A925" s="14" t="s">
        <v>1798</v>
      </c>
      <c r="B925" s="15">
        <v>43746</v>
      </c>
      <c r="C925" s="16" t="s">
        <v>1799</v>
      </c>
      <c r="D925" s="17" t="s">
        <v>547</v>
      </c>
      <c r="E925" s="16">
        <v>1</v>
      </c>
      <c r="F925" s="9" t="str">
        <f>VLOOKUP(C925,[1]customers!$A$1:$I$1001, 2, FALSE)</f>
        <v>Goldie Wynes</v>
      </c>
      <c r="G925" s="16" t="str">
        <f>VLOOKUP(orders!C925,[1]customers!$A$1:$I$1001, 3, FALSE)</f>
        <v>gwynespn@dagondesign.com</v>
      </c>
      <c r="H925" s="16" t="str">
        <f>VLOOKUP(C925, [1]customers!$A$1:$I$1001, 7, FALSE)</f>
        <v>United States</v>
      </c>
      <c r="I925" s="18" t="str">
        <f>VLOOKUP(orders!D925,[1]products!$A$1:$G$49, 2,FALSE)</f>
        <v>Exc</v>
      </c>
      <c r="J925" s="18" t="str">
        <f>VLOOKUP(orders!D925,[1]products!$A$1:$G$49, 3,FALSE)</f>
        <v>D</v>
      </c>
      <c r="K925" s="19">
        <f>VLOOKUP(orders!D925,[1]products!$A$1:$G$49, 4,FALSE)</f>
        <v>2.5</v>
      </c>
      <c r="L925" s="19">
        <f>VLOOKUP(orders!D925,[1]products!$A$1:$G$49, 5,FALSE)</f>
        <v>27.945</v>
      </c>
      <c r="M925" s="13">
        <f>PRODUCT(orders!$E925,orders!$L925)</f>
        <v>27.945</v>
      </c>
      <c r="N925" s="18" t="str">
        <f t="shared" si="28"/>
        <v>October</v>
      </c>
      <c r="O925" s="18">
        <f t="shared" si="29"/>
        <v>2019</v>
      </c>
      <c r="P925" s="11" t="str">
        <f>TEXT(orders!$B925, "DDD")</f>
        <v>Tue</v>
      </c>
      <c r="Q925" s="11" t="str">
        <f>VLOOKUP(orders!C925,[1]customers!$A$1:$I$1001, 6,FALSE)</f>
        <v>Austin</v>
      </c>
    </row>
    <row r="926" spans="1:17" x14ac:dyDescent="0.3">
      <c r="A926" s="7" t="s">
        <v>1800</v>
      </c>
      <c r="B926" s="8">
        <v>44451</v>
      </c>
      <c r="C926" s="9" t="s">
        <v>1801</v>
      </c>
      <c r="D926" s="10" t="s">
        <v>221</v>
      </c>
      <c r="E926" s="9">
        <v>3</v>
      </c>
      <c r="F926" s="9" t="str">
        <f>VLOOKUP(C926,[1]customers!$A$1:$I$1001, 2, FALSE)</f>
        <v>Celie MacCourt</v>
      </c>
      <c r="G926" s="9" t="str">
        <f>VLOOKUP(orders!C926,[1]customers!$A$1:$I$1001, 3, FALSE)</f>
        <v>cmaccourtpo@amazon.com</v>
      </c>
      <c r="H926" s="9" t="str">
        <f>VLOOKUP(C926, [1]customers!$A$1:$I$1001, 7, FALSE)</f>
        <v>United States</v>
      </c>
      <c r="I926" s="11" t="str">
        <f>VLOOKUP(orders!D926,[1]products!$A$1:$G$49, 2,FALSE)</f>
        <v>Ara</v>
      </c>
      <c r="J926" s="11" t="str">
        <f>VLOOKUP(orders!D926,[1]products!$A$1:$G$49, 3,FALSE)</f>
        <v>L</v>
      </c>
      <c r="K926" s="12">
        <f>VLOOKUP(orders!D926,[1]products!$A$1:$G$49, 4,FALSE)</f>
        <v>2.5</v>
      </c>
      <c r="L926" s="12">
        <f>VLOOKUP(orders!D926,[1]products!$A$1:$G$49, 5,FALSE)</f>
        <v>29.784999999999997</v>
      </c>
      <c r="M926" s="13">
        <f>PRODUCT(orders!$E926,orders!$L926)</f>
        <v>89.35499999999999</v>
      </c>
      <c r="N926" s="11" t="str">
        <f t="shared" si="28"/>
        <v>September</v>
      </c>
      <c r="O926" s="11">
        <f t="shared" si="29"/>
        <v>2021</v>
      </c>
      <c r="P926" s="11" t="str">
        <f>TEXT(orders!$B926, "DDD")</f>
        <v>Sun</v>
      </c>
      <c r="Q926" s="11" t="str">
        <f>VLOOKUP(orders!C926,[1]customers!$A$1:$I$1001, 6,FALSE)</f>
        <v>Orlando</v>
      </c>
    </row>
    <row r="927" spans="1:17" x14ac:dyDescent="0.3">
      <c r="A927" s="14" t="s">
        <v>1802</v>
      </c>
      <c r="B927" s="15">
        <v>44770</v>
      </c>
      <c r="C927" s="16" t="s">
        <v>1746</v>
      </c>
      <c r="D927" s="17" t="s">
        <v>84</v>
      </c>
      <c r="E927" s="16">
        <v>3</v>
      </c>
      <c r="F927" s="9" t="str">
        <f>VLOOKUP(C927,[1]customers!$A$1:$I$1001, 2, FALSE)</f>
        <v>Derick Snow</v>
      </c>
      <c r="G927" s="16">
        <f>VLOOKUP(orders!C927,[1]customers!$A$1:$I$1001, 3, FALSE)</f>
        <v>0</v>
      </c>
      <c r="H927" s="16" t="str">
        <f>VLOOKUP(C927, [1]customers!$A$1:$I$1001, 7, FALSE)</f>
        <v>United States</v>
      </c>
      <c r="I927" s="18" t="str">
        <f>VLOOKUP(orders!D927,[1]products!$A$1:$G$49, 2,FALSE)</f>
        <v>Ara</v>
      </c>
      <c r="J927" s="18" t="str">
        <f>VLOOKUP(orders!D927,[1]products!$A$1:$G$49, 3,FALSE)</f>
        <v>M</v>
      </c>
      <c r="K927" s="19">
        <f>VLOOKUP(orders!D927,[1]products!$A$1:$G$49, 4,FALSE)</f>
        <v>0.5</v>
      </c>
      <c r="L927" s="19">
        <f>VLOOKUP(orders!D927,[1]products!$A$1:$G$49, 5,FALSE)</f>
        <v>6.75</v>
      </c>
      <c r="M927" s="13">
        <f>PRODUCT(orders!$E927,orders!$L927)</f>
        <v>20.25</v>
      </c>
      <c r="N927" s="18" t="str">
        <f t="shared" si="28"/>
        <v>July</v>
      </c>
      <c r="O927" s="18">
        <f t="shared" si="29"/>
        <v>2022</v>
      </c>
      <c r="P927" s="11" t="str">
        <f>TEXT(orders!$B927, "DDD")</f>
        <v>Thu</v>
      </c>
      <c r="Q927" s="11" t="str">
        <f>VLOOKUP(orders!C927,[1]customers!$A$1:$I$1001, 6,FALSE)</f>
        <v>New York City</v>
      </c>
    </row>
    <row r="928" spans="1:17" x14ac:dyDescent="0.3">
      <c r="A928" s="7" t="s">
        <v>1803</v>
      </c>
      <c r="B928" s="8">
        <v>44012</v>
      </c>
      <c r="C928" s="9" t="s">
        <v>1804</v>
      </c>
      <c r="D928" s="10" t="s">
        <v>84</v>
      </c>
      <c r="E928" s="9">
        <v>5</v>
      </c>
      <c r="F928" s="9" t="str">
        <f>VLOOKUP(C928,[1]customers!$A$1:$I$1001, 2, FALSE)</f>
        <v>Evy Wilsone</v>
      </c>
      <c r="G928" s="9" t="str">
        <f>VLOOKUP(orders!C928,[1]customers!$A$1:$I$1001, 3, FALSE)</f>
        <v>ewilsonepq@eepurl.com</v>
      </c>
      <c r="H928" s="9" t="str">
        <f>VLOOKUP(C928, [1]customers!$A$1:$I$1001, 7, FALSE)</f>
        <v>United States</v>
      </c>
      <c r="I928" s="11" t="str">
        <f>VLOOKUP(orders!D928,[1]products!$A$1:$G$49, 2,FALSE)</f>
        <v>Ara</v>
      </c>
      <c r="J928" s="11" t="str">
        <f>VLOOKUP(orders!D928,[1]products!$A$1:$G$49, 3,FALSE)</f>
        <v>M</v>
      </c>
      <c r="K928" s="12">
        <f>VLOOKUP(orders!D928,[1]products!$A$1:$G$49, 4,FALSE)</f>
        <v>0.5</v>
      </c>
      <c r="L928" s="12">
        <f>VLOOKUP(orders!D928,[1]products!$A$1:$G$49, 5,FALSE)</f>
        <v>6.75</v>
      </c>
      <c r="M928" s="13">
        <f>PRODUCT(orders!$E928,orders!$L928)</f>
        <v>33.75</v>
      </c>
      <c r="N928" s="11" t="str">
        <f t="shared" si="28"/>
        <v>June</v>
      </c>
      <c r="O928" s="11">
        <f t="shared" si="29"/>
        <v>2020</v>
      </c>
      <c r="P928" s="11" t="str">
        <f>TEXT(orders!$B928, "DDD")</f>
        <v>Tue</v>
      </c>
      <c r="Q928" s="11" t="str">
        <f>VLOOKUP(orders!C928,[1]customers!$A$1:$I$1001, 6,FALSE)</f>
        <v>Washington</v>
      </c>
    </row>
    <row r="929" spans="1:17" x14ac:dyDescent="0.3">
      <c r="A929" s="14" t="s">
        <v>1805</v>
      </c>
      <c r="B929" s="15">
        <v>43474</v>
      </c>
      <c r="C929" s="16" t="s">
        <v>1806</v>
      </c>
      <c r="D929" s="17" t="s">
        <v>547</v>
      </c>
      <c r="E929" s="16">
        <v>4</v>
      </c>
      <c r="F929" s="9" t="str">
        <f>VLOOKUP(C929,[1]customers!$A$1:$I$1001, 2, FALSE)</f>
        <v>Dolores Duffie</v>
      </c>
      <c r="G929" s="16" t="str">
        <f>VLOOKUP(orders!C929,[1]customers!$A$1:$I$1001, 3, FALSE)</f>
        <v>dduffiepr@time.com</v>
      </c>
      <c r="H929" s="16" t="str">
        <f>VLOOKUP(C929, [1]customers!$A$1:$I$1001, 7, FALSE)</f>
        <v>United States</v>
      </c>
      <c r="I929" s="18" t="str">
        <f>VLOOKUP(orders!D929,[1]products!$A$1:$G$49, 2,FALSE)</f>
        <v>Exc</v>
      </c>
      <c r="J929" s="18" t="str">
        <f>VLOOKUP(orders!D929,[1]products!$A$1:$G$49, 3,FALSE)</f>
        <v>D</v>
      </c>
      <c r="K929" s="19">
        <f>VLOOKUP(orders!D929,[1]products!$A$1:$G$49, 4,FALSE)</f>
        <v>2.5</v>
      </c>
      <c r="L929" s="19">
        <f>VLOOKUP(orders!D929,[1]products!$A$1:$G$49, 5,FALSE)</f>
        <v>27.945</v>
      </c>
      <c r="M929" s="13">
        <f>PRODUCT(orders!$E929,orders!$L929)</f>
        <v>111.78</v>
      </c>
      <c r="N929" s="18" t="str">
        <f t="shared" si="28"/>
        <v>January</v>
      </c>
      <c r="O929" s="18">
        <f t="shared" si="29"/>
        <v>2019</v>
      </c>
      <c r="P929" s="11" t="str">
        <f>TEXT(orders!$B929, "DDD")</f>
        <v>Wed</v>
      </c>
      <c r="Q929" s="11" t="str">
        <f>VLOOKUP(orders!C929,[1]customers!$A$1:$I$1001, 6,FALSE)</f>
        <v>Portland</v>
      </c>
    </row>
    <row r="930" spans="1:17" x14ac:dyDescent="0.3">
      <c r="A930" s="7" t="s">
        <v>1807</v>
      </c>
      <c r="B930" s="8">
        <v>44754</v>
      </c>
      <c r="C930" s="9" t="s">
        <v>1808</v>
      </c>
      <c r="D930" s="10" t="s">
        <v>129</v>
      </c>
      <c r="E930" s="9">
        <v>2</v>
      </c>
      <c r="F930" s="9" t="str">
        <f>VLOOKUP(C930,[1]customers!$A$1:$I$1001, 2, FALSE)</f>
        <v>Mathilda Matiasek</v>
      </c>
      <c r="G930" s="9" t="str">
        <f>VLOOKUP(orders!C930,[1]customers!$A$1:$I$1001, 3, FALSE)</f>
        <v>mmatiasekps@ucoz.ru</v>
      </c>
      <c r="H930" s="9" t="str">
        <f>VLOOKUP(C930, [1]customers!$A$1:$I$1001, 7, FALSE)</f>
        <v>United States</v>
      </c>
      <c r="I930" s="11" t="str">
        <f>VLOOKUP(orders!D930,[1]products!$A$1:$G$49, 2,FALSE)</f>
        <v>Exc</v>
      </c>
      <c r="J930" s="11" t="str">
        <f>VLOOKUP(orders!D930,[1]products!$A$1:$G$49, 3,FALSE)</f>
        <v>M</v>
      </c>
      <c r="K930" s="12">
        <f>VLOOKUP(orders!D930,[1]products!$A$1:$G$49, 4,FALSE)</f>
        <v>2.5</v>
      </c>
      <c r="L930" s="12">
        <f>VLOOKUP(orders!D930,[1]products!$A$1:$G$49, 5,FALSE)</f>
        <v>31.624999999999996</v>
      </c>
      <c r="M930" s="13">
        <f>PRODUCT(orders!$E930,orders!$L930)</f>
        <v>63.249999999999993</v>
      </c>
      <c r="N930" s="11" t="str">
        <f t="shared" si="28"/>
        <v>July</v>
      </c>
      <c r="O930" s="11">
        <f t="shared" si="29"/>
        <v>2022</v>
      </c>
      <c r="P930" s="11" t="str">
        <f>TEXT(orders!$B930, "DDD")</f>
        <v>Tue</v>
      </c>
      <c r="Q930" s="11" t="str">
        <f>VLOOKUP(orders!C930,[1]customers!$A$1:$I$1001, 6,FALSE)</f>
        <v>New York City</v>
      </c>
    </row>
    <row r="931" spans="1:17" x14ac:dyDescent="0.3">
      <c r="A931" s="14" t="s">
        <v>1809</v>
      </c>
      <c r="B931" s="15">
        <v>44165</v>
      </c>
      <c r="C931" s="16" t="s">
        <v>1810</v>
      </c>
      <c r="D931" s="17" t="s">
        <v>271</v>
      </c>
      <c r="E931" s="16">
        <v>2</v>
      </c>
      <c r="F931" s="9" t="str">
        <f>VLOOKUP(C931,[1]customers!$A$1:$I$1001, 2, FALSE)</f>
        <v>Jarred Camillo</v>
      </c>
      <c r="G931" s="16" t="str">
        <f>VLOOKUP(orders!C931,[1]customers!$A$1:$I$1001, 3, FALSE)</f>
        <v>jcamillopt@shinystat.com</v>
      </c>
      <c r="H931" s="16" t="str">
        <f>VLOOKUP(C931, [1]customers!$A$1:$I$1001, 7, FALSE)</f>
        <v>United States</v>
      </c>
      <c r="I931" s="18" t="str">
        <f>VLOOKUP(orders!D931,[1]products!$A$1:$G$49, 2,FALSE)</f>
        <v>Exc</v>
      </c>
      <c r="J931" s="18" t="str">
        <f>VLOOKUP(orders!D931,[1]products!$A$1:$G$49, 3,FALSE)</f>
        <v>L</v>
      </c>
      <c r="K931" s="19">
        <f>VLOOKUP(orders!D931,[1]products!$A$1:$G$49, 4,FALSE)</f>
        <v>0.2</v>
      </c>
      <c r="L931" s="19">
        <f>VLOOKUP(orders!D931,[1]products!$A$1:$G$49, 5,FALSE)</f>
        <v>4.4550000000000001</v>
      </c>
      <c r="M931" s="13">
        <f>PRODUCT(orders!$E931,orders!$L931)</f>
        <v>8.91</v>
      </c>
      <c r="N931" s="18" t="str">
        <f t="shared" si="28"/>
        <v>November</v>
      </c>
      <c r="O931" s="18">
        <f t="shared" si="29"/>
        <v>2020</v>
      </c>
      <c r="P931" s="11" t="str">
        <f>TEXT(orders!$B931, "DDD")</f>
        <v>Mon</v>
      </c>
      <c r="Q931" s="11" t="str">
        <f>VLOOKUP(orders!C931,[1]customers!$A$1:$I$1001, 6,FALSE)</f>
        <v>Washington</v>
      </c>
    </row>
    <row r="932" spans="1:17" x14ac:dyDescent="0.3">
      <c r="A932" s="7" t="s">
        <v>1811</v>
      </c>
      <c r="B932" s="8">
        <v>43546</v>
      </c>
      <c r="C932" s="9" t="s">
        <v>1812</v>
      </c>
      <c r="D932" s="10" t="s">
        <v>262</v>
      </c>
      <c r="E932" s="9">
        <v>1</v>
      </c>
      <c r="F932" s="9" t="str">
        <f>VLOOKUP(C932,[1]customers!$A$1:$I$1001, 2, FALSE)</f>
        <v>Kameko Philbrick</v>
      </c>
      <c r="G932" s="9" t="str">
        <f>VLOOKUP(orders!C932,[1]customers!$A$1:$I$1001, 3, FALSE)</f>
        <v>kphilbrickpu@cdc.gov</v>
      </c>
      <c r="H932" s="9" t="str">
        <f>VLOOKUP(C932, [1]customers!$A$1:$I$1001, 7, FALSE)</f>
        <v>United States</v>
      </c>
      <c r="I932" s="11" t="str">
        <f>VLOOKUP(orders!D932,[1]products!$A$1:$G$49, 2,FALSE)</f>
        <v>Exc</v>
      </c>
      <c r="J932" s="11" t="str">
        <f>VLOOKUP(orders!D932,[1]products!$A$1:$G$49, 3,FALSE)</f>
        <v>D</v>
      </c>
      <c r="K932" s="12">
        <f>VLOOKUP(orders!D932,[1]products!$A$1:$G$49, 4,FALSE)</f>
        <v>1</v>
      </c>
      <c r="L932" s="12">
        <f>VLOOKUP(orders!D932,[1]products!$A$1:$G$49, 5,FALSE)</f>
        <v>12.15</v>
      </c>
      <c r="M932" s="13">
        <f>PRODUCT(orders!$E932,orders!$L932)</f>
        <v>12.15</v>
      </c>
      <c r="N932" s="11" t="str">
        <f t="shared" si="28"/>
        <v>March</v>
      </c>
      <c r="O932" s="11">
        <f t="shared" si="29"/>
        <v>2019</v>
      </c>
      <c r="P932" s="11" t="str">
        <f>TEXT(orders!$B932, "DDD")</f>
        <v>Fri</v>
      </c>
      <c r="Q932" s="11" t="str">
        <f>VLOOKUP(orders!C932,[1]customers!$A$1:$I$1001, 6,FALSE)</f>
        <v>Washington</v>
      </c>
    </row>
    <row r="933" spans="1:17" x14ac:dyDescent="0.3">
      <c r="A933" s="14" t="s">
        <v>1813</v>
      </c>
      <c r="B933" s="15">
        <v>44607</v>
      </c>
      <c r="C933" s="16" t="s">
        <v>1814</v>
      </c>
      <c r="D933" s="17" t="s">
        <v>89</v>
      </c>
      <c r="E933" s="16">
        <v>4</v>
      </c>
      <c r="F933" s="9" t="str">
        <f>VLOOKUP(C933,[1]customers!$A$1:$I$1001, 2, FALSE)</f>
        <v>Mallory Shrimpling</v>
      </c>
      <c r="G933" s="16">
        <f>VLOOKUP(orders!C933,[1]customers!$A$1:$I$1001, 3, FALSE)</f>
        <v>0</v>
      </c>
      <c r="H933" s="16" t="str">
        <f>VLOOKUP(C933, [1]customers!$A$1:$I$1001, 7, FALSE)</f>
        <v>United States</v>
      </c>
      <c r="I933" s="18" t="str">
        <f>VLOOKUP(orders!D933,[1]products!$A$1:$G$49, 2,FALSE)</f>
        <v>Ara</v>
      </c>
      <c r="J933" s="18" t="str">
        <f>VLOOKUP(orders!D933,[1]products!$A$1:$G$49, 3,FALSE)</f>
        <v>D</v>
      </c>
      <c r="K933" s="19">
        <f>VLOOKUP(orders!D933,[1]products!$A$1:$G$49, 4,FALSE)</f>
        <v>0.5</v>
      </c>
      <c r="L933" s="19">
        <f>VLOOKUP(orders!D933,[1]products!$A$1:$G$49, 5,FALSE)</f>
        <v>5.97</v>
      </c>
      <c r="M933" s="13">
        <f>PRODUCT(orders!$E933,orders!$L933)</f>
        <v>23.88</v>
      </c>
      <c r="N933" s="18" t="str">
        <f t="shared" si="28"/>
        <v>February</v>
      </c>
      <c r="O933" s="18">
        <f t="shared" si="29"/>
        <v>2022</v>
      </c>
      <c r="P933" s="11" t="str">
        <f>TEXT(orders!$B933, "DDD")</f>
        <v>Tue</v>
      </c>
      <c r="Q933" s="11" t="str">
        <f>VLOOKUP(orders!C933,[1]customers!$A$1:$I$1001, 6,FALSE)</f>
        <v>Allentown</v>
      </c>
    </row>
    <row r="934" spans="1:17" x14ac:dyDescent="0.3">
      <c r="A934" s="7" t="s">
        <v>1815</v>
      </c>
      <c r="B934" s="8">
        <v>44117</v>
      </c>
      <c r="C934" s="9" t="s">
        <v>1816</v>
      </c>
      <c r="D934" s="10" t="s">
        <v>26</v>
      </c>
      <c r="E934" s="9">
        <v>4</v>
      </c>
      <c r="F934" s="9" t="str">
        <f>VLOOKUP(C934,[1]customers!$A$1:$I$1001, 2, FALSE)</f>
        <v>Barnett Sillis</v>
      </c>
      <c r="G934" s="9" t="str">
        <f>VLOOKUP(orders!C934,[1]customers!$A$1:$I$1001, 3, FALSE)</f>
        <v>bsillispw@istockphoto.com</v>
      </c>
      <c r="H934" s="9" t="str">
        <f>VLOOKUP(C934, [1]customers!$A$1:$I$1001, 7, FALSE)</f>
        <v>United States</v>
      </c>
      <c r="I934" s="11" t="str">
        <f>VLOOKUP(orders!D934,[1]products!$A$1:$G$49, 2,FALSE)</f>
        <v>Exc</v>
      </c>
      <c r="J934" s="11" t="str">
        <f>VLOOKUP(orders!D934,[1]products!$A$1:$G$49, 3,FALSE)</f>
        <v>M</v>
      </c>
      <c r="K934" s="12">
        <f>VLOOKUP(orders!D934,[1]products!$A$1:$G$49, 4,FALSE)</f>
        <v>1</v>
      </c>
      <c r="L934" s="12">
        <f>VLOOKUP(orders!D934,[1]products!$A$1:$G$49, 5,FALSE)</f>
        <v>13.75</v>
      </c>
      <c r="M934" s="13">
        <f>PRODUCT(orders!$E934,orders!$L934)</f>
        <v>55</v>
      </c>
      <c r="N934" s="11" t="str">
        <f t="shared" si="28"/>
        <v>October</v>
      </c>
      <c r="O934" s="11">
        <f t="shared" si="29"/>
        <v>2020</v>
      </c>
      <c r="P934" s="11" t="str">
        <f>TEXT(orders!$B934, "DDD")</f>
        <v>Tue</v>
      </c>
      <c r="Q934" s="11" t="str">
        <f>VLOOKUP(orders!C934,[1]customers!$A$1:$I$1001, 6,FALSE)</f>
        <v>Miami</v>
      </c>
    </row>
    <row r="935" spans="1:17" x14ac:dyDescent="0.3">
      <c r="A935" s="14" t="s">
        <v>1817</v>
      </c>
      <c r="B935" s="15">
        <v>44557</v>
      </c>
      <c r="C935" s="16" t="s">
        <v>1818</v>
      </c>
      <c r="D935" s="17" t="s">
        <v>196</v>
      </c>
      <c r="E935" s="16">
        <v>3</v>
      </c>
      <c r="F935" s="9" t="str">
        <f>VLOOKUP(C935,[1]customers!$A$1:$I$1001, 2, FALSE)</f>
        <v>Brenn Dundredge</v>
      </c>
      <c r="G935" s="16">
        <f>VLOOKUP(orders!C935,[1]customers!$A$1:$I$1001, 3, FALSE)</f>
        <v>0</v>
      </c>
      <c r="H935" s="16" t="str">
        <f>VLOOKUP(C935, [1]customers!$A$1:$I$1001, 7, FALSE)</f>
        <v>United States</v>
      </c>
      <c r="I935" s="18" t="str">
        <f>VLOOKUP(orders!D935,[1]products!$A$1:$G$49, 2,FALSE)</f>
        <v>Rob</v>
      </c>
      <c r="J935" s="18" t="str">
        <f>VLOOKUP(orders!D935,[1]products!$A$1:$G$49, 3,FALSE)</f>
        <v>D</v>
      </c>
      <c r="K935" s="19">
        <f>VLOOKUP(orders!D935,[1]products!$A$1:$G$49, 4,FALSE)</f>
        <v>1</v>
      </c>
      <c r="L935" s="19">
        <f>VLOOKUP(orders!D935,[1]products!$A$1:$G$49, 5,FALSE)</f>
        <v>8.9499999999999993</v>
      </c>
      <c r="M935" s="13">
        <f>PRODUCT(orders!$E935,orders!$L935)</f>
        <v>26.849999999999998</v>
      </c>
      <c r="N935" s="18" t="str">
        <f t="shared" si="28"/>
        <v>December</v>
      </c>
      <c r="O935" s="18">
        <f t="shared" si="29"/>
        <v>2021</v>
      </c>
      <c r="P935" s="11" t="str">
        <f>TEXT(orders!$B935, "DDD")</f>
        <v>Mon</v>
      </c>
      <c r="Q935" s="11" t="str">
        <f>VLOOKUP(orders!C935,[1]customers!$A$1:$I$1001, 6,FALSE)</f>
        <v>Oklahoma City</v>
      </c>
    </row>
    <row r="936" spans="1:17" x14ac:dyDescent="0.3">
      <c r="A936" s="7" t="s">
        <v>1819</v>
      </c>
      <c r="B936" s="8">
        <v>44409</v>
      </c>
      <c r="C936" s="9" t="s">
        <v>1820</v>
      </c>
      <c r="D936" s="10" t="s">
        <v>58</v>
      </c>
      <c r="E936" s="9">
        <v>5</v>
      </c>
      <c r="F936" s="9" t="str">
        <f>VLOOKUP(C936,[1]customers!$A$1:$I$1001, 2, FALSE)</f>
        <v>Read Cutts</v>
      </c>
      <c r="G936" s="9" t="str">
        <f>VLOOKUP(orders!C936,[1]customers!$A$1:$I$1001, 3, FALSE)</f>
        <v>rcuttspy@techcrunch.com</v>
      </c>
      <c r="H936" s="9" t="str">
        <f>VLOOKUP(C936, [1]customers!$A$1:$I$1001, 7, FALSE)</f>
        <v>United States</v>
      </c>
      <c r="I936" s="11" t="str">
        <f>VLOOKUP(orders!D936,[1]products!$A$1:$G$49, 2,FALSE)</f>
        <v>Rob</v>
      </c>
      <c r="J936" s="11" t="str">
        <f>VLOOKUP(orders!D936,[1]products!$A$1:$G$49, 3,FALSE)</f>
        <v>M</v>
      </c>
      <c r="K936" s="12">
        <f>VLOOKUP(orders!D936,[1]products!$A$1:$G$49, 4,FALSE)</f>
        <v>2.5</v>
      </c>
      <c r="L936" s="12">
        <f>VLOOKUP(orders!D936,[1]products!$A$1:$G$49, 5,FALSE)</f>
        <v>22.884999999999998</v>
      </c>
      <c r="M936" s="13">
        <f>PRODUCT(orders!$E936,orders!$L936)</f>
        <v>114.42499999999998</v>
      </c>
      <c r="N936" s="11" t="str">
        <f t="shared" si="28"/>
        <v>August</v>
      </c>
      <c r="O936" s="11">
        <f t="shared" si="29"/>
        <v>2021</v>
      </c>
      <c r="P936" s="11" t="str">
        <f>TEXT(orders!$B936, "DDD")</f>
        <v>Sun</v>
      </c>
      <c r="Q936" s="11" t="str">
        <f>VLOOKUP(orders!C936,[1]customers!$A$1:$I$1001, 6,FALSE)</f>
        <v>Rockford</v>
      </c>
    </row>
    <row r="937" spans="1:17" x14ac:dyDescent="0.3">
      <c r="A937" s="14" t="s">
        <v>1821</v>
      </c>
      <c r="B937" s="15">
        <v>44153</v>
      </c>
      <c r="C937" s="16" t="s">
        <v>1822</v>
      </c>
      <c r="D937" s="17" t="s">
        <v>188</v>
      </c>
      <c r="E937" s="16">
        <v>6</v>
      </c>
      <c r="F937" s="9" t="str">
        <f>VLOOKUP(C937,[1]customers!$A$1:$I$1001, 2, FALSE)</f>
        <v>Michale Delves</v>
      </c>
      <c r="G937" s="16" t="str">
        <f>VLOOKUP(orders!C937,[1]customers!$A$1:$I$1001, 3, FALSE)</f>
        <v>mdelvespz@nature.com</v>
      </c>
      <c r="H937" s="16" t="str">
        <f>VLOOKUP(C937, [1]customers!$A$1:$I$1001, 7, FALSE)</f>
        <v>United States</v>
      </c>
      <c r="I937" s="18" t="str">
        <f>VLOOKUP(orders!D937,[1]products!$A$1:$G$49, 2,FALSE)</f>
        <v>Ara</v>
      </c>
      <c r="J937" s="18" t="str">
        <f>VLOOKUP(orders!D937,[1]products!$A$1:$G$49, 3,FALSE)</f>
        <v>M</v>
      </c>
      <c r="K937" s="19">
        <f>VLOOKUP(orders!D937,[1]products!$A$1:$G$49, 4,FALSE)</f>
        <v>2.5</v>
      </c>
      <c r="L937" s="19">
        <f>VLOOKUP(orders!D937,[1]products!$A$1:$G$49, 5,FALSE)</f>
        <v>25.874999999999996</v>
      </c>
      <c r="M937" s="13">
        <f>PRODUCT(orders!$E937,orders!$L937)</f>
        <v>155.24999999999997</v>
      </c>
      <c r="N937" s="18" t="str">
        <f t="shared" si="28"/>
        <v>November</v>
      </c>
      <c r="O937" s="18">
        <f t="shared" si="29"/>
        <v>2020</v>
      </c>
      <c r="P937" s="11" t="str">
        <f>TEXT(orders!$B937, "DDD")</f>
        <v>Wed</v>
      </c>
      <c r="Q937" s="11" t="str">
        <f>VLOOKUP(orders!C937,[1]customers!$A$1:$I$1001, 6,FALSE)</f>
        <v>Montgomery</v>
      </c>
    </row>
    <row r="938" spans="1:17" x14ac:dyDescent="0.3">
      <c r="A938" s="7" t="s">
        <v>1823</v>
      </c>
      <c r="B938" s="8">
        <v>44493</v>
      </c>
      <c r="C938" s="9" t="s">
        <v>1824</v>
      </c>
      <c r="D938" s="10" t="s">
        <v>140</v>
      </c>
      <c r="E938" s="9">
        <v>3</v>
      </c>
      <c r="F938" s="9" t="str">
        <f>VLOOKUP(C938,[1]customers!$A$1:$I$1001, 2, FALSE)</f>
        <v>Devland Gritton</v>
      </c>
      <c r="G938" s="9" t="str">
        <f>VLOOKUP(orders!C938,[1]customers!$A$1:$I$1001, 3, FALSE)</f>
        <v>dgrittonq0@nydailynews.com</v>
      </c>
      <c r="H938" s="9" t="str">
        <f>VLOOKUP(C938, [1]customers!$A$1:$I$1001, 7, FALSE)</f>
        <v>United States</v>
      </c>
      <c r="I938" s="11" t="str">
        <f>VLOOKUP(orders!D938,[1]products!$A$1:$G$49, 2,FALSE)</f>
        <v>Lib</v>
      </c>
      <c r="J938" s="11" t="str">
        <f>VLOOKUP(orders!D938,[1]products!$A$1:$G$49, 3,FALSE)</f>
        <v>D</v>
      </c>
      <c r="K938" s="12">
        <f>VLOOKUP(orders!D938,[1]products!$A$1:$G$49, 4,FALSE)</f>
        <v>0.5</v>
      </c>
      <c r="L938" s="12">
        <f>VLOOKUP(orders!D938,[1]products!$A$1:$G$49, 5,FALSE)</f>
        <v>7.77</v>
      </c>
      <c r="M938" s="13">
        <f>PRODUCT(orders!$E938,orders!$L938)</f>
        <v>23.31</v>
      </c>
      <c r="N938" s="11" t="str">
        <f t="shared" si="28"/>
        <v>October</v>
      </c>
      <c r="O938" s="11">
        <f t="shared" si="29"/>
        <v>2021</v>
      </c>
      <c r="P938" s="11" t="str">
        <f>TEXT(orders!$B938, "DDD")</f>
        <v>Sun</v>
      </c>
      <c r="Q938" s="11" t="str">
        <f>VLOOKUP(orders!C938,[1]customers!$A$1:$I$1001, 6,FALSE)</f>
        <v>Pasadena</v>
      </c>
    </row>
    <row r="939" spans="1:17" x14ac:dyDescent="0.3">
      <c r="A939" s="14" t="s">
        <v>1823</v>
      </c>
      <c r="B939" s="15">
        <v>44493</v>
      </c>
      <c r="C939" s="16" t="s">
        <v>1824</v>
      </c>
      <c r="D939" s="17" t="s">
        <v>58</v>
      </c>
      <c r="E939" s="16">
        <v>4</v>
      </c>
      <c r="F939" s="9" t="str">
        <f>VLOOKUP(C939,[1]customers!$A$1:$I$1001, 2, FALSE)</f>
        <v>Devland Gritton</v>
      </c>
      <c r="G939" s="16" t="str">
        <f>VLOOKUP(orders!C939,[1]customers!$A$1:$I$1001, 3, FALSE)</f>
        <v>dgrittonq0@nydailynews.com</v>
      </c>
      <c r="H939" s="16" t="str">
        <f>VLOOKUP(C939, [1]customers!$A$1:$I$1001, 7, FALSE)</f>
        <v>United States</v>
      </c>
      <c r="I939" s="18" t="str">
        <f>VLOOKUP(orders!D939,[1]products!$A$1:$G$49, 2,FALSE)</f>
        <v>Rob</v>
      </c>
      <c r="J939" s="18" t="str">
        <f>VLOOKUP(orders!D939,[1]products!$A$1:$G$49, 3,FALSE)</f>
        <v>M</v>
      </c>
      <c r="K939" s="19">
        <f>VLOOKUP(orders!D939,[1]products!$A$1:$G$49, 4,FALSE)</f>
        <v>2.5</v>
      </c>
      <c r="L939" s="19">
        <f>VLOOKUP(orders!D939,[1]products!$A$1:$G$49, 5,FALSE)</f>
        <v>22.884999999999998</v>
      </c>
      <c r="M939" s="13">
        <f>PRODUCT(orders!$E939,orders!$L939)</f>
        <v>91.539999999999992</v>
      </c>
      <c r="N939" s="18" t="str">
        <f t="shared" si="28"/>
        <v>October</v>
      </c>
      <c r="O939" s="18">
        <f t="shared" si="29"/>
        <v>2021</v>
      </c>
      <c r="P939" s="11" t="str">
        <f>TEXT(orders!$B939, "DDD")</f>
        <v>Sun</v>
      </c>
      <c r="Q939" s="11" t="str">
        <f>VLOOKUP(orders!C939,[1]customers!$A$1:$I$1001, 6,FALSE)</f>
        <v>Pasadena</v>
      </c>
    </row>
    <row r="940" spans="1:17" x14ac:dyDescent="0.3">
      <c r="A940" s="7" t="s">
        <v>1825</v>
      </c>
      <c r="B940" s="8">
        <v>43829</v>
      </c>
      <c r="C940" s="9" t="s">
        <v>1826</v>
      </c>
      <c r="D940" s="10" t="s">
        <v>154</v>
      </c>
      <c r="E940" s="9">
        <v>5</v>
      </c>
      <c r="F940" s="9" t="str">
        <f>VLOOKUP(C940,[1]customers!$A$1:$I$1001, 2, FALSE)</f>
        <v>Dell Gut</v>
      </c>
      <c r="G940" s="9" t="str">
        <f>VLOOKUP(orders!C940,[1]customers!$A$1:$I$1001, 3, FALSE)</f>
        <v>dgutq2@umich.edu</v>
      </c>
      <c r="H940" s="9" t="str">
        <f>VLOOKUP(C940, [1]customers!$A$1:$I$1001, 7, FALSE)</f>
        <v>United States</v>
      </c>
      <c r="I940" s="11" t="str">
        <f>VLOOKUP(orders!D940,[1]products!$A$1:$G$49, 2,FALSE)</f>
        <v>Exc</v>
      </c>
      <c r="J940" s="11" t="str">
        <f>VLOOKUP(orders!D940,[1]products!$A$1:$G$49, 3,FALSE)</f>
        <v>L</v>
      </c>
      <c r="K940" s="12">
        <f>VLOOKUP(orders!D940,[1]products!$A$1:$G$49, 4,FALSE)</f>
        <v>1</v>
      </c>
      <c r="L940" s="12">
        <f>VLOOKUP(orders!D940,[1]products!$A$1:$G$49, 5,FALSE)</f>
        <v>14.85</v>
      </c>
      <c r="M940" s="13">
        <f>PRODUCT(orders!$E940,orders!$L940)</f>
        <v>74.25</v>
      </c>
      <c r="N940" s="11" t="str">
        <f t="shared" si="28"/>
        <v>December</v>
      </c>
      <c r="O940" s="11">
        <f t="shared" si="29"/>
        <v>2019</v>
      </c>
      <c r="P940" s="11" t="str">
        <f>TEXT(orders!$B940, "DDD")</f>
        <v>Mon</v>
      </c>
      <c r="Q940" s="11" t="str">
        <f>VLOOKUP(orders!C940,[1]customers!$A$1:$I$1001, 6,FALSE)</f>
        <v>Houston</v>
      </c>
    </row>
    <row r="941" spans="1:17" x14ac:dyDescent="0.3">
      <c r="A941" s="14" t="s">
        <v>1827</v>
      </c>
      <c r="B941" s="15">
        <v>44229</v>
      </c>
      <c r="C941" s="16" t="s">
        <v>1828</v>
      </c>
      <c r="D941" s="17" t="s">
        <v>36</v>
      </c>
      <c r="E941" s="16">
        <v>6</v>
      </c>
      <c r="F941" s="9" t="str">
        <f>VLOOKUP(C941,[1]customers!$A$1:$I$1001, 2, FALSE)</f>
        <v>Willy Pummery</v>
      </c>
      <c r="G941" s="16" t="str">
        <f>VLOOKUP(orders!C941,[1]customers!$A$1:$I$1001, 3, FALSE)</f>
        <v>wpummeryq3@topsy.com</v>
      </c>
      <c r="H941" s="16" t="str">
        <f>VLOOKUP(C941, [1]customers!$A$1:$I$1001, 7, FALSE)</f>
        <v>United States</v>
      </c>
      <c r="I941" s="18" t="str">
        <f>VLOOKUP(orders!D941,[1]products!$A$1:$G$49, 2,FALSE)</f>
        <v>Lib</v>
      </c>
      <c r="J941" s="18" t="str">
        <f>VLOOKUP(orders!D941,[1]products!$A$1:$G$49, 3,FALSE)</f>
        <v>L</v>
      </c>
      <c r="K941" s="19">
        <f>VLOOKUP(orders!D941,[1]products!$A$1:$G$49, 4,FALSE)</f>
        <v>0.2</v>
      </c>
      <c r="L941" s="19">
        <f>VLOOKUP(orders!D941,[1]products!$A$1:$G$49, 5,FALSE)</f>
        <v>4.7549999999999999</v>
      </c>
      <c r="M941" s="13">
        <f>PRODUCT(orders!$E941,orders!$L941)</f>
        <v>28.53</v>
      </c>
      <c r="N941" s="18" t="str">
        <f t="shared" si="28"/>
        <v>February</v>
      </c>
      <c r="O941" s="18">
        <f t="shared" si="29"/>
        <v>2021</v>
      </c>
      <c r="P941" s="11" t="str">
        <f>TEXT(orders!$B941, "DDD")</f>
        <v>Tue</v>
      </c>
      <c r="Q941" s="11" t="str">
        <f>VLOOKUP(orders!C941,[1]customers!$A$1:$I$1001, 6,FALSE)</f>
        <v>Muskegon</v>
      </c>
    </row>
    <row r="942" spans="1:17" x14ac:dyDescent="0.3">
      <c r="A942" s="7" t="s">
        <v>1829</v>
      </c>
      <c r="B942" s="8">
        <v>44332</v>
      </c>
      <c r="C942" s="9" t="s">
        <v>1830</v>
      </c>
      <c r="D942" s="10" t="s">
        <v>174</v>
      </c>
      <c r="E942" s="9">
        <v>2</v>
      </c>
      <c r="F942" s="9" t="str">
        <f>VLOOKUP(C942,[1]customers!$A$1:$I$1001, 2, FALSE)</f>
        <v>Geoffrey Siuda</v>
      </c>
      <c r="G942" s="9" t="str">
        <f>VLOOKUP(orders!C942,[1]customers!$A$1:$I$1001, 3, FALSE)</f>
        <v>gsiudaq4@nytimes.com</v>
      </c>
      <c r="H942" s="9" t="str">
        <f>VLOOKUP(C942, [1]customers!$A$1:$I$1001, 7, FALSE)</f>
        <v>United States</v>
      </c>
      <c r="I942" s="11" t="str">
        <f>VLOOKUP(orders!D942,[1]products!$A$1:$G$49, 2,FALSE)</f>
        <v>Rob</v>
      </c>
      <c r="J942" s="11" t="str">
        <f>VLOOKUP(orders!D942,[1]products!$A$1:$G$49, 3,FALSE)</f>
        <v>L</v>
      </c>
      <c r="K942" s="12">
        <f>VLOOKUP(orders!D942,[1]products!$A$1:$G$49, 4,FALSE)</f>
        <v>0.5</v>
      </c>
      <c r="L942" s="12">
        <f>VLOOKUP(orders!D942,[1]products!$A$1:$G$49, 5,FALSE)</f>
        <v>7.169999999999999</v>
      </c>
      <c r="M942" s="13">
        <f>PRODUCT(orders!$E942,orders!$L942)</f>
        <v>14.339999999999998</v>
      </c>
      <c r="N942" s="11" t="str">
        <f t="shared" si="28"/>
        <v>May</v>
      </c>
      <c r="O942" s="11">
        <f t="shared" si="29"/>
        <v>2021</v>
      </c>
      <c r="P942" s="11" t="str">
        <f>TEXT(orders!$B942, "DDD")</f>
        <v>Sun</v>
      </c>
      <c r="Q942" s="11" t="str">
        <f>VLOOKUP(orders!C942,[1]customers!$A$1:$I$1001, 6,FALSE)</f>
        <v>Washington</v>
      </c>
    </row>
    <row r="943" spans="1:17" x14ac:dyDescent="0.3">
      <c r="A943" s="14" t="s">
        <v>1831</v>
      </c>
      <c r="B943" s="15">
        <v>44674</v>
      </c>
      <c r="C943" s="16" t="s">
        <v>1832</v>
      </c>
      <c r="D943" s="17" t="s">
        <v>209</v>
      </c>
      <c r="E943" s="16">
        <v>2</v>
      </c>
      <c r="F943" s="9" t="str">
        <f>VLOOKUP(C943,[1]customers!$A$1:$I$1001, 2, FALSE)</f>
        <v>Henderson Crowne</v>
      </c>
      <c r="G943" s="16" t="str">
        <f>VLOOKUP(orders!C943,[1]customers!$A$1:$I$1001, 3, FALSE)</f>
        <v>hcrowneq5@wufoo.com</v>
      </c>
      <c r="H943" s="16" t="str">
        <f>VLOOKUP(C943, [1]customers!$A$1:$I$1001, 7, FALSE)</f>
        <v>Ireland</v>
      </c>
      <c r="I943" s="18" t="str">
        <f>VLOOKUP(orders!D943,[1]products!$A$1:$G$49, 2,FALSE)</f>
        <v>Ara</v>
      </c>
      <c r="J943" s="18" t="str">
        <f>VLOOKUP(orders!D943,[1]products!$A$1:$G$49, 3,FALSE)</f>
        <v>L</v>
      </c>
      <c r="K943" s="19">
        <f>VLOOKUP(orders!D943,[1]products!$A$1:$G$49, 4,FALSE)</f>
        <v>0.5</v>
      </c>
      <c r="L943" s="19">
        <f>VLOOKUP(orders!D943,[1]products!$A$1:$G$49, 5,FALSE)</f>
        <v>7.77</v>
      </c>
      <c r="M943" s="13">
        <f>PRODUCT(orders!$E943,orders!$L943)</f>
        <v>15.54</v>
      </c>
      <c r="N943" s="18" t="str">
        <f t="shared" si="28"/>
        <v>April</v>
      </c>
      <c r="O943" s="18">
        <f t="shared" si="29"/>
        <v>2022</v>
      </c>
      <c r="P943" s="11" t="str">
        <f>TEXT(orders!$B943, "DDD")</f>
        <v>Sat</v>
      </c>
      <c r="Q943" s="11" t="str">
        <f>VLOOKUP(orders!C943,[1]customers!$A$1:$I$1001, 6,FALSE)</f>
        <v>Sallins</v>
      </c>
    </row>
    <row r="944" spans="1:17" x14ac:dyDescent="0.3">
      <c r="A944" s="7" t="s">
        <v>1833</v>
      </c>
      <c r="B944" s="8">
        <v>44464</v>
      </c>
      <c r="C944" s="9" t="s">
        <v>1834</v>
      </c>
      <c r="D944" s="10" t="s">
        <v>206</v>
      </c>
      <c r="E944" s="9">
        <v>3</v>
      </c>
      <c r="F944" s="9" t="str">
        <f>VLOOKUP(C944,[1]customers!$A$1:$I$1001, 2, FALSE)</f>
        <v>Vernor Pawsey</v>
      </c>
      <c r="G944" s="9" t="str">
        <f>VLOOKUP(orders!C944,[1]customers!$A$1:$I$1001, 3, FALSE)</f>
        <v>vpawseyq6@tiny.cc</v>
      </c>
      <c r="H944" s="9" t="str">
        <f>VLOOKUP(C944, [1]customers!$A$1:$I$1001, 7, FALSE)</f>
        <v>United States</v>
      </c>
      <c r="I944" s="11" t="str">
        <f>VLOOKUP(orders!D944,[1]products!$A$1:$G$49, 2,FALSE)</f>
        <v>Rob</v>
      </c>
      <c r="J944" s="11" t="str">
        <f>VLOOKUP(orders!D944,[1]products!$A$1:$G$49, 3,FALSE)</f>
        <v>L</v>
      </c>
      <c r="K944" s="12">
        <f>VLOOKUP(orders!D944,[1]products!$A$1:$G$49, 4,FALSE)</f>
        <v>1</v>
      </c>
      <c r="L944" s="12">
        <f>VLOOKUP(orders!D944,[1]products!$A$1:$G$49, 5,FALSE)</f>
        <v>11.95</v>
      </c>
      <c r="M944" s="13">
        <f>PRODUCT(orders!$E944,orders!$L944)</f>
        <v>35.849999999999994</v>
      </c>
      <c r="N944" s="11" t="str">
        <f t="shared" si="28"/>
        <v>September</v>
      </c>
      <c r="O944" s="11">
        <f t="shared" si="29"/>
        <v>2021</v>
      </c>
      <c r="P944" s="11" t="str">
        <f>TEXT(orders!$B944, "DDD")</f>
        <v>Sat</v>
      </c>
      <c r="Q944" s="11" t="str">
        <f>VLOOKUP(orders!C944,[1]customers!$A$1:$I$1001, 6,FALSE)</f>
        <v>Macon</v>
      </c>
    </row>
    <row r="945" spans="1:17" x14ac:dyDescent="0.3">
      <c r="A945" s="14" t="s">
        <v>1835</v>
      </c>
      <c r="B945" s="15">
        <v>44719</v>
      </c>
      <c r="C945" s="16" t="s">
        <v>1836</v>
      </c>
      <c r="D945" s="17" t="s">
        <v>209</v>
      </c>
      <c r="E945" s="16">
        <v>6</v>
      </c>
      <c r="F945" s="9" t="str">
        <f>VLOOKUP(C945,[1]customers!$A$1:$I$1001, 2, FALSE)</f>
        <v>Augustin Waterhouse</v>
      </c>
      <c r="G945" s="16" t="str">
        <f>VLOOKUP(orders!C945,[1]customers!$A$1:$I$1001, 3, FALSE)</f>
        <v>awaterhouseq7@istockphoto.com</v>
      </c>
      <c r="H945" s="16" t="str">
        <f>VLOOKUP(C945, [1]customers!$A$1:$I$1001, 7, FALSE)</f>
        <v>United States</v>
      </c>
      <c r="I945" s="18" t="str">
        <f>VLOOKUP(orders!D945,[1]products!$A$1:$G$49, 2,FALSE)</f>
        <v>Ara</v>
      </c>
      <c r="J945" s="18" t="str">
        <f>VLOOKUP(orders!D945,[1]products!$A$1:$G$49, 3,FALSE)</f>
        <v>L</v>
      </c>
      <c r="K945" s="19">
        <f>VLOOKUP(orders!D945,[1]products!$A$1:$G$49, 4,FALSE)</f>
        <v>0.5</v>
      </c>
      <c r="L945" s="19">
        <f>VLOOKUP(orders!D945,[1]products!$A$1:$G$49, 5,FALSE)</f>
        <v>7.77</v>
      </c>
      <c r="M945" s="13">
        <f>PRODUCT(orders!$E945,orders!$L945)</f>
        <v>46.62</v>
      </c>
      <c r="N945" s="18" t="str">
        <f t="shared" si="28"/>
        <v>June</v>
      </c>
      <c r="O945" s="18">
        <f t="shared" si="29"/>
        <v>2022</v>
      </c>
      <c r="P945" s="11" t="str">
        <f>TEXT(orders!$B945, "DDD")</f>
        <v>Tue</v>
      </c>
      <c r="Q945" s="11" t="str">
        <f>VLOOKUP(orders!C945,[1]customers!$A$1:$I$1001, 6,FALSE)</f>
        <v>Shreveport</v>
      </c>
    </row>
    <row r="946" spans="1:17" x14ac:dyDescent="0.3">
      <c r="A946" s="7" t="s">
        <v>1837</v>
      </c>
      <c r="B946" s="8">
        <v>44054</v>
      </c>
      <c r="C946" s="9" t="s">
        <v>1838</v>
      </c>
      <c r="D946" s="10" t="s">
        <v>174</v>
      </c>
      <c r="E946" s="9">
        <v>5</v>
      </c>
      <c r="F946" s="9" t="str">
        <f>VLOOKUP(C946,[1]customers!$A$1:$I$1001, 2, FALSE)</f>
        <v>Fanchon Haughian</v>
      </c>
      <c r="G946" s="9" t="str">
        <f>VLOOKUP(orders!C946,[1]customers!$A$1:$I$1001, 3, FALSE)</f>
        <v>fhaughianq8@1688.com</v>
      </c>
      <c r="H946" s="9" t="str">
        <f>VLOOKUP(C946, [1]customers!$A$1:$I$1001, 7, FALSE)</f>
        <v>United States</v>
      </c>
      <c r="I946" s="11" t="str">
        <f>VLOOKUP(orders!D946,[1]products!$A$1:$G$49, 2,FALSE)</f>
        <v>Rob</v>
      </c>
      <c r="J946" s="11" t="str">
        <f>VLOOKUP(orders!D946,[1]products!$A$1:$G$49, 3,FALSE)</f>
        <v>L</v>
      </c>
      <c r="K946" s="12">
        <f>VLOOKUP(orders!D946,[1]products!$A$1:$G$49, 4,FALSE)</f>
        <v>0.5</v>
      </c>
      <c r="L946" s="12">
        <f>VLOOKUP(orders!D946,[1]products!$A$1:$G$49, 5,FALSE)</f>
        <v>7.169999999999999</v>
      </c>
      <c r="M946" s="13">
        <f>PRODUCT(orders!$E946,orders!$L946)</f>
        <v>35.849999999999994</v>
      </c>
      <c r="N946" s="11" t="str">
        <f t="shared" si="28"/>
        <v>August</v>
      </c>
      <c r="O946" s="11">
        <f t="shared" si="29"/>
        <v>2020</v>
      </c>
      <c r="P946" s="11" t="str">
        <f>TEXT(orders!$B946, "DDD")</f>
        <v>Tue</v>
      </c>
      <c r="Q946" s="11" t="str">
        <f>VLOOKUP(orders!C946,[1]customers!$A$1:$I$1001, 6,FALSE)</f>
        <v>Tacoma</v>
      </c>
    </row>
    <row r="947" spans="1:17" x14ac:dyDescent="0.3">
      <c r="A947" s="14" t="s">
        <v>1839</v>
      </c>
      <c r="B947" s="15">
        <v>43524</v>
      </c>
      <c r="C947" s="16" t="s">
        <v>1840</v>
      </c>
      <c r="D947" s="17" t="s">
        <v>126</v>
      </c>
      <c r="E947" s="16">
        <v>4</v>
      </c>
      <c r="F947" s="9" t="str">
        <f>VLOOKUP(C947,[1]customers!$A$1:$I$1001, 2, FALSE)</f>
        <v>Jaimie Hatz</v>
      </c>
      <c r="G947" s="16">
        <f>VLOOKUP(orders!C947,[1]customers!$A$1:$I$1001, 3, FALSE)</f>
        <v>0</v>
      </c>
      <c r="H947" s="16" t="str">
        <f>VLOOKUP(C947, [1]customers!$A$1:$I$1001, 7, FALSE)</f>
        <v>United States</v>
      </c>
      <c r="I947" s="18" t="str">
        <f>VLOOKUP(orders!D947,[1]products!$A$1:$G$49, 2,FALSE)</f>
        <v>Lib</v>
      </c>
      <c r="J947" s="18" t="str">
        <f>VLOOKUP(orders!D947,[1]products!$A$1:$G$49, 3,FALSE)</f>
        <v>D</v>
      </c>
      <c r="K947" s="19">
        <f>VLOOKUP(orders!D947,[1]products!$A$1:$G$49, 4,FALSE)</f>
        <v>2.5</v>
      </c>
      <c r="L947" s="19">
        <f>VLOOKUP(orders!D947,[1]products!$A$1:$G$49, 5,FALSE)</f>
        <v>29.784999999999997</v>
      </c>
      <c r="M947" s="13">
        <f>PRODUCT(orders!$E947,orders!$L947)</f>
        <v>119.13999999999999</v>
      </c>
      <c r="N947" s="18" t="str">
        <f t="shared" si="28"/>
        <v>February</v>
      </c>
      <c r="O947" s="18">
        <f t="shared" si="29"/>
        <v>2019</v>
      </c>
      <c r="P947" s="11" t="str">
        <f>TEXT(orders!$B947, "DDD")</f>
        <v>Thu</v>
      </c>
      <c r="Q947" s="11" t="str">
        <f>VLOOKUP(orders!C947,[1]customers!$A$1:$I$1001, 6,FALSE)</f>
        <v>El Paso</v>
      </c>
    </row>
    <row r="948" spans="1:17" x14ac:dyDescent="0.3">
      <c r="A948" s="7" t="s">
        <v>1841</v>
      </c>
      <c r="B948" s="8">
        <v>43719</v>
      </c>
      <c r="C948" s="9" t="s">
        <v>1842</v>
      </c>
      <c r="D948" s="10" t="s">
        <v>140</v>
      </c>
      <c r="E948" s="9">
        <v>3</v>
      </c>
      <c r="F948" s="9" t="str">
        <f>VLOOKUP(C948,[1]customers!$A$1:$I$1001, 2, FALSE)</f>
        <v>Edeline Edney</v>
      </c>
      <c r="G948" s="9">
        <f>VLOOKUP(orders!C948,[1]customers!$A$1:$I$1001, 3, FALSE)</f>
        <v>0</v>
      </c>
      <c r="H948" s="9" t="str">
        <f>VLOOKUP(C948, [1]customers!$A$1:$I$1001, 7, FALSE)</f>
        <v>United States</v>
      </c>
      <c r="I948" s="11" t="str">
        <f>VLOOKUP(orders!D948,[1]products!$A$1:$G$49, 2,FALSE)</f>
        <v>Lib</v>
      </c>
      <c r="J948" s="11" t="str">
        <f>VLOOKUP(orders!D948,[1]products!$A$1:$G$49, 3,FALSE)</f>
        <v>D</v>
      </c>
      <c r="K948" s="12">
        <f>VLOOKUP(orders!D948,[1]products!$A$1:$G$49, 4,FALSE)</f>
        <v>0.5</v>
      </c>
      <c r="L948" s="12">
        <f>VLOOKUP(orders!D948,[1]products!$A$1:$G$49, 5,FALSE)</f>
        <v>7.77</v>
      </c>
      <c r="M948" s="13">
        <f>PRODUCT(orders!$E948,orders!$L948)</f>
        <v>23.31</v>
      </c>
      <c r="N948" s="11" t="str">
        <f t="shared" si="28"/>
        <v>September</v>
      </c>
      <c r="O948" s="11">
        <f t="shared" si="29"/>
        <v>2019</v>
      </c>
      <c r="P948" s="11" t="str">
        <f>TEXT(orders!$B948, "DDD")</f>
        <v>Wed</v>
      </c>
      <c r="Q948" s="11" t="str">
        <f>VLOOKUP(orders!C948,[1]customers!$A$1:$I$1001, 6,FALSE)</f>
        <v>Birmingham</v>
      </c>
    </row>
    <row r="949" spans="1:17" x14ac:dyDescent="0.3">
      <c r="A949" s="14" t="s">
        <v>1843</v>
      </c>
      <c r="B949" s="15">
        <v>44294</v>
      </c>
      <c r="C949" s="16" t="s">
        <v>1844</v>
      </c>
      <c r="D949" s="17" t="s">
        <v>78</v>
      </c>
      <c r="E949" s="16">
        <v>1</v>
      </c>
      <c r="F949" s="9" t="str">
        <f>VLOOKUP(C949,[1]customers!$A$1:$I$1001, 2, FALSE)</f>
        <v>Rickie Faltin</v>
      </c>
      <c r="G949" s="16" t="str">
        <f>VLOOKUP(orders!C949,[1]customers!$A$1:$I$1001, 3, FALSE)</f>
        <v>rfaltinqb@topsy.com</v>
      </c>
      <c r="H949" s="16" t="str">
        <f>VLOOKUP(C949, [1]customers!$A$1:$I$1001, 7, FALSE)</f>
        <v>Ireland</v>
      </c>
      <c r="I949" s="18" t="str">
        <f>VLOOKUP(orders!D949,[1]products!$A$1:$G$49, 2,FALSE)</f>
        <v>Ara</v>
      </c>
      <c r="J949" s="18" t="str">
        <f>VLOOKUP(orders!D949,[1]products!$A$1:$G$49, 3,FALSE)</f>
        <v>M</v>
      </c>
      <c r="K949" s="19">
        <f>VLOOKUP(orders!D949,[1]products!$A$1:$G$49, 4,FALSE)</f>
        <v>1</v>
      </c>
      <c r="L949" s="19">
        <f>VLOOKUP(orders!D949,[1]products!$A$1:$G$49, 5,FALSE)</f>
        <v>11.25</v>
      </c>
      <c r="M949" s="13">
        <f>PRODUCT(orders!$E949,orders!$L949)</f>
        <v>11.25</v>
      </c>
      <c r="N949" s="18" t="str">
        <f t="shared" si="28"/>
        <v>April</v>
      </c>
      <c r="O949" s="18">
        <f t="shared" si="29"/>
        <v>2021</v>
      </c>
      <c r="P949" s="11" t="str">
        <f>TEXT(orders!$B949, "DDD")</f>
        <v>Thu</v>
      </c>
      <c r="Q949" s="11" t="str">
        <f>VLOOKUP(orders!C949,[1]customers!$A$1:$I$1001, 6,FALSE)</f>
        <v>Portumna</v>
      </c>
    </row>
    <row r="950" spans="1:17" x14ac:dyDescent="0.3">
      <c r="A950" s="7" t="s">
        <v>1845</v>
      </c>
      <c r="B950" s="8">
        <v>44445</v>
      </c>
      <c r="C950" s="9" t="s">
        <v>1846</v>
      </c>
      <c r="D950" s="10" t="s">
        <v>547</v>
      </c>
      <c r="E950" s="9">
        <v>3</v>
      </c>
      <c r="F950" s="9" t="str">
        <f>VLOOKUP(C950,[1]customers!$A$1:$I$1001, 2, FALSE)</f>
        <v>Gnni Cheeke</v>
      </c>
      <c r="G950" s="9" t="str">
        <f>VLOOKUP(orders!C950,[1]customers!$A$1:$I$1001, 3, FALSE)</f>
        <v>gcheekeqc@sitemeter.com</v>
      </c>
      <c r="H950" s="9" t="str">
        <f>VLOOKUP(C950, [1]customers!$A$1:$I$1001, 7, FALSE)</f>
        <v>United Kingdom</v>
      </c>
      <c r="I950" s="11" t="str">
        <f>VLOOKUP(orders!D950,[1]products!$A$1:$G$49, 2,FALSE)</f>
        <v>Exc</v>
      </c>
      <c r="J950" s="11" t="str">
        <f>VLOOKUP(orders!D950,[1]products!$A$1:$G$49, 3,FALSE)</f>
        <v>D</v>
      </c>
      <c r="K950" s="12">
        <f>VLOOKUP(orders!D950,[1]products!$A$1:$G$49, 4,FALSE)</f>
        <v>2.5</v>
      </c>
      <c r="L950" s="12">
        <f>VLOOKUP(orders!D950,[1]products!$A$1:$G$49, 5,FALSE)</f>
        <v>27.945</v>
      </c>
      <c r="M950" s="13">
        <f>PRODUCT(orders!$E950,orders!$L950)</f>
        <v>83.835000000000008</v>
      </c>
      <c r="N950" s="11" t="str">
        <f t="shared" si="28"/>
        <v>September</v>
      </c>
      <c r="O950" s="11">
        <f t="shared" si="29"/>
        <v>2021</v>
      </c>
      <c r="P950" s="11" t="str">
        <f>TEXT(orders!$B950, "DDD")</f>
        <v>Mon</v>
      </c>
      <c r="Q950" s="11" t="str">
        <f>VLOOKUP(orders!C950,[1]customers!$A$1:$I$1001, 6,FALSE)</f>
        <v>London</v>
      </c>
    </row>
    <row r="951" spans="1:17" x14ac:dyDescent="0.3">
      <c r="A951" s="14" t="s">
        <v>1847</v>
      </c>
      <c r="B951" s="15">
        <v>44449</v>
      </c>
      <c r="C951" s="16" t="s">
        <v>1848</v>
      </c>
      <c r="D951" s="17" t="s">
        <v>27</v>
      </c>
      <c r="E951" s="16">
        <v>4</v>
      </c>
      <c r="F951" s="9" t="str">
        <f>VLOOKUP(C951,[1]customers!$A$1:$I$1001, 2, FALSE)</f>
        <v>Gwenni Ratt</v>
      </c>
      <c r="G951" s="16" t="str">
        <f>VLOOKUP(orders!C951,[1]customers!$A$1:$I$1001, 3, FALSE)</f>
        <v>grattqd@phpbb.com</v>
      </c>
      <c r="H951" s="16" t="str">
        <f>VLOOKUP(C951, [1]customers!$A$1:$I$1001, 7, FALSE)</f>
        <v>Ireland</v>
      </c>
      <c r="I951" s="18" t="str">
        <f>VLOOKUP(orders!D951,[1]products!$A$1:$G$49, 2,FALSE)</f>
        <v>Rob</v>
      </c>
      <c r="J951" s="18" t="str">
        <f>VLOOKUP(orders!D951,[1]products!$A$1:$G$49, 3,FALSE)</f>
        <v>L</v>
      </c>
      <c r="K951" s="19">
        <f>VLOOKUP(orders!D951,[1]products!$A$1:$G$49, 4,FALSE)</f>
        <v>2.5</v>
      </c>
      <c r="L951" s="19">
        <f>VLOOKUP(orders!D951,[1]products!$A$1:$G$49, 5,FALSE)</f>
        <v>27.484999999999996</v>
      </c>
      <c r="M951" s="13">
        <f>PRODUCT(orders!$E951,orders!$L951)</f>
        <v>109.93999999999998</v>
      </c>
      <c r="N951" s="18" t="str">
        <f t="shared" si="28"/>
        <v>September</v>
      </c>
      <c r="O951" s="18">
        <f t="shared" si="29"/>
        <v>2021</v>
      </c>
      <c r="P951" s="11" t="str">
        <f>TEXT(orders!$B951, "DDD")</f>
        <v>Fri</v>
      </c>
      <c r="Q951" s="11" t="str">
        <f>VLOOKUP(orders!C951,[1]customers!$A$1:$I$1001, 6,FALSE)</f>
        <v>Castlemartyr</v>
      </c>
    </row>
    <row r="952" spans="1:17" x14ac:dyDescent="0.3">
      <c r="A952" s="7" t="s">
        <v>1849</v>
      </c>
      <c r="B952" s="8">
        <v>44703</v>
      </c>
      <c r="C952" s="9" t="s">
        <v>1850</v>
      </c>
      <c r="D952" s="10" t="s">
        <v>199</v>
      </c>
      <c r="E952" s="9">
        <v>4</v>
      </c>
      <c r="F952" s="9" t="str">
        <f>VLOOKUP(C952,[1]customers!$A$1:$I$1001, 2, FALSE)</f>
        <v>Johnath Fairebrother</v>
      </c>
      <c r="G952" s="9">
        <f>VLOOKUP(orders!C952,[1]customers!$A$1:$I$1001, 3, FALSE)</f>
        <v>0</v>
      </c>
      <c r="H952" s="9" t="str">
        <f>VLOOKUP(C952, [1]customers!$A$1:$I$1001, 7, FALSE)</f>
        <v>United States</v>
      </c>
      <c r="I952" s="11" t="str">
        <f>VLOOKUP(orders!D952,[1]products!$A$1:$G$49, 2,FALSE)</f>
        <v>Rob</v>
      </c>
      <c r="J952" s="11" t="str">
        <f>VLOOKUP(orders!D952,[1]products!$A$1:$G$49, 3,FALSE)</f>
        <v>L</v>
      </c>
      <c r="K952" s="12">
        <f>VLOOKUP(orders!D952,[1]products!$A$1:$G$49, 4,FALSE)</f>
        <v>0.2</v>
      </c>
      <c r="L952" s="12">
        <f>VLOOKUP(orders!D952,[1]products!$A$1:$G$49, 5,FALSE)</f>
        <v>3.5849999999999995</v>
      </c>
      <c r="M952" s="13">
        <f>PRODUCT(orders!$E952,orders!$L952)</f>
        <v>14.339999999999998</v>
      </c>
      <c r="N952" s="11" t="str">
        <f t="shared" si="28"/>
        <v>May</v>
      </c>
      <c r="O952" s="11">
        <f t="shared" si="29"/>
        <v>2022</v>
      </c>
      <c r="P952" s="11" t="str">
        <f>TEXT(orders!$B952, "DDD")</f>
        <v>Sun</v>
      </c>
      <c r="Q952" s="11" t="str">
        <f>VLOOKUP(orders!C952,[1]customers!$A$1:$I$1001, 6,FALSE)</f>
        <v>Wilmington</v>
      </c>
    </row>
    <row r="953" spans="1:17" x14ac:dyDescent="0.3">
      <c r="A953" s="14" t="s">
        <v>1851</v>
      </c>
      <c r="B953" s="15">
        <v>44092</v>
      </c>
      <c r="C953" s="16" t="s">
        <v>1852</v>
      </c>
      <c r="D953" s="17" t="s">
        <v>199</v>
      </c>
      <c r="E953" s="16">
        <v>6</v>
      </c>
      <c r="F953" s="9" t="str">
        <f>VLOOKUP(C953,[1]customers!$A$1:$I$1001, 2, FALSE)</f>
        <v>Ingamar Eberlein</v>
      </c>
      <c r="G953" s="16" t="str">
        <f>VLOOKUP(orders!C953,[1]customers!$A$1:$I$1001, 3, FALSE)</f>
        <v>ieberleinqf@hc360.com</v>
      </c>
      <c r="H953" s="16" t="str">
        <f>VLOOKUP(C953, [1]customers!$A$1:$I$1001, 7, FALSE)</f>
        <v>United States</v>
      </c>
      <c r="I953" s="18" t="str">
        <f>VLOOKUP(orders!D953,[1]products!$A$1:$G$49, 2,FALSE)</f>
        <v>Rob</v>
      </c>
      <c r="J953" s="18" t="str">
        <f>VLOOKUP(orders!D953,[1]products!$A$1:$G$49, 3,FALSE)</f>
        <v>L</v>
      </c>
      <c r="K953" s="19">
        <f>VLOOKUP(orders!D953,[1]products!$A$1:$G$49, 4,FALSE)</f>
        <v>0.2</v>
      </c>
      <c r="L953" s="19">
        <f>VLOOKUP(orders!D953,[1]products!$A$1:$G$49, 5,FALSE)</f>
        <v>3.5849999999999995</v>
      </c>
      <c r="M953" s="13">
        <f>PRODUCT(orders!$E953,orders!$L953)</f>
        <v>21.509999999999998</v>
      </c>
      <c r="N953" s="18" t="str">
        <f t="shared" si="28"/>
        <v>September</v>
      </c>
      <c r="O953" s="18">
        <f t="shared" si="29"/>
        <v>2020</v>
      </c>
      <c r="P953" s="11" t="str">
        <f>TEXT(orders!$B953, "DDD")</f>
        <v>Fri</v>
      </c>
      <c r="Q953" s="11" t="str">
        <f>VLOOKUP(orders!C953,[1]customers!$A$1:$I$1001, 6,FALSE)</f>
        <v>Harrisburg</v>
      </c>
    </row>
    <row r="954" spans="1:17" x14ac:dyDescent="0.3">
      <c r="A954" s="7" t="s">
        <v>1853</v>
      </c>
      <c r="B954" s="8">
        <v>44439</v>
      </c>
      <c r="C954" s="9" t="s">
        <v>1854</v>
      </c>
      <c r="D954" s="10" t="s">
        <v>78</v>
      </c>
      <c r="E954" s="9">
        <v>2</v>
      </c>
      <c r="F954" s="9" t="str">
        <f>VLOOKUP(C954,[1]customers!$A$1:$I$1001, 2, FALSE)</f>
        <v>Jilly Dreng</v>
      </c>
      <c r="G954" s="9" t="str">
        <f>VLOOKUP(orders!C954,[1]customers!$A$1:$I$1001, 3, FALSE)</f>
        <v>jdrengqg@uiuc.edu</v>
      </c>
      <c r="H954" s="9" t="str">
        <f>VLOOKUP(C954, [1]customers!$A$1:$I$1001, 7, FALSE)</f>
        <v>Ireland</v>
      </c>
      <c r="I954" s="11" t="str">
        <f>VLOOKUP(orders!D954,[1]products!$A$1:$G$49, 2,FALSE)</f>
        <v>Ara</v>
      </c>
      <c r="J954" s="11" t="str">
        <f>VLOOKUP(orders!D954,[1]products!$A$1:$G$49, 3,FALSE)</f>
        <v>M</v>
      </c>
      <c r="K954" s="12">
        <f>VLOOKUP(orders!D954,[1]products!$A$1:$G$49, 4,FALSE)</f>
        <v>1</v>
      </c>
      <c r="L954" s="12">
        <f>VLOOKUP(orders!D954,[1]products!$A$1:$G$49, 5,FALSE)</f>
        <v>11.25</v>
      </c>
      <c r="M954" s="13">
        <f>PRODUCT(orders!$E954,orders!$L954)</f>
        <v>22.5</v>
      </c>
      <c r="N954" s="11" t="str">
        <f t="shared" si="28"/>
        <v>August</v>
      </c>
      <c r="O954" s="11">
        <f t="shared" si="29"/>
        <v>2021</v>
      </c>
      <c r="P954" s="11" t="str">
        <f>TEXT(orders!$B954, "DDD")</f>
        <v>Tue</v>
      </c>
      <c r="Q954" s="11" t="str">
        <f>VLOOKUP(orders!C954,[1]customers!$A$1:$I$1001, 6,FALSE)</f>
        <v>Sallins</v>
      </c>
    </row>
    <row r="955" spans="1:17" x14ac:dyDescent="0.3">
      <c r="A955" s="14" t="s">
        <v>1855</v>
      </c>
      <c r="B955" s="15">
        <v>44582</v>
      </c>
      <c r="C955" s="16" t="s">
        <v>1818</v>
      </c>
      <c r="D955" s="17" t="s">
        <v>132</v>
      </c>
      <c r="E955" s="16">
        <v>1</v>
      </c>
      <c r="F955" s="9" t="str">
        <f>VLOOKUP(C955,[1]customers!$A$1:$I$1001, 2, FALSE)</f>
        <v>Brenn Dundredge</v>
      </c>
      <c r="G955" s="16">
        <f>VLOOKUP(orders!C955,[1]customers!$A$1:$I$1001, 3, FALSE)</f>
        <v>0</v>
      </c>
      <c r="H955" s="16" t="str">
        <f>VLOOKUP(C955, [1]customers!$A$1:$I$1001, 7, FALSE)</f>
        <v>United States</v>
      </c>
      <c r="I955" s="18" t="str">
        <f>VLOOKUP(orders!D955,[1]products!$A$1:$G$49, 2,FALSE)</f>
        <v>Ara</v>
      </c>
      <c r="J955" s="18" t="str">
        <f>VLOOKUP(orders!D955,[1]products!$A$1:$G$49, 3,FALSE)</f>
        <v>L</v>
      </c>
      <c r="K955" s="19">
        <f>VLOOKUP(orders!D955,[1]products!$A$1:$G$49, 4,FALSE)</f>
        <v>0.2</v>
      </c>
      <c r="L955" s="19">
        <f>VLOOKUP(orders!D955,[1]products!$A$1:$G$49, 5,FALSE)</f>
        <v>3.8849999999999998</v>
      </c>
      <c r="M955" s="13">
        <f>PRODUCT(orders!$E955,orders!$L955)</f>
        <v>3.8849999999999998</v>
      </c>
      <c r="N955" s="18" t="str">
        <f t="shared" si="28"/>
        <v>January</v>
      </c>
      <c r="O955" s="18">
        <f t="shared" si="29"/>
        <v>2022</v>
      </c>
      <c r="P955" s="11" t="str">
        <f>TEXT(orders!$B955, "DDD")</f>
        <v>Fri</v>
      </c>
      <c r="Q955" s="11" t="str">
        <f>VLOOKUP(orders!C955,[1]customers!$A$1:$I$1001, 6,FALSE)</f>
        <v>Oklahoma City</v>
      </c>
    </row>
    <row r="956" spans="1:17" x14ac:dyDescent="0.3">
      <c r="A956" s="7" t="s">
        <v>1856</v>
      </c>
      <c r="B956" s="8">
        <v>44722</v>
      </c>
      <c r="C956" s="9" t="s">
        <v>1818</v>
      </c>
      <c r="D956" s="10" t="s">
        <v>547</v>
      </c>
      <c r="E956" s="9">
        <v>1</v>
      </c>
      <c r="F956" s="9" t="str">
        <f>VLOOKUP(C956,[1]customers!$A$1:$I$1001, 2, FALSE)</f>
        <v>Brenn Dundredge</v>
      </c>
      <c r="G956" s="9">
        <f>VLOOKUP(orders!C956,[1]customers!$A$1:$I$1001, 3, FALSE)</f>
        <v>0</v>
      </c>
      <c r="H956" s="9" t="str">
        <f>VLOOKUP(C956, [1]customers!$A$1:$I$1001, 7, FALSE)</f>
        <v>United States</v>
      </c>
      <c r="I956" s="11" t="str">
        <f>VLOOKUP(orders!D956,[1]products!$A$1:$G$49, 2,FALSE)</f>
        <v>Exc</v>
      </c>
      <c r="J956" s="11" t="str">
        <f>VLOOKUP(orders!D956,[1]products!$A$1:$G$49, 3,FALSE)</f>
        <v>D</v>
      </c>
      <c r="K956" s="12">
        <f>VLOOKUP(orders!D956,[1]products!$A$1:$G$49, 4,FALSE)</f>
        <v>2.5</v>
      </c>
      <c r="L956" s="12">
        <f>VLOOKUP(orders!D956,[1]products!$A$1:$G$49, 5,FALSE)</f>
        <v>27.945</v>
      </c>
      <c r="M956" s="13">
        <f>PRODUCT(orders!$E956,orders!$L956)</f>
        <v>27.945</v>
      </c>
      <c r="N956" s="11" t="str">
        <f t="shared" si="28"/>
        <v>June</v>
      </c>
      <c r="O956" s="11">
        <f t="shared" si="29"/>
        <v>2022</v>
      </c>
      <c r="P956" s="11" t="str">
        <f>TEXT(orders!$B956, "DDD")</f>
        <v>Fri</v>
      </c>
      <c r="Q956" s="11" t="str">
        <f>VLOOKUP(orders!C956,[1]customers!$A$1:$I$1001, 6,FALSE)</f>
        <v>Oklahoma City</v>
      </c>
    </row>
    <row r="957" spans="1:17" x14ac:dyDescent="0.3">
      <c r="A957" s="14" t="s">
        <v>1857</v>
      </c>
      <c r="B957" s="15">
        <v>43582</v>
      </c>
      <c r="C957" s="16" t="s">
        <v>1818</v>
      </c>
      <c r="D957" s="17" t="s">
        <v>47</v>
      </c>
      <c r="E957" s="16">
        <v>5</v>
      </c>
      <c r="F957" s="9" t="str">
        <f>VLOOKUP(C957,[1]customers!$A$1:$I$1001, 2, FALSE)</f>
        <v>Brenn Dundredge</v>
      </c>
      <c r="G957" s="16">
        <f>VLOOKUP(orders!C957,[1]customers!$A$1:$I$1001, 3, FALSE)</f>
        <v>0</v>
      </c>
      <c r="H957" s="16" t="str">
        <f>VLOOKUP(C957, [1]customers!$A$1:$I$1001, 7, FALSE)</f>
        <v>United States</v>
      </c>
      <c r="I957" s="18" t="str">
        <f>VLOOKUP(orders!D957,[1]products!$A$1:$G$49, 2,FALSE)</f>
        <v>Exc</v>
      </c>
      <c r="J957" s="18" t="str">
        <f>VLOOKUP(orders!D957,[1]products!$A$1:$G$49, 3,FALSE)</f>
        <v>L</v>
      </c>
      <c r="K957" s="19">
        <f>VLOOKUP(orders!D957,[1]products!$A$1:$G$49, 4,FALSE)</f>
        <v>2.5</v>
      </c>
      <c r="L957" s="19">
        <f>VLOOKUP(orders!D957,[1]products!$A$1:$G$49, 5,FALSE)</f>
        <v>34.154999999999994</v>
      </c>
      <c r="M957" s="13">
        <f>PRODUCT(orders!$E957,orders!$L957)</f>
        <v>170.77499999999998</v>
      </c>
      <c r="N957" s="18" t="str">
        <f t="shared" si="28"/>
        <v>April</v>
      </c>
      <c r="O957" s="18">
        <f t="shared" si="29"/>
        <v>2019</v>
      </c>
      <c r="P957" s="11" t="str">
        <f>TEXT(orders!$B957, "DDD")</f>
        <v>Sat</v>
      </c>
      <c r="Q957" s="11" t="str">
        <f>VLOOKUP(orders!C957,[1]customers!$A$1:$I$1001, 6,FALSE)</f>
        <v>Oklahoma City</v>
      </c>
    </row>
    <row r="958" spans="1:17" x14ac:dyDescent="0.3">
      <c r="A958" s="7" t="s">
        <v>1857</v>
      </c>
      <c r="B958" s="8">
        <v>43582</v>
      </c>
      <c r="C958" s="9" t="s">
        <v>1818</v>
      </c>
      <c r="D958" s="10" t="s">
        <v>27</v>
      </c>
      <c r="E958" s="9">
        <v>2</v>
      </c>
      <c r="F958" s="9" t="str">
        <f>VLOOKUP(C958,[1]customers!$A$1:$I$1001, 2, FALSE)</f>
        <v>Brenn Dundredge</v>
      </c>
      <c r="G958" s="9">
        <f>VLOOKUP(orders!C958,[1]customers!$A$1:$I$1001, 3, FALSE)</f>
        <v>0</v>
      </c>
      <c r="H958" s="9" t="str">
        <f>VLOOKUP(C958, [1]customers!$A$1:$I$1001, 7, FALSE)</f>
        <v>United States</v>
      </c>
      <c r="I958" s="11" t="str">
        <f>VLOOKUP(orders!D958,[1]products!$A$1:$G$49, 2,FALSE)</f>
        <v>Rob</v>
      </c>
      <c r="J958" s="11" t="str">
        <f>VLOOKUP(orders!D958,[1]products!$A$1:$G$49, 3,FALSE)</f>
        <v>L</v>
      </c>
      <c r="K958" s="12">
        <f>VLOOKUP(orders!D958,[1]products!$A$1:$G$49, 4,FALSE)</f>
        <v>2.5</v>
      </c>
      <c r="L958" s="12">
        <f>VLOOKUP(orders!D958,[1]products!$A$1:$G$49, 5,FALSE)</f>
        <v>27.484999999999996</v>
      </c>
      <c r="M958" s="13">
        <f>PRODUCT(orders!$E958,orders!$L958)</f>
        <v>54.969999999999992</v>
      </c>
      <c r="N958" s="11" t="str">
        <f t="shared" si="28"/>
        <v>April</v>
      </c>
      <c r="O958" s="11">
        <f t="shared" si="29"/>
        <v>2019</v>
      </c>
      <c r="P958" s="11" t="str">
        <f>TEXT(orders!$B958, "DDD")</f>
        <v>Sat</v>
      </c>
      <c r="Q958" s="11" t="str">
        <f>VLOOKUP(orders!C958,[1]customers!$A$1:$I$1001, 6,FALSE)</f>
        <v>Oklahoma City</v>
      </c>
    </row>
    <row r="959" spans="1:17" x14ac:dyDescent="0.3">
      <c r="A959" s="14" t="s">
        <v>1857</v>
      </c>
      <c r="B959" s="15">
        <v>43582</v>
      </c>
      <c r="C959" s="16" t="s">
        <v>1818</v>
      </c>
      <c r="D959" s="17" t="s">
        <v>154</v>
      </c>
      <c r="E959" s="16">
        <v>1</v>
      </c>
      <c r="F959" s="9" t="str">
        <f>VLOOKUP(C959,[1]customers!$A$1:$I$1001, 2, FALSE)</f>
        <v>Brenn Dundredge</v>
      </c>
      <c r="G959" s="16">
        <f>VLOOKUP(orders!C959,[1]customers!$A$1:$I$1001, 3, FALSE)</f>
        <v>0</v>
      </c>
      <c r="H959" s="16" t="str">
        <f>VLOOKUP(C959, [1]customers!$A$1:$I$1001, 7, FALSE)</f>
        <v>United States</v>
      </c>
      <c r="I959" s="18" t="str">
        <f>VLOOKUP(orders!D959,[1]products!$A$1:$G$49, 2,FALSE)</f>
        <v>Exc</v>
      </c>
      <c r="J959" s="18" t="str">
        <f>VLOOKUP(orders!D959,[1]products!$A$1:$G$49, 3,FALSE)</f>
        <v>L</v>
      </c>
      <c r="K959" s="19">
        <f>VLOOKUP(orders!D959,[1]products!$A$1:$G$49, 4,FALSE)</f>
        <v>1</v>
      </c>
      <c r="L959" s="19">
        <f>VLOOKUP(orders!D959,[1]products!$A$1:$G$49, 5,FALSE)</f>
        <v>14.85</v>
      </c>
      <c r="M959" s="13">
        <f>PRODUCT(orders!$E959,orders!$L959)</f>
        <v>14.85</v>
      </c>
      <c r="N959" s="18" t="str">
        <f t="shared" si="28"/>
        <v>April</v>
      </c>
      <c r="O959" s="18">
        <f t="shared" si="29"/>
        <v>2019</v>
      </c>
      <c r="P959" s="11" t="str">
        <f>TEXT(orders!$B959, "DDD")</f>
        <v>Sat</v>
      </c>
      <c r="Q959" s="11" t="str">
        <f>VLOOKUP(orders!C959,[1]customers!$A$1:$I$1001, 6,FALSE)</f>
        <v>Oklahoma City</v>
      </c>
    </row>
    <row r="960" spans="1:17" x14ac:dyDescent="0.3">
      <c r="A960" s="7" t="s">
        <v>1857</v>
      </c>
      <c r="B960" s="8">
        <v>43582</v>
      </c>
      <c r="C960" s="9" t="s">
        <v>1818</v>
      </c>
      <c r="D960" s="10" t="s">
        <v>132</v>
      </c>
      <c r="E960" s="9">
        <v>2</v>
      </c>
      <c r="F960" s="9" t="str">
        <f>VLOOKUP(C960,[1]customers!$A$1:$I$1001, 2, FALSE)</f>
        <v>Brenn Dundredge</v>
      </c>
      <c r="G960" s="9">
        <f>VLOOKUP(orders!C960,[1]customers!$A$1:$I$1001, 3, FALSE)</f>
        <v>0</v>
      </c>
      <c r="H960" s="9" t="str">
        <f>VLOOKUP(C960, [1]customers!$A$1:$I$1001, 7, FALSE)</f>
        <v>United States</v>
      </c>
      <c r="I960" s="11" t="str">
        <f>VLOOKUP(orders!D960,[1]products!$A$1:$G$49, 2,FALSE)</f>
        <v>Ara</v>
      </c>
      <c r="J960" s="11" t="str">
        <f>VLOOKUP(orders!D960,[1]products!$A$1:$G$49, 3,FALSE)</f>
        <v>L</v>
      </c>
      <c r="K960" s="12">
        <f>VLOOKUP(orders!D960,[1]products!$A$1:$G$49, 4,FALSE)</f>
        <v>0.2</v>
      </c>
      <c r="L960" s="12">
        <f>VLOOKUP(orders!D960,[1]products!$A$1:$G$49, 5,FALSE)</f>
        <v>3.8849999999999998</v>
      </c>
      <c r="M960" s="13">
        <f>PRODUCT(orders!$E960,orders!$L960)</f>
        <v>7.77</v>
      </c>
      <c r="N960" s="11" t="str">
        <f t="shared" si="28"/>
        <v>April</v>
      </c>
      <c r="O960" s="11">
        <f t="shared" si="29"/>
        <v>2019</v>
      </c>
      <c r="P960" s="11" t="str">
        <f>TEXT(orders!$B960, "DDD")</f>
        <v>Sat</v>
      </c>
      <c r="Q960" s="11" t="str">
        <f>VLOOKUP(orders!C960,[1]customers!$A$1:$I$1001, 6,FALSE)</f>
        <v>Oklahoma City</v>
      </c>
    </row>
    <row r="961" spans="1:17" x14ac:dyDescent="0.3">
      <c r="A961" s="14" t="s">
        <v>1858</v>
      </c>
      <c r="B961" s="15">
        <v>44598</v>
      </c>
      <c r="C961" s="16" t="s">
        <v>1859</v>
      </c>
      <c r="D961" s="17" t="s">
        <v>36</v>
      </c>
      <c r="E961" s="16">
        <v>5</v>
      </c>
      <c r="F961" s="9" t="str">
        <f>VLOOKUP(C961,[1]customers!$A$1:$I$1001, 2, FALSE)</f>
        <v>Rhodie Strathern</v>
      </c>
      <c r="G961" s="16" t="str">
        <f>VLOOKUP(orders!C961,[1]customers!$A$1:$I$1001, 3, FALSE)</f>
        <v>rstrathernqn@devhub.com</v>
      </c>
      <c r="H961" s="16" t="str">
        <f>VLOOKUP(C961, [1]customers!$A$1:$I$1001, 7, FALSE)</f>
        <v>United States</v>
      </c>
      <c r="I961" s="18" t="str">
        <f>VLOOKUP(orders!D961,[1]products!$A$1:$G$49, 2,FALSE)</f>
        <v>Lib</v>
      </c>
      <c r="J961" s="18" t="str">
        <f>VLOOKUP(orders!D961,[1]products!$A$1:$G$49, 3,FALSE)</f>
        <v>L</v>
      </c>
      <c r="K961" s="19">
        <f>VLOOKUP(orders!D961,[1]products!$A$1:$G$49, 4,FALSE)</f>
        <v>0.2</v>
      </c>
      <c r="L961" s="19">
        <f>VLOOKUP(orders!D961,[1]products!$A$1:$G$49, 5,FALSE)</f>
        <v>4.7549999999999999</v>
      </c>
      <c r="M961" s="13">
        <f>PRODUCT(orders!$E961,orders!$L961)</f>
        <v>23.774999999999999</v>
      </c>
      <c r="N961" s="18" t="str">
        <f t="shared" si="28"/>
        <v>February</v>
      </c>
      <c r="O961" s="18">
        <f t="shared" si="29"/>
        <v>2022</v>
      </c>
      <c r="P961" s="11" t="str">
        <f>TEXT(orders!$B961, "DDD")</f>
        <v>Sun</v>
      </c>
      <c r="Q961" s="11" t="str">
        <f>VLOOKUP(orders!C961,[1]customers!$A$1:$I$1001, 6,FALSE)</f>
        <v>Little Rock</v>
      </c>
    </row>
    <row r="962" spans="1:17" x14ac:dyDescent="0.3">
      <c r="A962" s="7" t="s">
        <v>1860</v>
      </c>
      <c r="B962" s="8">
        <v>44591</v>
      </c>
      <c r="C962" s="9" t="s">
        <v>1861</v>
      </c>
      <c r="D962" s="10" t="s">
        <v>149</v>
      </c>
      <c r="E962" s="9">
        <v>5</v>
      </c>
      <c r="F962" s="9" t="str">
        <f>VLOOKUP(C962,[1]customers!$A$1:$I$1001, 2, FALSE)</f>
        <v>Chad Miguel</v>
      </c>
      <c r="G962" s="9" t="str">
        <f>VLOOKUP(orders!C962,[1]customers!$A$1:$I$1001, 3, FALSE)</f>
        <v>cmiguelqo@exblog.jp</v>
      </c>
      <c r="H962" s="9" t="str">
        <f>VLOOKUP(C962, [1]customers!$A$1:$I$1001, 7, FALSE)</f>
        <v>United States</v>
      </c>
      <c r="I962" s="11" t="str">
        <f>VLOOKUP(orders!D962,[1]products!$A$1:$G$49, 2,FALSE)</f>
        <v>Lib</v>
      </c>
      <c r="J962" s="11" t="str">
        <f>VLOOKUP(orders!D962,[1]products!$A$1:$G$49, 3,FALSE)</f>
        <v>L</v>
      </c>
      <c r="K962" s="12">
        <f>VLOOKUP(orders!D962,[1]products!$A$1:$G$49, 4,FALSE)</f>
        <v>1</v>
      </c>
      <c r="L962" s="12">
        <f>VLOOKUP(orders!D962,[1]products!$A$1:$G$49, 5,FALSE)</f>
        <v>15.85</v>
      </c>
      <c r="M962" s="13">
        <f>PRODUCT(orders!$E962,orders!$L962)</f>
        <v>79.25</v>
      </c>
      <c r="N962" s="11" t="str">
        <f t="shared" ref="N962:N1001" si="30">TEXT(B962, "mmmm")</f>
        <v>January</v>
      </c>
      <c r="O962" s="11">
        <f t="shared" ref="O962:O1001" si="31">YEAR(B962)</f>
        <v>2022</v>
      </c>
      <c r="P962" s="11" t="str">
        <f>TEXT(orders!$B962, "DDD")</f>
        <v>Sun</v>
      </c>
      <c r="Q962" s="11" t="str">
        <f>VLOOKUP(orders!C962,[1]customers!$A$1:$I$1001, 6,FALSE)</f>
        <v>Hagerstown</v>
      </c>
    </row>
    <row r="963" spans="1:17" x14ac:dyDescent="0.3">
      <c r="A963" s="14" t="s">
        <v>1862</v>
      </c>
      <c r="B963" s="15">
        <v>44158</v>
      </c>
      <c r="C963" s="16" t="s">
        <v>1863</v>
      </c>
      <c r="D963" s="17" t="s">
        <v>135</v>
      </c>
      <c r="E963" s="16">
        <v>2</v>
      </c>
      <c r="F963" s="9" t="str">
        <f>VLOOKUP(C963,[1]customers!$A$1:$I$1001, 2, FALSE)</f>
        <v>Florinda Matusovsky</v>
      </c>
      <c r="G963" s="16">
        <f>VLOOKUP(orders!C963,[1]customers!$A$1:$I$1001, 3, FALSE)</f>
        <v>0</v>
      </c>
      <c r="H963" s="16" t="str">
        <f>VLOOKUP(C963, [1]customers!$A$1:$I$1001, 7, FALSE)</f>
        <v>United States</v>
      </c>
      <c r="I963" s="18" t="str">
        <f>VLOOKUP(orders!D963,[1]products!$A$1:$G$49, 2,FALSE)</f>
        <v>Ara</v>
      </c>
      <c r="J963" s="18" t="str">
        <f>VLOOKUP(orders!D963,[1]products!$A$1:$G$49, 3,FALSE)</f>
        <v>D</v>
      </c>
      <c r="K963" s="19">
        <f>VLOOKUP(orders!D963,[1]products!$A$1:$G$49, 4,FALSE)</f>
        <v>2.5</v>
      </c>
      <c r="L963" s="19">
        <f>VLOOKUP(orders!D963,[1]products!$A$1:$G$49, 5,FALSE)</f>
        <v>22.884999999999998</v>
      </c>
      <c r="M963" s="13">
        <f>PRODUCT(orders!$E963,orders!$L963)</f>
        <v>45.769999999999996</v>
      </c>
      <c r="N963" s="18" t="str">
        <f t="shared" si="30"/>
        <v>November</v>
      </c>
      <c r="O963" s="18">
        <f t="shared" si="31"/>
        <v>2020</v>
      </c>
      <c r="P963" s="11" t="str">
        <f>TEXT(orders!$B963, "DDD")</f>
        <v>Mon</v>
      </c>
      <c r="Q963" s="11" t="str">
        <f>VLOOKUP(orders!C963,[1]customers!$A$1:$I$1001, 6,FALSE)</f>
        <v>Albany</v>
      </c>
    </row>
    <row r="964" spans="1:17" x14ac:dyDescent="0.3">
      <c r="A964" s="7" t="s">
        <v>1864</v>
      </c>
      <c r="B964" s="8">
        <v>44664</v>
      </c>
      <c r="C964" s="9" t="s">
        <v>1865</v>
      </c>
      <c r="D964" s="10" t="s">
        <v>196</v>
      </c>
      <c r="E964" s="9">
        <v>1</v>
      </c>
      <c r="F964" s="9" t="str">
        <f>VLOOKUP(C964,[1]customers!$A$1:$I$1001, 2, FALSE)</f>
        <v>Morly Rocks</v>
      </c>
      <c r="G964" s="9" t="str">
        <f>VLOOKUP(orders!C964,[1]customers!$A$1:$I$1001, 3, FALSE)</f>
        <v>mrocksqq@exblog.jp</v>
      </c>
      <c r="H964" s="9" t="str">
        <f>VLOOKUP(C964, [1]customers!$A$1:$I$1001, 7, FALSE)</f>
        <v>Ireland</v>
      </c>
      <c r="I964" s="11" t="str">
        <f>VLOOKUP(orders!D964,[1]products!$A$1:$G$49, 2,FALSE)</f>
        <v>Rob</v>
      </c>
      <c r="J964" s="11" t="str">
        <f>VLOOKUP(orders!D964,[1]products!$A$1:$G$49, 3,FALSE)</f>
        <v>D</v>
      </c>
      <c r="K964" s="12">
        <f>VLOOKUP(orders!D964,[1]products!$A$1:$G$49, 4,FALSE)</f>
        <v>1</v>
      </c>
      <c r="L964" s="12">
        <f>VLOOKUP(orders!D964,[1]products!$A$1:$G$49, 5,FALSE)</f>
        <v>8.9499999999999993</v>
      </c>
      <c r="M964" s="13">
        <f>PRODUCT(orders!$E964,orders!$L964)</f>
        <v>8.9499999999999993</v>
      </c>
      <c r="N964" s="11" t="str">
        <f t="shared" si="30"/>
        <v>April</v>
      </c>
      <c r="O964" s="11">
        <f t="shared" si="31"/>
        <v>2022</v>
      </c>
      <c r="P964" s="11" t="str">
        <f>TEXT(orders!$B964, "DDD")</f>
        <v>Wed</v>
      </c>
      <c r="Q964" s="11" t="str">
        <f>VLOOKUP(orders!C964,[1]customers!$A$1:$I$1001, 6,FALSE)</f>
        <v>Crossmolina</v>
      </c>
    </row>
    <row r="965" spans="1:17" x14ac:dyDescent="0.3">
      <c r="A965" s="14" t="s">
        <v>1866</v>
      </c>
      <c r="B965" s="15">
        <v>44203</v>
      </c>
      <c r="C965" s="16" t="s">
        <v>1867</v>
      </c>
      <c r="D965" s="17" t="s">
        <v>39</v>
      </c>
      <c r="E965" s="16">
        <v>4</v>
      </c>
      <c r="F965" s="9" t="str">
        <f>VLOOKUP(C965,[1]customers!$A$1:$I$1001, 2, FALSE)</f>
        <v>Yuri Burrells</v>
      </c>
      <c r="G965" s="16" t="str">
        <f>VLOOKUP(orders!C965,[1]customers!$A$1:$I$1001, 3, FALSE)</f>
        <v>yburrellsqr@vinaora.com</v>
      </c>
      <c r="H965" s="16" t="str">
        <f>VLOOKUP(C965, [1]customers!$A$1:$I$1001, 7, FALSE)</f>
        <v>United States</v>
      </c>
      <c r="I965" s="18" t="str">
        <f>VLOOKUP(orders!D965,[1]products!$A$1:$G$49, 2,FALSE)</f>
        <v>Rob</v>
      </c>
      <c r="J965" s="18" t="str">
        <f>VLOOKUP(orders!D965,[1]products!$A$1:$G$49, 3,FALSE)</f>
        <v>M</v>
      </c>
      <c r="K965" s="19">
        <f>VLOOKUP(orders!D965,[1]products!$A$1:$G$49, 4,FALSE)</f>
        <v>0.5</v>
      </c>
      <c r="L965" s="19">
        <f>VLOOKUP(orders!D965,[1]products!$A$1:$G$49, 5,FALSE)</f>
        <v>5.97</v>
      </c>
      <c r="M965" s="13">
        <f>PRODUCT(orders!$E965,orders!$L965)</f>
        <v>23.88</v>
      </c>
      <c r="N965" s="18" t="str">
        <f t="shared" si="30"/>
        <v>January</v>
      </c>
      <c r="O965" s="18">
        <f t="shared" si="31"/>
        <v>2021</v>
      </c>
      <c r="P965" s="11" t="str">
        <f>TEXT(orders!$B965, "DDD")</f>
        <v>Thu</v>
      </c>
      <c r="Q965" s="11" t="str">
        <f>VLOOKUP(orders!C965,[1]customers!$A$1:$I$1001, 6,FALSE)</f>
        <v>Lexington</v>
      </c>
    </row>
    <row r="966" spans="1:17" x14ac:dyDescent="0.3">
      <c r="A966" s="7" t="s">
        <v>1868</v>
      </c>
      <c r="B966" s="8">
        <v>43865</v>
      </c>
      <c r="C966" s="9" t="s">
        <v>1869</v>
      </c>
      <c r="D966" s="10" t="s">
        <v>271</v>
      </c>
      <c r="E966" s="9">
        <v>5</v>
      </c>
      <c r="F966" s="9" t="str">
        <f>VLOOKUP(C966,[1]customers!$A$1:$I$1001, 2, FALSE)</f>
        <v>Cleopatra Goodrum</v>
      </c>
      <c r="G966" s="9" t="str">
        <f>VLOOKUP(orders!C966,[1]customers!$A$1:$I$1001, 3, FALSE)</f>
        <v>cgoodrumqs@goodreads.com</v>
      </c>
      <c r="H966" s="9" t="str">
        <f>VLOOKUP(C966, [1]customers!$A$1:$I$1001, 7, FALSE)</f>
        <v>United States</v>
      </c>
      <c r="I966" s="11" t="str">
        <f>VLOOKUP(orders!D966,[1]products!$A$1:$G$49, 2,FALSE)</f>
        <v>Exc</v>
      </c>
      <c r="J966" s="11" t="str">
        <f>VLOOKUP(orders!D966,[1]products!$A$1:$G$49, 3,FALSE)</f>
        <v>L</v>
      </c>
      <c r="K966" s="12">
        <f>VLOOKUP(orders!D966,[1]products!$A$1:$G$49, 4,FALSE)</f>
        <v>0.2</v>
      </c>
      <c r="L966" s="12">
        <f>VLOOKUP(orders!D966,[1]products!$A$1:$G$49, 5,FALSE)</f>
        <v>4.4550000000000001</v>
      </c>
      <c r="M966" s="13">
        <f>PRODUCT(orders!$E966,orders!$L966)</f>
        <v>22.274999999999999</v>
      </c>
      <c r="N966" s="11" t="str">
        <f t="shared" si="30"/>
        <v>February</v>
      </c>
      <c r="O966" s="11">
        <f t="shared" si="31"/>
        <v>2020</v>
      </c>
      <c r="P966" s="11" t="str">
        <f>TEXT(orders!$B966, "DDD")</f>
        <v>Tue</v>
      </c>
      <c r="Q966" s="11" t="str">
        <f>VLOOKUP(orders!C966,[1]customers!$A$1:$I$1001, 6,FALSE)</f>
        <v>San Diego</v>
      </c>
    </row>
    <row r="967" spans="1:17" x14ac:dyDescent="0.3">
      <c r="A967" s="14" t="s">
        <v>1870</v>
      </c>
      <c r="B967" s="15">
        <v>43724</v>
      </c>
      <c r="C967" s="16" t="s">
        <v>1871</v>
      </c>
      <c r="D967" s="17" t="s">
        <v>19</v>
      </c>
      <c r="E967" s="16">
        <v>3</v>
      </c>
      <c r="F967" s="9" t="str">
        <f>VLOOKUP(C967,[1]customers!$A$1:$I$1001, 2, FALSE)</f>
        <v>Joey Jefferys</v>
      </c>
      <c r="G967" s="16" t="str">
        <f>VLOOKUP(orders!C967,[1]customers!$A$1:$I$1001, 3, FALSE)</f>
        <v>jjefferysqt@blog.com</v>
      </c>
      <c r="H967" s="16" t="str">
        <f>VLOOKUP(C967, [1]customers!$A$1:$I$1001, 7, FALSE)</f>
        <v>United States</v>
      </c>
      <c r="I967" s="18" t="str">
        <f>VLOOKUP(orders!D967,[1]products!$A$1:$G$49, 2,FALSE)</f>
        <v>Rob</v>
      </c>
      <c r="J967" s="18" t="str">
        <f>VLOOKUP(orders!D967,[1]products!$A$1:$G$49, 3,FALSE)</f>
        <v>M</v>
      </c>
      <c r="K967" s="19">
        <f>VLOOKUP(orders!D967,[1]products!$A$1:$G$49, 4,FALSE)</f>
        <v>1</v>
      </c>
      <c r="L967" s="19">
        <f>VLOOKUP(orders!D967,[1]products!$A$1:$G$49, 5,FALSE)</f>
        <v>9.9499999999999993</v>
      </c>
      <c r="M967" s="13">
        <f>PRODUCT(orders!$E967,orders!$L967)</f>
        <v>29.849999999999998</v>
      </c>
      <c r="N967" s="18" t="str">
        <f t="shared" si="30"/>
        <v>September</v>
      </c>
      <c r="O967" s="18">
        <f t="shared" si="31"/>
        <v>2019</v>
      </c>
      <c r="P967" s="11" t="str">
        <f>TEXT(orders!$B967, "DDD")</f>
        <v>Mon</v>
      </c>
      <c r="Q967" s="11" t="str">
        <f>VLOOKUP(orders!C967,[1]customers!$A$1:$I$1001, 6,FALSE)</f>
        <v>Los Angeles</v>
      </c>
    </row>
    <row r="968" spans="1:17" x14ac:dyDescent="0.3">
      <c r="A968" s="7" t="s">
        <v>1872</v>
      </c>
      <c r="B968" s="8">
        <v>43491</v>
      </c>
      <c r="C968" s="9" t="s">
        <v>1873</v>
      </c>
      <c r="D968" s="10" t="s">
        <v>193</v>
      </c>
      <c r="E968" s="9">
        <v>6</v>
      </c>
      <c r="F968" s="9" t="str">
        <f>VLOOKUP(C968,[1]customers!$A$1:$I$1001, 2, FALSE)</f>
        <v>Bearnard Wardell</v>
      </c>
      <c r="G968" s="9" t="str">
        <f>VLOOKUP(orders!C968,[1]customers!$A$1:$I$1001, 3, FALSE)</f>
        <v>bwardellqu@adobe.com</v>
      </c>
      <c r="H968" s="9" t="str">
        <f>VLOOKUP(C968, [1]customers!$A$1:$I$1001, 7, FALSE)</f>
        <v>United States</v>
      </c>
      <c r="I968" s="11" t="str">
        <f>VLOOKUP(orders!D968,[1]products!$A$1:$G$49, 2,FALSE)</f>
        <v>Exc</v>
      </c>
      <c r="J968" s="11" t="str">
        <f>VLOOKUP(orders!D968,[1]products!$A$1:$G$49, 3,FALSE)</f>
        <v>L</v>
      </c>
      <c r="K968" s="12">
        <f>VLOOKUP(orders!D968,[1]products!$A$1:$G$49, 4,FALSE)</f>
        <v>0.5</v>
      </c>
      <c r="L968" s="12">
        <f>VLOOKUP(orders!D968,[1]products!$A$1:$G$49, 5,FALSE)</f>
        <v>8.91</v>
      </c>
      <c r="M968" s="13">
        <f>PRODUCT(orders!$E968,orders!$L968)</f>
        <v>53.46</v>
      </c>
      <c r="N968" s="11" t="str">
        <f t="shared" si="30"/>
        <v>January</v>
      </c>
      <c r="O968" s="11">
        <f t="shared" si="31"/>
        <v>2019</v>
      </c>
      <c r="P968" s="11" t="str">
        <f>TEXT(orders!$B968, "DDD")</f>
        <v>Sat</v>
      </c>
      <c r="Q968" s="11" t="str">
        <f>VLOOKUP(orders!C968,[1]customers!$A$1:$I$1001, 6,FALSE)</f>
        <v>Brooklyn</v>
      </c>
    </row>
    <row r="969" spans="1:17" x14ac:dyDescent="0.3">
      <c r="A969" s="14" t="s">
        <v>1874</v>
      </c>
      <c r="B969" s="15">
        <v>44246</v>
      </c>
      <c r="C969" s="16" t="s">
        <v>1875</v>
      </c>
      <c r="D969" s="17" t="s">
        <v>118</v>
      </c>
      <c r="E969" s="16">
        <v>1</v>
      </c>
      <c r="F969" s="9" t="str">
        <f>VLOOKUP(C969,[1]customers!$A$1:$I$1001, 2, FALSE)</f>
        <v>Zeke Walisiak</v>
      </c>
      <c r="G969" s="16" t="str">
        <f>VLOOKUP(orders!C969,[1]customers!$A$1:$I$1001, 3, FALSE)</f>
        <v>zwalisiakqv@ucsd.edu</v>
      </c>
      <c r="H969" s="16" t="str">
        <f>VLOOKUP(C969, [1]customers!$A$1:$I$1001, 7, FALSE)</f>
        <v>Ireland</v>
      </c>
      <c r="I969" s="18" t="str">
        <f>VLOOKUP(orders!D969,[1]products!$A$1:$G$49, 2,FALSE)</f>
        <v>Rob</v>
      </c>
      <c r="J969" s="18" t="str">
        <f>VLOOKUP(orders!D969,[1]products!$A$1:$G$49, 3,FALSE)</f>
        <v>D</v>
      </c>
      <c r="K969" s="19">
        <f>VLOOKUP(orders!D969,[1]products!$A$1:$G$49, 4,FALSE)</f>
        <v>0.2</v>
      </c>
      <c r="L969" s="19">
        <f>VLOOKUP(orders!D969,[1]products!$A$1:$G$49, 5,FALSE)</f>
        <v>2.6849999999999996</v>
      </c>
      <c r="M969" s="13">
        <f>PRODUCT(orders!$E969,orders!$L969)</f>
        <v>2.6849999999999996</v>
      </c>
      <c r="N969" s="18" t="str">
        <f t="shared" si="30"/>
        <v>February</v>
      </c>
      <c r="O969" s="18">
        <f t="shared" si="31"/>
        <v>2021</v>
      </c>
      <c r="P969" s="11" t="str">
        <f>TEXT(orders!$B969, "DDD")</f>
        <v>Fri</v>
      </c>
      <c r="Q969" s="11" t="str">
        <f>VLOOKUP(orders!C969,[1]customers!$A$1:$I$1001, 6,FALSE)</f>
        <v>Booterstown</v>
      </c>
    </row>
    <row r="970" spans="1:17" x14ac:dyDescent="0.3">
      <c r="A970" s="7" t="s">
        <v>1876</v>
      </c>
      <c r="B970" s="8">
        <v>44642</v>
      </c>
      <c r="C970" s="9" t="s">
        <v>1877</v>
      </c>
      <c r="D970" s="10" t="s">
        <v>179</v>
      </c>
      <c r="E970" s="9">
        <v>2</v>
      </c>
      <c r="F970" s="9" t="str">
        <f>VLOOKUP(C970,[1]customers!$A$1:$I$1001, 2, FALSE)</f>
        <v>Wiley Leopold</v>
      </c>
      <c r="G970" s="9" t="str">
        <f>VLOOKUP(orders!C970,[1]customers!$A$1:$I$1001, 3, FALSE)</f>
        <v>wleopoldqw@blogspot.com</v>
      </c>
      <c r="H970" s="9" t="str">
        <f>VLOOKUP(C970, [1]customers!$A$1:$I$1001, 7, FALSE)</f>
        <v>United States</v>
      </c>
      <c r="I970" s="11" t="str">
        <f>VLOOKUP(orders!D970,[1]products!$A$1:$G$49, 2,FALSE)</f>
        <v>Rob</v>
      </c>
      <c r="J970" s="11" t="str">
        <f>VLOOKUP(orders!D970,[1]products!$A$1:$G$49, 3,FALSE)</f>
        <v>M</v>
      </c>
      <c r="K970" s="12">
        <f>VLOOKUP(orders!D970,[1]products!$A$1:$G$49, 4,FALSE)</f>
        <v>0.2</v>
      </c>
      <c r="L970" s="12">
        <f>VLOOKUP(orders!D970,[1]products!$A$1:$G$49, 5,FALSE)</f>
        <v>2.9849999999999999</v>
      </c>
      <c r="M970" s="13">
        <f>PRODUCT(orders!$E970,orders!$L970)</f>
        <v>5.97</v>
      </c>
      <c r="N970" s="11" t="str">
        <f t="shared" si="30"/>
        <v>March</v>
      </c>
      <c r="O970" s="11">
        <f t="shared" si="31"/>
        <v>2022</v>
      </c>
      <c r="P970" s="11" t="str">
        <f>TEXT(orders!$B970, "DDD")</f>
        <v>Tue</v>
      </c>
      <c r="Q970" s="11" t="str">
        <f>VLOOKUP(orders!C970,[1]customers!$A$1:$I$1001, 6,FALSE)</f>
        <v>Gainesville</v>
      </c>
    </row>
    <row r="971" spans="1:17" x14ac:dyDescent="0.3">
      <c r="A971" s="14" t="s">
        <v>1878</v>
      </c>
      <c r="B971" s="15">
        <v>43649</v>
      </c>
      <c r="C971" s="16" t="s">
        <v>1879</v>
      </c>
      <c r="D971" s="17" t="s">
        <v>30</v>
      </c>
      <c r="E971" s="16">
        <v>1</v>
      </c>
      <c r="F971" s="9" t="str">
        <f>VLOOKUP(C971,[1]customers!$A$1:$I$1001, 2, FALSE)</f>
        <v>Chiarra Shalders</v>
      </c>
      <c r="G971" s="16" t="str">
        <f>VLOOKUP(orders!C971,[1]customers!$A$1:$I$1001, 3, FALSE)</f>
        <v>cshaldersqx@cisco.com</v>
      </c>
      <c r="H971" s="16" t="str">
        <f>VLOOKUP(C971, [1]customers!$A$1:$I$1001, 7, FALSE)</f>
        <v>United States</v>
      </c>
      <c r="I971" s="18" t="str">
        <f>VLOOKUP(orders!D971,[1]products!$A$1:$G$49, 2,FALSE)</f>
        <v>Lib</v>
      </c>
      <c r="J971" s="18" t="str">
        <f>VLOOKUP(orders!D971,[1]products!$A$1:$G$49, 3,FALSE)</f>
        <v>D</v>
      </c>
      <c r="K971" s="19">
        <f>VLOOKUP(orders!D971,[1]products!$A$1:$G$49, 4,FALSE)</f>
        <v>1</v>
      </c>
      <c r="L971" s="19">
        <f>VLOOKUP(orders!D971,[1]products!$A$1:$G$49, 5,FALSE)</f>
        <v>12.95</v>
      </c>
      <c r="M971" s="13">
        <f>PRODUCT(orders!$E971,orders!$L971)</f>
        <v>12.95</v>
      </c>
      <c r="N971" s="18" t="str">
        <f t="shared" si="30"/>
        <v>July</v>
      </c>
      <c r="O971" s="18">
        <f t="shared" si="31"/>
        <v>2019</v>
      </c>
      <c r="P971" s="11" t="str">
        <f>TEXT(orders!$B971, "DDD")</f>
        <v>Wed</v>
      </c>
      <c r="Q971" s="11" t="str">
        <f>VLOOKUP(orders!C971,[1]customers!$A$1:$I$1001, 6,FALSE)</f>
        <v>Clearwater</v>
      </c>
    </row>
    <row r="972" spans="1:17" x14ac:dyDescent="0.3">
      <c r="A972" s="7" t="s">
        <v>1880</v>
      </c>
      <c r="B972" s="8">
        <v>43729</v>
      </c>
      <c r="C972" s="9" t="s">
        <v>1881</v>
      </c>
      <c r="D972" s="10" t="s">
        <v>20</v>
      </c>
      <c r="E972" s="9">
        <v>1</v>
      </c>
      <c r="F972" s="9" t="str">
        <f>VLOOKUP(C972,[1]customers!$A$1:$I$1001, 2, FALSE)</f>
        <v>Sharl Southerill</v>
      </c>
      <c r="G972" s="9">
        <f>VLOOKUP(orders!C972,[1]customers!$A$1:$I$1001, 3, FALSE)</f>
        <v>0</v>
      </c>
      <c r="H972" s="9" t="str">
        <f>VLOOKUP(C972, [1]customers!$A$1:$I$1001, 7, FALSE)</f>
        <v>United States</v>
      </c>
      <c r="I972" s="11" t="str">
        <f>VLOOKUP(orders!D972,[1]products!$A$1:$G$49, 2,FALSE)</f>
        <v>Exc</v>
      </c>
      <c r="J972" s="11" t="str">
        <f>VLOOKUP(orders!D972,[1]products!$A$1:$G$49, 3,FALSE)</f>
        <v>M</v>
      </c>
      <c r="K972" s="12">
        <f>VLOOKUP(orders!D972,[1]products!$A$1:$G$49, 4,FALSE)</f>
        <v>0.5</v>
      </c>
      <c r="L972" s="12">
        <f>VLOOKUP(orders!D972,[1]products!$A$1:$G$49, 5,FALSE)</f>
        <v>8.25</v>
      </c>
      <c r="M972" s="13">
        <f>PRODUCT(orders!$E972,orders!$L972)</f>
        <v>8.25</v>
      </c>
      <c r="N972" s="11" t="str">
        <f t="shared" si="30"/>
        <v>September</v>
      </c>
      <c r="O972" s="11">
        <f t="shared" si="31"/>
        <v>2019</v>
      </c>
      <c r="P972" s="11" t="str">
        <f>TEXT(orders!$B972, "DDD")</f>
        <v>Sat</v>
      </c>
      <c r="Q972" s="11" t="str">
        <f>VLOOKUP(orders!C972,[1]customers!$A$1:$I$1001, 6,FALSE)</f>
        <v>Amarillo</v>
      </c>
    </row>
    <row r="973" spans="1:17" x14ac:dyDescent="0.3">
      <c r="A973" s="14" t="s">
        <v>1882</v>
      </c>
      <c r="B973" s="15">
        <v>43703</v>
      </c>
      <c r="C973" s="16" t="s">
        <v>1883</v>
      </c>
      <c r="D973" s="17" t="s">
        <v>221</v>
      </c>
      <c r="E973" s="16">
        <v>5</v>
      </c>
      <c r="F973" s="9" t="str">
        <f>VLOOKUP(C973,[1]customers!$A$1:$I$1001, 2, FALSE)</f>
        <v>Noni Furber</v>
      </c>
      <c r="G973" s="16" t="str">
        <f>VLOOKUP(orders!C973,[1]customers!$A$1:$I$1001, 3, FALSE)</f>
        <v>nfurberqz@jugem.jp</v>
      </c>
      <c r="H973" s="16" t="str">
        <f>VLOOKUP(C973, [1]customers!$A$1:$I$1001, 7, FALSE)</f>
        <v>United States</v>
      </c>
      <c r="I973" s="18" t="str">
        <f>VLOOKUP(orders!D973,[1]products!$A$1:$G$49, 2,FALSE)</f>
        <v>Ara</v>
      </c>
      <c r="J973" s="18" t="str">
        <f>VLOOKUP(orders!D973,[1]products!$A$1:$G$49, 3,FALSE)</f>
        <v>L</v>
      </c>
      <c r="K973" s="19">
        <f>VLOOKUP(orders!D973,[1]products!$A$1:$G$49, 4,FALSE)</f>
        <v>2.5</v>
      </c>
      <c r="L973" s="19">
        <f>VLOOKUP(orders!D973,[1]products!$A$1:$G$49, 5,FALSE)</f>
        <v>29.784999999999997</v>
      </c>
      <c r="M973" s="13">
        <f>PRODUCT(orders!$E973,orders!$L973)</f>
        <v>148.92499999999998</v>
      </c>
      <c r="N973" s="18" t="str">
        <f t="shared" si="30"/>
        <v>August</v>
      </c>
      <c r="O973" s="18">
        <f t="shared" si="31"/>
        <v>2019</v>
      </c>
      <c r="P973" s="11" t="str">
        <f>TEXT(orders!$B973, "DDD")</f>
        <v>Mon</v>
      </c>
      <c r="Q973" s="11" t="str">
        <f>VLOOKUP(orders!C973,[1]customers!$A$1:$I$1001, 6,FALSE)</f>
        <v>Fort Worth</v>
      </c>
    </row>
    <row r="974" spans="1:17" x14ac:dyDescent="0.3">
      <c r="A974" s="7" t="s">
        <v>1884</v>
      </c>
      <c r="B974" s="8">
        <v>44411</v>
      </c>
      <c r="C974" s="9" t="s">
        <v>1885</v>
      </c>
      <c r="D974" s="10" t="s">
        <v>221</v>
      </c>
      <c r="E974" s="9">
        <v>3</v>
      </c>
      <c r="F974" s="9" t="str">
        <f>VLOOKUP(C974,[1]customers!$A$1:$I$1001, 2, FALSE)</f>
        <v>Dinah Crutcher</v>
      </c>
      <c r="G974" s="9">
        <f>VLOOKUP(orders!C974,[1]customers!$A$1:$I$1001, 3, FALSE)</f>
        <v>0</v>
      </c>
      <c r="H974" s="9" t="str">
        <f>VLOOKUP(C974, [1]customers!$A$1:$I$1001, 7, FALSE)</f>
        <v>Ireland</v>
      </c>
      <c r="I974" s="11" t="str">
        <f>VLOOKUP(orders!D974,[1]products!$A$1:$G$49, 2,FALSE)</f>
        <v>Ara</v>
      </c>
      <c r="J974" s="11" t="str">
        <f>VLOOKUP(orders!D974,[1]products!$A$1:$G$49, 3,FALSE)</f>
        <v>L</v>
      </c>
      <c r="K974" s="12">
        <f>VLOOKUP(orders!D974,[1]products!$A$1:$G$49, 4,FALSE)</f>
        <v>2.5</v>
      </c>
      <c r="L974" s="12">
        <f>VLOOKUP(orders!D974,[1]products!$A$1:$G$49, 5,FALSE)</f>
        <v>29.784999999999997</v>
      </c>
      <c r="M974" s="13">
        <f>PRODUCT(orders!$E974,orders!$L974)</f>
        <v>89.35499999999999</v>
      </c>
      <c r="N974" s="11" t="str">
        <f t="shared" si="30"/>
        <v>August</v>
      </c>
      <c r="O974" s="11">
        <f t="shared" si="31"/>
        <v>2021</v>
      </c>
      <c r="P974" s="11" t="str">
        <f>TEXT(orders!$B974, "DDD")</f>
        <v>Tue</v>
      </c>
      <c r="Q974" s="11" t="str">
        <f>VLOOKUP(orders!C974,[1]customers!$A$1:$I$1001, 6,FALSE)</f>
        <v>Lusk</v>
      </c>
    </row>
    <row r="975" spans="1:17" x14ac:dyDescent="0.3">
      <c r="A975" s="14" t="s">
        <v>1886</v>
      </c>
      <c r="B975" s="15">
        <v>44493</v>
      </c>
      <c r="C975" s="16" t="s">
        <v>1887</v>
      </c>
      <c r="D975" s="17" t="s">
        <v>113</v>
      </c>
      <c r="E975" s="16">
        <v>6</v>
      </c>
      <c r="F975" s="9" t="str">
        <f>VLOOKUP(C975,[1]customers!$A$1:$I$1001, 2, FALSE)</f>
        <v>Charlean Keave</v>
      </c>
      <c r="G975" s="16" t="str">
        <f>VLOOKUP(orders!C975,[1]customers!$A$1:$I$1001, 3, FALSE)</f>
        <v>ckeaver1@ucoz.com</v>
      </c>
      <c r="H975" s="16" t="str">
        <f>VLOOKUP(C975, [1]customers!$A$1:$I$1001, 7, FALSE)</f>
        <v>United States</v>
      </c>
      <c r="I975" s="18" t="str">
        <f>VLOOKUP(orders!D975,[1]products!$A$1:$G$49, 2,FALSE)</f>
        <v>Lib</v>
      </c>
      <c r="J975" s="18" t="str">
        <f>VLOOKUP(orders!D975,[1]products!$A$1:$G$49, 3,FALSE)</f>
        <v>M</v>
      </c>
      <c r="K975" s="19">
        <f>VLOOKUP(orders!D975,[1]products!$A$1:$G$49, 4,FALSE)</f>
        <v>1</v>
      </c>
      <c r="L975" s="19">
        <f>VLOOKUP(orders!D975,[1]products!$A$1:$G$49, 5,FALSE)</f>
        <v>14.55</v>
      </c>
      <c r="M975" s="13">
        <f>PRODUCT(orders!$E975,orders!$L975)</f>
        <v>87.300000000000011</v>
      </c>
      <c r="N975" s="18" t="str">
        <f t="shared" si="30"/>
        <v>October</v>
      </c>
      <c r="O975" s="18">
        <f t="shared" si="31"/>
        <v>2021</v>
      </c>
      <c r="P975" s="11" t="str">
        <f>TEXT(orders!$B975, "DDD")</f>
        <v>Sun</v>
      </c>
      <c r="Q975" s="11" t="str">
        <f>VLOOKUP(orders!C975,[1]customers!$A$1:$I$1001, 6,FALSE)</f>
        <v>Pensacola</v>
      </c>
    </row>
    <row r="976" spans="1:17" x14ac:dyDescent="0.3">
      <c r="A976" s="7" t="s">
        <v>1888</v>
      </c>
      <c r="B976" s="8">
        <v>43556</v>
      </c>
      <c r="C976" s="9" t="s">
        <v>1889</v>
      </c>
      <c r="D976" s="10" t="s">
        <v>163</v>
      </c>
      <c r="E976" s="9">
        <v>1</v>
      </c>
      <c r="F976" s="9" t="str">
        <f>VLOOKUP(C976,[1]customers!$A$1:$I$1001, 2, FALSE)</f>
        <v>Sada Roseborough</v>
      </c>
      <c r="G976" s="9" t="str">
        <f>VLOOKUP(orders!C976,[1]customers!$A$1:$I$1001, 3, FALSE)</f>
        <v>sroseboroughr2@virginia.edu</v>
      </c>
      <c r="H976" s="9" t="str">
        <f>VLOOKUP(C976, [1]customers!$A$1:$I$1001, 7, FALSE)</f>
        <v>United States</v>
      </c>
      <c r="I976" s="11" t="str">
        <f>VLOOKUP(orders!D976,[1]products!$A$1:$G$49, 2,FALSE)</f>
        <v>Rob</v>
      </c>
      <c r="J976" s="11" t="str">
        <f>VLOOKUP(orders!D976,[1]products!$A$1:$G$49, 3,FALSE)</f>
        <v>D</v>
      </c>
      <c r="K976" s="12">
        <f>VLOOKUP(orders!D976,[1]products!$A$1:$G$49, 4,FALSE)</f>
        <v>0.5</v>
      </c>
      <c r="L976" s="12">
        <f>VLOOKUP(orders!D976,[1]products!$A$1:$G$49, 5,FALSE)</f>
        <v>5.3699999999999992</v>
      </c>
      <c r="M976" s="13">
        <f>PRODUCT(orders!$E976,orders!$L976)</f>
        <v>5.3699999999999992</v>
      </c>
      <c r="N976" s="11" t="str">
        <f t="shared" si="30"/>
        <v>April</v>
      </c>
      <c r="O976" s="11">
        <f t="shared" si="31"/>
        <v>2019</v>
      </c>
      <c r="P976" s="11" t="str">
        <f>TEXT(orders!$B976, "DDD")</f>
        <v>Mon</v>
      </c>
      <c r="Q976" s="11" t="str">
        <f>VLOOKUP(orders!C976,[1]customers!$A$1:$I$1001, 6,FALSE)</f>
        <v>Tacoma</v>
      </c>
    </row>
    <row r="977" spans="1:17" x14ac:dyDescent="0.3">
      <c r="A977" s="14" t="s">
        <v>1890</v>
      </c>
      <c r="B977" s="15">
        <v>44538</v>
      </c>
      <c r="C977" s="16" t="s">
        <v>1891</v>
      </c>
      <c r="D977" s="17" t="s">
        <v>71</v>
      </c>
      <c r="E977" s="16">
        <v>3</v>
      </c>
      <c r="F977" s="9" t="str">
        <f>VLOOKUP(C977,[1]customers!$A$1:$I$1001, 2, FALSE)</f>
        <v>Clayton Kingwell</v>
      </c>
      <c r="G977" s="16" t="str">
        <f>VLOOKUP(orders!C977,[1]customers!$A$1:$I$1001, 3, FALSE)</f>
        <v>ckingwellr3@squarespace.com</v>
      </c>
      <c r="H977" s="16" t="str">
        <f>VLOOKUP(C977, [1]customers!$A$1:$I$1001, 7, FALSE)</f>
        <v>Ireland</v>
      </c>
      <c r="I977" s="18" t="str">
        <f>VLOOKUP(orders!D977,[1]products!$A$1:$G$49, 2,FALSE)</f>
        <v>Ara</v>
      </c>
      <c r="J977" s="18" t="str">
        <f>VLOOKUP(orders!D977,[1]products!$A$1:$G$49, 3,FALSE)</f>
        <v>D</v>
      </c>
      <c r="K977" s="19">
        <f>VLOOKUP(orders!D977,[1]products!$A$1:$G$49, 4,FALSE)</f>
        <v>0.2</v>
      </c>
      <c r="L977" s="19">
        <f>VLOOKUP(orders!D977,[1]products!$A$1:$G$49, 5,FALSE)</f>
        <v>2.9849999999999999</v>
      </c>
      <c r="M977" s="13">
        <f>PRODUCT(orders!$E977,orders!$L977)</f>
        <v>8.9550000000000001</v>
      </c>
      <c r="N977" s="18" t="str">
        <f t="shared" si="30"/>
        <v>December</v>
      </c>
      <c r="O977" s="18">
        <f t="shared" si="31"/>
        <v>2021</v>
      </c>
      <c r="P977" s="11" t="str">
        <f>TEXT(orders!$B977, "DDD")</f>
        <v>Wed</v>
      </c>
      <c r="Q977" s="11" t="str">
        <f>VLOOKUP(orders!C977,[1]customers!$A$1:$I$1001, 6,FALSE)</f>
        <v>Rathnew</v>
      </c>
    </row>
    <row r="978" spans="1:17" x14ac:dyDescent="0.3">
      <c r="A978" s="7" t="s">
        <v>1892</v>
      </c>
      <c r="B978" s="8">
        <v>43643</v>
      </c>
      <c r="C978" s="9" t="s">
        <v>1893</v>
      </c>
      <c r="D978" s="10" t="s">
        <v>27</v>
      </c>
      <c r="E978" s="9">
        <v>5</v>
      </c>
      <c r="F978" s="9" t="str">
        <f>VLOOKUP(C978,[1]customers!$A$1:$I$1001, 2, FALSE)</f>
        <v>Kacy Canto</v>
      </c>
      <c r="G978" s="9" t="str">
        <f>VLOOKUP(orders!C978,[1]customers!$A$1:$I$1001, 3, FALSE)</f>
        <v>kcantor4@gmpg.org</v>
      </c>
      <c r="H978" s="9" t="str">
        <f>VLOOKUP(C978, [1]customers!$A$1:$I$1001, 7, FALSE)</f>
        <v>United States</v>
      </c>
      <c r="I978" s="11" t="str">
        <f>VLOOKUP(orders!D978,[1]products!$A$1:$G$49, 2,FALSE)</f>
        <v>Rob</v>
      </c>
      <c r="J978" s="11" t="str">
        <f>VLOOKUP(orders!D978,[1]products!$A$1:$G$49, 3,FALSE)</f>
        <v>L</v>
      </c>
      <c r="K978" s="12">
        <f>VLOOKUP(orders!D978,[1]products!$A$1:$G$49, 4,FALSE)</f>
        <v>2.5</v>
      </c>
      <c r="L978" s="12">
        <f>VLOOKUP(orders!D978,[1]products!$A$1:$G$49, 5,FALSE)</f>
        <v>27.484999999999996</v>
      </c>
      <c r="M978" s="13">
        <f>PRODUCT(orders!$E978,orders!$L978)</f>
        <v>137.42499999999998</v>
      </c>
      <c r="N978" s="11" t="str">
        <f t="shared" si="30"/>
        <v>June</v>
      </c>
      <c r="O978" s="11">
        <f t="shared" si="31"/>
        <v>2019</v>
      </c>
      <c r="P978" s="11" t="str">
        <f>TEXT(orders!$B978, "DDD")</f>
        <v>Thu</v>
      </c>
      <c r="Q978" s="11" t="str">
        <f>VLOOKUP(orders!C978,[1]customers!$A$1:$I$1001, 6,FALSE)</f>
        <v>Fort Wayne</v>
      </c>
    </row>
    <row r="979" spans="1:17" x14ac:dyDescent="0.3">
      <c r="A979" s="14" t="s">
        <v>1894</v>
      </c>
      <c r="B979" s="15">
        <v>44026</v>
      </c>
      <c r="C979" s="16" t="s">
        <v>1895</v>
      </c>
      <c r="D979" s="17" t="s">
        <v>206</v>
      </c>
      <c r="E979" s="16">
        <v>5</v>
      </c>
      <c r="F979" s="9" t="str">
        <f>VLOOKUP(C979,[1]customers!$A$1:$I$1001, 2, FALSE)</f>
        <v>Mab Blakemore</v>
      </c>
      <c r="G979" s="16" t="str">
        <f>VLOOKUP(orders!C979,[1]customers!$A$1:$I$1001, 3, FALSE)</f>
        <v>mblakemorer5@nsw.gov.au</v>
      </c>
      <c r="H979" s="16" t="str">
        <f>VLOOKUP(C979, [1]customers!$A$1:$I$1001, 7, FALSE)</f>
        <v>United States</v>
      </c>
      <c r="I979" s="18" t="str">
        <f>VLOOKUP(orders!D979,[1]products!$A$1:$G$49, 2,FALSE)</f>
        <v>Rob</v>
      </c>
      <c r="J979" s="18" t="str">
        <f>VLOOKUP(orders!D979,[1]products!$A$1:$G$49, 3,FALSE)</f>
        <v>L</v>
      </c>
      <c r="K979" s="19">
        <f>VLOOKUP(orders!D979,[1]products!$A$1:$G$49, 4,FALSE)</f>
        <v>1</v>
      </c>
      <c r="L979" s="19">
        <f>VLOOKUP(orders!D979,[1]products!$A$1:$G$49, 5,FALSE)</f>
        <v>11.95</v>
      </c>
      <c r="M979" s="13">
        <f>PRODUCT(orders!$E979,orders!$L979)</f>
        <v>59.75</v>
      </c>
      <c r="N979" s="18" t="str">
        <f t="shared" si="30"/>
        <v>July</v>
      </c>
      <c r="O979" s="18">
        <f t="shared" si="31"/>
        <v>2020</v>
      </c>
      <c r="P979" s="11" t="str">
        <f>TEXT(orders!$B979, "DDD")</f>
        <v>Tue</v>
      </c>
      <c r="Q979" s="11" t="str">
        <f>VLOOKUP(orders!C979,[1]customers!$A$1:$I$1001, 6,FALSE)</f>
        <v>Amarillo</v>
      </c>
    </row>
    <row r="980" spans="1:17" x14ac:dyDescent="0.3">
      <c r="A980" s="7" t="s">
        <v>1896</v>
      </c>
      <c r="B980" s="8">
        <v>43913</v>
      </c>
      <c r="C980" s="9" t="s">
        <v>1887</v>
      </c>
      <c r="D980" s="10" t="s">
        <v>209</v>
      </c>
      <c r="E980" s="9">
        <v>3</v>
      </c>
      <c r="F980" s="9" t="str">
        <f>VLOOKUP(C980,[1]customers!$A$1:$I$1001, 2, FALSE)</f>
        <v>Charlean Keave</v>
      </c>
      <c r="G980" s="9" t="str">
        <f>VLOOKUP(orders!C980,[1]customers!$A$1:$I$1001, 3, FALSE)</f>
        <v>ckeaver1@ucoz.com</v>
      </c>
      <c r="H980" s="9" t="str">
        <f>VLOOKUP(C980, [1]customers!$A$1:$I$1001, 7, FALSE)</f>
        <v>United States</v>
      </c>
      <c r="I980" s="11" t="str">
        <f>VLOOKUP(orders!D980,[1]products!$A$1:$G$49, 2,FALSE)</f>
        <v>Ara</v>
      </c>
      <c r="J980" s="11" t="str">
        <f>VLOOKUP(orders!D980,[1]products!$A$1:$G$49, 3,FALSE)</f>
        <v>L</v>
      </c>
      <c r="K980" s="12">
        <f>VLOOKUP(orders!D980,[1]products!$A$1:$G$49, 4,FALSE)</f>
        <v>0.5</v>
      </c>
      <c r="L980" s="12">
        <f>VLOOKUP(orders!D980,[1]products!$A$1:$G$49, 5,FALSE)</f>
        <v>7.77</v>
      </c>
      <c r="M980" s="13">
        <f>PRODUCT(orders!$E980,orders!$L980)</f>
        <v>23.31</v>
      </c>
      <c r="N980" s="11" t="str">
        <f t="shared" si="30"/>
        <v>March</v>
      </c>
      <c r="O980" s="11">
        <f t="shared" si="31"/>
        <v>2020</v>
      </c>
      <c r="P980" s="11" t="str">
        <f>TEXT(orders!$B980, "DDD")</f>
        <v>Mon</v>
      </c>
      <c r="Q980" s="11" t="str">
        <f>VLOOKUP(orders!C980,[1]customers!$A$1:$I$1001, 6,FALSE)</f>
        <v>Pensacola</v>
      </c>
    </row>
    <row r="981" spans="1:17" x14ac:dyDescent="0.3">
      <c r="A981" s="14" t="s">
        <v>1897</v>
      </c>
      <c r="B981" s="15">
        <v>43856</v>
      </c>
      <c r="C981" s="16" t="s">
        <v>1898</v>
      </c>
      <c r="D981" s="17" t="s">
        <v>163</v>
      </c>
      <c r="E981" s="16">
        <v>2</v>
      </c>
      <c r="F981" s="9" t="str">
        <f>VLOOKUP(C981,[1]customers!$A$1:$I$1001, 2, FALSE)</f>
        <v>Javier Causnett</v>
      </c>
      <c r="G981" s="16">
        <f>VLOOKUP(orders!C981,[1]customers!$A$1:$I$1001, 3, FALSE)</f>
        <v>0</v>
      </c>
      <c r="H981" s="16" t="str">
        <f>VLOOKUP(C981, [1]customers!$A$1:$I$1001, 7, FALSE)</f>
        <v>United States</v>
      </c>
      <c r="I981" s="18" t="str">
        <f>VLOOKUP(orders!D981,[1]products!$A$1:$G$49, 2,FALSE)</f>
        <v>Rob</v>
      </c>
      <c r="J981" s="18" t="str">
        <f>VLOOKUP(orders!D981,[1]products!$A$1:$G$49, 3,FALSE)</f>
        <v>D</v>
      </c>
      <c r="K981" s="19">
        <f>VLOOKUP(orders!D981,[1]products!$A$1:$G$49, 4,FALSE)</f>
        <v>0.5</v>
      </c>
      <c r="L981" s="19">
        <f>VLOOKUP(orders!D981,[1]products!$A$1:$G$49, 5,FALSE)</f>
        <v>5.3699999999999992</v>
      </c>
      <c r="M981" s="13">
        <f>PRODUCT(orders!$E981,orders!$L981)</f>
        <v>10.739999999999998</v>
      </c>
      <c r="N981" s="18" t="str">
        <f t="shared" si="30"/>
        <v>January</v>
      </c>
      <c r="O981" s="18">
        <f t="shared" si="31"/>
        <v>2020</v>
      </c>
      <c r="P981" s="11" t="str">
        <f>TEXT(orders!$B981, "DDD")</f>
        <v>Sun</v>
      </c>
      <c r="Q981" s="11" t="str">
        <f>VLOOKUP(orders!C981,[1]customers!$A$1:$I$1001, 6,FALSE)</f>
        <v>Silver Spring</v>
      </c>
    </row>
    <row r="982" spans="1:17" x14ac:dyDescent="0.3">
      <c r="A982" s="7" t="s">
        <v>1899</v>
      </c>
      <c r="B982" s="8">
        <v>43982</v>
      </c>
      <c r="C982" s="9" t="s">
        <v>1900</v>
      </c>
      <c r="D982" s="10" t="s">
        <v>547</v>
      </c>
      <c r="E982" s="9">
        <v>6</v>
      </c>
      <c r="F982" s="9" t="str">
        <f>VLOOKUP(C982,[1]customers!$A$1:$I$1001, 2, FALSE)</f>
        <v>Demetris Micheli</v>
      </c>
      <c r="G982" s="9">
        <f>VLOOKUP(orders!C982,[1]customers!$A$1:$I$1001, 3, FALSE)</f>
        <v>0</v>
      </c>
      <c r="H982" s="9" t="str">
        <f>VLOOKUP(C982, [1]customers!$A$1:$I$1001, 7, FALSE)</f>
        <v>United States</v>
      </c>
      <c r="I982" s="11" t="str">
        <f>VLOOKUP(orders!D982,[1]products!$A$1:$G$49, 2,FALSE)</f>
        <v>Exc</v>
      </c>
      <c r="J982" s="11" t="str">
        <f>VLOOKUP(orders!D982,[1]products!$A$1:$G$49, 3,FALSE)</f>
        <v>D</v>
      </c>
      <c r="K982" s="12">
        <f>VLOOKUP(orders!D982,[1]products!$A$1:$G$49, 4,FALSE)</f>
        <v>2.5</v>
      </c>
      <c r="L982" s="12">
        <f>VLOOKUP(orders!D982,[1]products!$A$1:$G$49, 5,FALSE)</f>
        <v>27.945</v>
      </c>
      <c r="M982" s="13">
        <f>PRODUCT(orders!$E982,orders!$L982)</f>
        <v>167.67000000000002</v>
      </c>
      <c r="N982" s="11" t="str">
        <f t="shared" si="30"/>
        <v>May</v>
      </c>
      <c r="O982" s="11">
        <f t="shared" si="31"/>
        <v>2020</v>
      </c>
      <c r="P982" s="11" t="str">
        <f>TEXT(orders!$B982, "DDD")</f>
        <v>Sun</v>
      </c>
      <c r="Q982" s="11" t="str">
        <f>VLOOKUP(orders!C982,[1]customers!$A$1:$I$1001, 6,FALSE)</f>
        <v>Madison</v>
      </c>
    </row>
    <row r="983" spans="1:17" x14ac:dyDescent="0.3">
      <c r="A983" s="14" t="s">
        <v>1901</v>
      </c>
      <c r="B983" s="15">
        <v>44397</v>
      </c>
      <c r="C983" s="16" t="s">
        <v>1902</v>
      </c>
      <c r="D983" s="17" t="s">
        <v>68</v>
      </c>
      <c r="E983" s="16">
        <v>6</v>
      </c>
      <c r="F983" s="9" t="str">
        <f>VLOOKUP(C983,[1]customers!$A$1:$I$1001, 2, FALSE)</f>
        <v>Chloette Bernardot</v>
      </c>
      <c r="G983" s="16" t="str">
        <f>VLOOKUP(orders!C983,[1]customers!$A$1:$I$1001, 3, FALSE)</f>
        <v>cbernardotr9@wix.com</v>
      </c>
      <c r="H983" s="16" t="str">
        <f>VLOOKUP(C983, [1]customers!$A$1:$I$1001, 7, FALSE)</f>
        <v>United States</v>
      </c>
      <c r="I983" s="18" t="str">
        <f>VLOOKUP(orders!D983,[1]products!$A$1:$G$49, 2,FALSE)</f>
        <v>Exc</v>
      </c>
      <c r="J983" s="18" t="str">
        <f>VLOOKUP(orders!D983,[1]products!$A$1:$G$49, 3,FALSE)</f>
        <v>D</v>
      </c>
      <c r="K983" s="19">
        <f>VLOOKUP(orders!D983,[1]products!$A$1:$G$49, 4,FALSE)</f>
        <v>0.2</v>
      </c>
      <c r="L983" s="19">
        <f>VLOOKUP(orders!D983,[1]products!$A$1:$G$49, 5,FALSE)</f>
        <v>3.645</v>
      </c>
      <c r="M983" s="13">
        <f>PRODUCT(orders!$E983,orders!$L983)</f>
        <v>21.87</v>
      </c>
      <c r="N983" s="18" t="str">
        <f t="shared" si="30"/>
        <v>July</v>
      </c>
      <c r="O983" s="18">
        <f t="shared" si="31"/>
        <v>2021</v>
      </c>
      <c r="P983" s="11" t="str">
        <f>TEXT(orders!$B983, "DDD")</f>
        <v>Tue</v>
      </c>
      <c r="Q983" s="11" t="str">
        <f>VLOOKUP(orders!C983,[1]customers!$A$1:$I$1001, 6,FALSE)</f>
        <v>Conroe</v>
      </c>
    </row>
    <row r="984" spans="1:17" x14ac:dyDescent="0.3">
      <c r="A984" s="7" t="s">
        <v>1903</v>
      </c>
      <c r="B984" s="8">
        <v>44785</v>
      </c>
      <c r="C984" s="9" t="s">
        <v>1904</v>
      </c>
      <c r="D984" s="10" t="s">
        <v>206</v>
      </c>
      <c r="E984" s="9">
        <v>2</v>
      </c>
      <c r="F984" s="9" t="str">
        <f>VLOOKUP(C984,[1]customers!$A$1:$I$1001, 2, FALSE)</f>
        <v>Kim Kemery</v>
      </c>
      <c r="G984" s="9" t="str">
        <f>VLOOKUP(orders!C984,[1]customers!$A$1:$I$1001, 3, FALSE)</f>
        <v>kkemeryra@t.co</v>
      </c>
      <c r="H984" s="9" t="str">
        <f>VLOOKUP(C984, [1]customers!$A$1:$I$1001, 7, FALSE)</f>
        <v>United States</v>
      </c>
      <c r="I984" s="11" t="str">
        <f>VLOOKUP(orders!D984,[1]products!$A$1:$G$49, 2,FALSE)</f>
        <v>Rob</v>
      </c>
      <c r="J984" s="11" t="str">
        <f>VLOOKUP(orders!D984,[1]products!$A$1:$G$49, 3,FALSE)</f>
        <v>L</v>
      </c>
      <c r="K984" s="12">
        <f>VLOOKUP(orders!D984,[1]products!$A$1:$G$49, 4,FALSE)</f>
        <v>1</v>
      </c>
      <c r="L984" s="12">
        <f>VLOOKUP(orders!D984,[1]products!$A$1:$G$49, 5,FALSE)</f>
        <v>11.95</v>
      </c>
      <c r="M984" s="13">
        <f>PRODUCT(orders!$E984,orders!$L984)</f>
        <v>23.9</v>
      </c>
      <c r="N984" s="11" t="str">
        <f t="shared" si="30"/>
        <v>August</v>
      </c>
      <c r="O984" s="11">
        <f t="shared" si="31"/>
        <v>2022</v>
      </c>
      <c r="P984" s="11" t="str">
        <f>TEXT(orders!$B984, "DDD")</f>
        <v>Fri</v>
      </c>
      <c r="Q984" s="11" t="str">
        <f>VLOOKUP(orders!C984,[1]customers!$A$1:$I$1001, 6,FALSE)</f>
        <v>Denton</v>
      </c>
    </row>
    <row r="985" spans="1:17" x14ac:dyDescent="0.3">
      <c r="A985" s="14" t="s">
        <v>1905</v>
      </c>
      <c r="B985" s="15">
        <v>43831</v>
      </c>
      <c r="C985" s="16" t="s">
        <v>1906</v>
      </c>
      <c r="D985" s="17" t="s">
        <v>61</v>
      </c>
      <c r="E985" s="16">
        <v>2</v>
      </c>
      <c r="F985" s="9" t="str">
        <f>VLOOKUP(C985,[1]customers!$A$1:$I$1001, 2, FALSE)</f>
        <v>Fanchette Parlot</v>
      </c>
      <c r="G985" s="16" t="str">
        <f>VLOOKUP(orders!C985,[1]customers!$A$1:$I$1001, 3, FALSE)</f>
        <v>fparlotrb@forbes.com</v>
      </c>
      <c r="H985" s="16" t="str">
        <f>VLOOKUP(C985, [1]customers!$A$1:$I$1001, 7, FALSE)</f>
        <v>United States</v>
      </c>
      <c r="I985" s="18" t="str">
        <f>VLOOKUP(orders!D985,[1]products!$A$1:$G$49, 2,FALSE)</f>
        <v>Ara</v>
      </c>
      <c r="J985" s="18" t="str">
        <f>VLOOKUP(orders!D985,[1]products!$A$1:$G$49, 3,FALSE)</f>
        <v>M</v>
      </c>
      <c r="K985" s="19">
        <f>VLOOKUP(orders!D985,[1]products!$A$1:$G$49, 4,FALSE)</f>
        <v>0.2</v>
      </c>
      <c r="L985" s="19">
        <f>VLOOKUP(orders!D985,[1]products!$A$1:$G$49, 5,FALSE)</f>
        <v>3.375</v>
      </c>
      <c r="M985" s="13">
        <f>PRODUCT(orders!$E985,orders!$L985)</f>
        <v>6.75</v>
      </c>
      <c r="N985" s="18" t="str">
        <f t="shared" si="30"/>
        <v>January</v>
      </c>
      <c r="O985" s="18">
        <f t="shared" si="31"/>
        <v>2020</v>
      </c>
      <c r="P985" s="11" t="str">
        <f>TEXT(orders!$B985, "DDD")</f>
        <v>Wed</v>
      </c>
      <c r="Q985" s="11" t="str">
        <f>VLOOKUP(orders!C985,[1]customers!$A$1:$I$1001, 6,FALSE)</f>
        <v>Columbus</v>
      </c>
    </row>
    <row r="986" spans="1:17" x14ac:dyDescent="0.3">
      <c r="A986" s="7" t="s">
        <v>1907</v>
      </c>
      <c r="B986" s="8">
        <v>44214</v>
      </c>
      <c r="C986" s="9" t="s">
        <v>1908</v>
      </c>
      <c r="D986" s="10" t="s">
        <v>129</v>
      </c>
      <c r="E986" s="9">
        <v>1</v>
      </c>
      <c r="F986" s="9" t="str">
        <f>VLOOKUP(C986,[1]customers!$A$1:$I$1001, 2, FALSE)</f>
        <v>Ramon Cheak</v>
      </c>
      <c r="G986" s="9" t="str">
        <f>VLOOKUP(orders!C986,[1]customers!$A$1:$I$1001, 3, FALSE)</f>
        <v>rcheakrc@tripadvisor.com</v>
      </c>
      <c r="H986" s="9" t="str">
        <f>VLOOKUP(C986, [1]customers!$A$1:$I$1001, 7, FALSE)</f>
        <v>Ireland</v>
      </c>
      <c r="I986" s="11" t="str">
        <f>VLOOKUP(orders!D986,[1]products!$A$1:$G$49, 2,FALSE)</f>
        <v>Exc</v>
      </c>
      <c r="J986" s="11" t="str">
        <f>VLOOKUP(orders!D986,[1]products!$A$1:$G$49, 3,FALSE)</f>
        <v>M</v>
      </c>
      <c r="K986" s="12">
        <f>VLOOKUP(orders!D986,[1]products!$A$1:$G$49, 4,FALSE)</f>
        <v>2.5</v>
      </c>
      <c r="L986" s="12">
        <f>VLOOKUP(orders!D986,[1]products!$A$1:$G$49, 5,FALSE)</f>
        <v>31.624999999999996</v>
      </c>
      <c r="M986" s="13">
        <f>PRODUCT(orders!$E986,orders!$L986)</f>
        <v>31.624999999999996</v>
      </c>
      <c r="N986" s="11" t="str">
        <f t="shared" si="30"/>
        <v>January</v>
      </c>
      <c r="O986" s="11">
        <f t="shared" si="31"/>
        <v>2021</v>
      </c>
      <c r="P986" s="11" t="str">
        <f>TEXT(orders!$B986, "DDD")</f>
        <v>Mon</v>
      </c>
      <c r="Q986" s="11" t="str">
        <f>VLOOKUP(orders!C986,[1]customers!$A$1:$I$1001, 6,FALSE)</f>
        <v>Bundoran</v>
      </c>
    </row>
    <row r="987" spans="1:17" x14ac:dyDescent="0.3">
      <c r="A987" s="14" t="s">
        <v>1909</v>
      </c>
      <c r="B987" s="15">
        <v>44561</v>
      </c>
      <c r="C987" s="16" t="s">
        <v>1910</v>
      </c>
      <c r="D987" s="17" t="s">
        <v>206</v>
      </c>
      <c r="E987" s="16">
        <v>4</v>
      </c>
      <c r="F987" s="9" t="str">
        <f>VLOOKUP(C987,[1]customers!$A$1:$I$1001, 2, FALSE)</f>
        <v>Koressa O'Geneay</v>
      </c>
      <c r="G987" s="16" t="str">
        <f>VLOOKUP(orders!C987,[1]customers!$A$1:$I$1001, 3, FALSE)</f>
        <v>kogeneayrd@utexas.edu</v>
      </c>
      <c r="H987" s="16" t="str">
        <f>VLOOKUP(C987, [1]customers!$A$1:$I$1001, 7, FALSE)</f>
        <v>United States</v>
      </c>
      <c r="I987" s="18" t="str">
        <f>VLOOKUP(orders!D987,[1]products!$A$1:$G$49, 2,FALSE)</f>
        <v>Rob</v>
      </c>
      <c r="J987" s="18" t="str">
        <f>VLOOKUP(orders!D987,[1]products!$A$1:$G$49, 3,FALSE)</f>
        <v>L</v>
      </c>
      <c r="K987" s="19">
        <f>VLOOKUP(orders!D987,[1]products!$A$1:$G$49, 4,FALSE)</f>
        <v>1</v>
      </c>
      <c r="L987" s="19">
        <f>VLOOKUP(orders!D987,[1]products!$A$1:$G$49, 5,FALSE)</f>
        <v>11.95</v>
      </c>
      <c r="M987" s="13">
        <f>PRODUCT(orders!$E987,orders!$L987)</f>
        <v>47.8</v>
      </c>
      <c r="N987" s="18" t="str">
        <f t="shared" si="30"/>
        <v>December</v>
      </c>
      <c r="O987" s="18">
        <f t="shared" si="31"/>
        <v>2021</v>
      </c>
      <c r="P987" s="11" t="str">
        <f>TEXT(orders!$B987, "DDD")</f>
        <v>Fri</v>
      </c>
      <c r="Q987" s="11" t="str">
        <f>VLOOKUP(orders!C987,[1]customers!$A$1:$I$1001, 6,FALSE)</f>
        <v>Aurora</v>
      </c>
    </row>
    <row r="988" spans="1:17" x14ac:dyDescent="0.3">
      <c r="A988" s="7" t="s">
        <v>1911</v>
      </c>
      <c r="B988" s="8">
        <v>43955</v>
      </c>
      <c r="C988" s="9" t="s">
        <v>1912</v>
      </c>
      <c r="D988" s="10" t="s">
        <v>214</v>
      </c>
      <c r="E988" s="9">
        <v>1</v>
      </c>
      <c r="F988" s="9" t="str">
        <f>VLOOKUP(C988,[1]customers!$A$1:$I$1001, 2, FALSE)</f>
        <v>Claudell Ayre</v>
      </c>
      <c r="G988" s="9" t="str">
        <f>VLOOKUP(orders!C988,[1]customers!$A$1:$I$1001, 3, FALSE)</f>
        <v>cayrere@symantec.com</v>
      </c>
      <c r="H988" s="9" t="str">
        <f>VLOOKUP(C988, [1]customers!$A$1:$I$1001, 7, FALSE)</f>
        <v>United States</v>
      </c>
      <c r="I988" s="11" t="str">
        <f>VLOOKUP(orders!D988,[1]products!$A$1:$G$49, 2,FALSE)</f>
        <v>Lib</v>
      </c>
      <c r="J988" s="11" t="str">
        <f>VLOOKUP(orders!D988,[1]products!$A$1:$G$49, 3,FALSE)</f>
        <v>M</v>
      </c>
      <c r="K988" s="12">
        <f>VLOOKUP(orders!D988,[1]products!$A$1:$G$49, 4,FALSE)</f>
        <v>2.5</v>
      </c>
      <c r="L988" s="12">
        <f>VLOOKUP(orders!D988,[1]products!$A$1:$G$49, 5,FALSE)</f>
        <v>33.464999999999996</v>
      </c>
      <c r="M988" s="13">
        <f>PRODUCT(orders!$E988,orders!$L988)</f>
        <v>33.464999999999996</v>
      </c>
      <c r="N988" s="11" t="str">
        <f t="shared" si="30"/>
        <v>May</v>
      </c>
      <c r="O988" s="11">
        <f t="shared" si="31"/>
        <v>2020</v>
      </c>
      <c r="P988" s="11" t="str">
        <f>TEXT(orders!$B988, "DDD")</f>
        <v>Mon</v>
      </c>
      <c r="Q988" s="11" t="str">
        <f>VLOOKUP(orders!C988,[1]customers!$A$1:$I$1001, 6,FALSE)</f>
        <v>Daytona Beach</v>
      </c>
    </row>
    <row r="989" spans="1:17" x14ac:dyDescent="0.3">
      <c r="A989" s="14" t="s">
        <v>1913</v>
      </c>
      <c r="B989" s="15">
        <v>44247</v>
      </c>
      <c r="C989" s="16" t="s">
        <v>1914</v>
      </c>
      <c r="D989" s="17" t="s">
        <v>89</v>
      </c>
      <c r="E989" s="16">
        <v>5</v>
      </c>
      <c r="F989" s="9" t="str">
        <f>VLOOKUP(C989,[1]customers!$A$1:$I$1001, 2, FALSE)</f>
        <v>Lorianne Kyneton</v>
      </c>
      <c r="G989" s="16" t="str">
        <f>VLOOKUP(orders!C989,[1]customers!$A$1:$I$1001, 3, FALSE)</f>
        <v>lkynetonrf@macromedia.com</v>
      </c>
      <c r="H989" s="16" t="str">
        <f>VLOOKUP(C989, [1]customers!$A$1:$I$1001, 7, FALSE)</f>
        <v>United Kingdom</v>
      </c>
      <c r="I989" s="18" t="str">
        <f>VLOOKUP(orders!D989,[1]products!$A$1:$G$49, 2,FALSE)</f>
        <v>Ara</v>
      </c>
      <c r="J989" s="18" t="str">
        <f>VLOOKUP(orders!D989,[1]products!$A$1:$G$49, 3,FALSE)</f>
        <v>D</v>
      </c>
      <c r="K989" s="19">
        <f>VLOOKUP(orders!D989,[1]products!$A$1:$G$49, 4,FALSE)</f>
        <v>0.5</v>
      </c>
      <c r="L989" s="19">
        <f>VLOOKUP(orders!D989,[1]products!$A$1:$G$49, 5,FALSE)</f>
        <v>5.97</v>
      </c>
      <c r="M989" s="13">
        <f>PRODUCT(orders!$E989,orders!$L989)</f>
        <v>29.849999999999998</v>
      </c>
      <c r="N989" s="18" t="str">
        <f t="shared" si="30"/>
        <v>February</v>
      </c>
      <c r="O989" s="18">
        <f t="shared" si="31"/>
        <v>2021</v>
      </c>
      <c r="P989" s="11" t="str">
        <f>TEXT(orders!$B989, "DDD")</f>
        <v>Sat</v>
      </c>
      <c r="Q989" s="11" t="str">
        <f>VLOOKUP(orders!C989,[1]customers!$A$1:$I$1001, 6,FALSE)</f>
        <v>Seaton</v>
      </c>
    </row>
    <row r="990" spans="1:17" x14ac:dyDescent="0.3">
      <c r="A990" s="7" t="s">
        <v>1915</v>
      </c>
      <c r="B990" s="8">
        <v>43897</v>
      </c>
      <c r="C990" s="9" t="s">
        <v>1916</v>
      </c>
      <c r="D990" s="10" t="s">
        <v>19</v>
      </c>
      <c r="E990" s="9">
        <v>3</v>
      </c>
      <c r="F990" s="9" t="str">
        <f>VLOOKUP(C990,[1]customers!$A$1:$I$1001, 2, FALSE)</f>
        <v>Adele McFayden</v>
      </c>
      <c r="G990" s="9">
        <f>VLOOKUP(orders!C990,[1]customers!$A$1:$I$1001, 3, FALSE)</f>
        <v>0</v>
      </c>
      <c r="H990" s="9" t="str">
        <f>VLOOKUP(C990, [1]customers!$A$1:$I$1001, 7, FALSE)</f>
        <v>United Kingdom</v>
      </c>
      <c r="I990" s="11" t="str">
        <f>VLOOKUP(orders!D990,[1]products!$A$1:$G$49, 2,FALSE)</f>
        <v>Rob</v>
      </c>
      <c r="J990" s="11" t="str">
        <f>VLOOKUP(orders!D990,[1]products!$A$1:$G$49, 3,FALSE)</f>
        <v>M</v>
      </c>
      <c r="K990" s="12">
        <f>VLOOKUP(orders!D990,[1]products!$A$1:$G$49, 4,FALSE)</f>
        <v>1</v>
      </c>
      <c r="L990" s="12">
        <f>VLOOKUP(orders!D990,[1]products!$A$1:$G$49, 5,FALSE)</f>
        <v>9.9499999999999993</v>
      </c>
      <c r="M990" s="13">
        <f>PRODUCT(orders!$E990,orders!$L990)</f>
        <v>29.849999999999998</v>
      </c>
      <c r="N990" s="11" t="str">
        <f t="shared" si="30"/>
        <v>March</v>
      </c>
      <c r="O990" s="11">
        <f t="shared" si="31"/>
        <v>2020</v>
      </c>
      <c r="P990" s="11" t="str">
        <f>TEXT(orders!$B990, "DDD")</f>
        <v>Sat</v>
      </c>
      <c r="Q990" s="11" t="str">
        <f>VLOOKUP(orders!C990,[1]customers!$A$1:$I$1001, 6,FALSE)</f>
        <v>Wirral</v>
      </c>
    </row>
    <row r="991" spans="1:17" x14ac:dyDescent="0.3">
      <c r="A991" s="14" t="s">
        <v>1917</v>
      </c>
      <c r="B991" s="15">
        <v>43560</v>
      </c>
      <c r="C991" s="16" t="s">
        <v>1918</v>
      </c>
      <c r="D991" s="17" t="s">
        <v>188</v>
      </c>
      <c r="E991" s="16">
        <v>6</v>
      </c>
      <c r="F991" s="9" t="str">
        <f>VLOOKUP(C991,[1]customers!$A$1:$I$1001, 2, FALSE)</f>
        <v>Herta Layne</v>
      </c>
      <c r="G991" s="16">
        <f>VLOOKUP(orders!C991,[1]customers!$A$1:$I$1001, 3, FALSE)</f>
        <v>0</v>
      </c>
      <c r="H991" s="16" t="str">
        <f>VLOOKUP(C991, [1]customers!$A$1:$I$1001, 7, FALSE)</f>
        <v>United States</v>
      </c>
      <c r="I991" s="18" t="str">
        <f>VLOOKUP(orders!D991,[1]products!$A$1:$G$49, 2,FALSE)</f>
        <v>Ara</v>
      </c>
      <c r="J991" s="18" t="str">
        <f>VLOOKUP(orders!D991,[1]products!$A$1:$G$49, 3,FALSE)</f>
        <v>M</v>
      </c>
      <c r="K991" s="19">
        <f>VLOOKUP(orders!D991,[1]products!$A$1:$G$49, 4,FALSE)</f>
        <v>2.5</v>
      </c>
      <c r="L991" s="19">
        <f>VLOOKUP(orders!D991,[1]products!$A$1:$G$49, 5,FALSE)</f>
        <v>25.874999999999996</v>
      </c>
      <c r="M991" s="13">
        <f>PRODUCT(orders!$E991,orders!$L991)</f>
        <v>155.24999999999997</v>
      </c>
      <c r="N991" s="18" t="str">
        <f t="shared" si="30"/>
        <v>April</v>
      </c>
      <c r="O991" s="18">
        <f t="shared" si="31"/>
        <v>2019</v>
      </c>
      <c r="P991" s="11" t="str">
        <f>TEXT(orders!$B991, "DDD")</f>
        <v>Fri</v>
      </c>
      <c r="Q991" s="11" t="str">
        <f>VLOOKUP(orders!C991,[1]customers!$A$1:$I$1001, 6,FALSE)</f>
        <v>Saint Louis</v>
      </c>
    </row>
    <row r="992" spans="1:17" x14ac:dyDescent="0.3">
      <c r="A992" s="7" t="s">
        <v>1919</v>
      </c>
      <c r="B992" s="8">
        <v>44718</v>
      </c>
      <c r="C992" s="9" t="s">
        <v>1920</v>
      </c>
      <c r="D992" s="10" t="s">
        <v>68</v>
      </c>
      <c r="E992" s="9">
        <v>5</v>
      </c>
      <c r="F992" s="9" t="str">
        <f>VLOOKUP(C992,[1]customers!$A$1:$I$1001, 2, FALSE)</f>
        <v>Marguerite Graves</v>
      </c>
      <c r="G992" s="9">
        <f>VLOOKUP(orders!C992,[1]customers!$A$1:$I$1001, 3, FALSE)</f>
        <v>0</v>
      </c>
      <c r="H992" s="9" t="str">
        <f>VLOOKUP(C992, [1]customers!$A$1:$I$1001, 7, FALSE)</f>
        <v>United States</v>
      </c>
      <c r="I992" s="11" t="str">
        <f>VLOOKUP(orders!D992,[1]products!$A$1:$G$49, 2,FALSE)</f>
        <v>Exc</v>
      </c>
      <c r="J992" s="11" t="str">
        <f>VLOOKUP(orders!D992,[1]products!$A$1:$G$49, 3,FALSE)</f>
        <v>D</v>
      </c>
      <c r="K992" s="12">
        <f>VLOOKUP(orders!D992,[1]products!$A$1:$G$49, 4,FALSE)</f>
        <v>0.2</v>
      </c>
      <c r="L992" s="12">
        <f>VLOOKUP(orders!D992,[1]products!$A$1:$G$49, 5,FALSE)</f>
        <v>3.645</v>
      </c>
      <c r="M992" s="13">
        <f>PRODUCT(orders!$E992,orders!$L992)</f>
        <v>18.225000000000001</v>
      </c>
      <c r="N992" s="11" t="str">
        <f t="shared" si="30"/>
        <v>June</v>
      </c>
      <c r="O992" s="11">
        <f t="shared" si="31"/>
        <v>2022</v>
      </c>
      <c r="P992" s="11" t="str">
        <f>TEXT(orders!$B992, "DDD")</f>
        <v>Mon</v>
      </c>
      <c r="Q992" s="11" t="str">
        <f>VLOOKUP(orders!C992,[1]customers!$A$1:$I$1001, 6,FALSE)</f>
        <v>Fort Smith</v>
      </c>
    </row>
    <row r="993" spans="1:17" x14ac:dyDescent="0.3">
      <c r="A993" s="14" t="s">
        <v>1919</v>
      </c>
      <c r="B993" s="15">
        <v>44718</v>
      </c>
      <c r="C993" s="16" t="s">
        <v>1920</v>
      </c>
      <c r="D993" s="17" t="s">
        <v>140</v>
      </c>
      <c r="E993" s="16">
        <v>2</v>
      </c>
      <c r="F993" s="9" t="str">
        <f>VLOOKUP(C993,[1]customers!$A$1:$I$1001, 2, FALSE)</f>
        <v>Marguerite Graves</v>
      </c>
      <c r="G993" s="16">
        <f>VLOOKUP(orders!C993,[1]customers!$A$1:$I$1001, 3, FALSE)</f>
        <v>0</v>
      </c>
      <c r="H993" s="16" t="str">
        <f>VLOOKUP(C993, [1]customers!$A$1:$I$1001, 7, FALSE)</f>
        <v>United States</v>
      </c>
      <c r="I993" s="18" t="str">
        <f>VLOOKUP(orders!D993,[1]products!$A$1:$G$49, 2,FALSE)</f>
        <v>Lib</v>
      </c>
      <c r="J993" s="18" t="str">
        <f>VLOOKUP(orders!D993,[1]products!$A$1:$G$49, 3,FALSE)</f>
        <v>D</v>
      </c>
      <c r="K993" s="19">
        <f>VLOOKUP(orders!D993,[1]products!$A$1:$G$49, 4,FALSE)</f>
        <v>0.5</v>
      </c>
      <c r="L993" s="19">
        <f>VLOOKUP(orders!D993,[1]products!$A$1:$G$49, 5,FALSE)</f>
        <v>7.77</v>
      </c>
      <c r="M993" s="13">
        <f>PRODUCT(orders!$E993,orders!$L993)</f>
        <v>15.54</v>
      </c>
      <c r="N993" s="18" t="str">
        <f t="shared" si="30"/>
        <v>June</v>
      </c>
      <c r="O993" s="18">
        <f t="shared" si="31"/>
        <v>2022</v>
      </c>
      <c r="P993" s="11" t="str">
        <f>TEXT(orders!$B993, "DDD")</f>
        <v>Mon</v>
      </c>
      <c r="Q993" s="11" t="str">
        <f>VLOOKUP(orders!C993,[1]customers!$A$1:$I$1001, 6,FALSE)</f>
        <v>Fort Smith</v>
      </c>
    </row>
    <row r="994" spans="1:17" x14ac:dyDescent="0.3">
      <c r="A994" s="7" t="s">
        <v>1921</v>
      </c>
      <c r="B994" s="8">
        <v>44276</v>
      </c>
      <c r="C994" s="9" t="s">
        <v>1922</v>
      </c>
      <c r="D994" s="10" t="s">
        <v>121</v>
      </c>
      <c r="E994" s="9">
        <v>3</v>
      </c>
      <c r="F994" s="9" t="str">
        <f>VLOOKUP(C994,[1]customers!$A$1:$I$1001, 2, FALSE)</f>
        <v>Desdemona Eye</v>
      </c>
      <c r="G994" s="9">
        <f>VLOOKUP(orders!C994,[1]customers!$A$1:$I$1001, 3, FALSE)</f>
        <v>0</v>
      </c>
      <c r="H994" s="9" t="str">
        <f>VLOOKUP(C994, [1]customers!$A$1:$I$1001, 7, FALSE)</f>
        <v>Ireland</v>
      </c>
      <c r="I994" s="11" t="str">
        <f>VLOOKUP(orders!D994,[1]products!$A$1:$G$49, 2,FALSE)</f>
        <v>Lib</v>
      </c>
      <c r="J994" s="11" t="str">
        <f>VLOOKUP(orders!D994,[1]products!$A$1:$G$49, 3,FALSE)</f>
        <v>L</v>
      </c>
      <c r="K994" s="12">
        <f>VLOOKUP(orders!D994,[1]products!$A$1:$G$49, 4,FALSE)</f>
        <v>2.5</v>
      </c>
      <c r="L994" s="12">
        <f>VLOOKUP(orders!D994,[1]products!$A$1:$G$49, 5,FALSE)</f>
        <v>36.454999999999998</v>
      </c>
      <c r="M994" s="13">
        <f>PRODUCT(orders!$E994,orders!$L994)</f>
        <v>109.36499999999999</v>
      </c>
      <c r="N994" s="11" t="str">
        <f t="shared" si="30"/>
        <v>March</v>
      </c>
      <c r="O994" s="11">
        <f t="shared" si="31"/>
        <v>2021</v>
      </c>
      <c r="P994" s="11" t="str">
        <f>TEXT(orders!$B994, "DDD")</f>
        <v>Sun</v>
      </c>
      <c r="Q994" s="11" t="str">
        <f>VLOOKUP(orders!C994,[1]customers!$A$1:$I$1001, 6,FALSE)</f>
        <v>Bagenalstown</v>
      </c>
    </row>
    <row r="995" spans="1:17" x14ac:dyDescent="0.3">
      <c r="A995" s="14" t="s">
        <v>1923</v>
      </c>
      <c r="B995" s="15">
        <v>44549</v>
      </c>
      <c r="C995" s="16" t="s">
        <v>1924</v>
      </c>
      <c r="D995" s="17" t="s">
        <v>23</v>
      </c>
      <c r="E995" s="16">
        <v>6</v>
      </c>
      <c r="F995" s="9" t="str">
        <f>VLOOKUP(C995,[1]customers!$A$1:$I$1001, 2, FALSE)</f>
        <v>Margarette Sterland</v>
      </c>
      <c r="G995" s="16">
        <f>VLOOKUP(orders!C995,[1]customers!$A$1:$I$1001, 3, FALSE)</f>
        <v>0</v>
      </c>
      <c r="H995" s="16" t="str">
        <f>VLOOKUP(C995, [1]customers!$A$1:$I$1001, 7, FALSE)</f>
        <v>United States</v>
      </c>
      <c r="I995" s="18" t="str">
        <f>VLOOKUP(orders!D995,[1]products!$A$1:$G$49, 2,FALSE)</f>
        <v>Ara</v>
      </c>
      <c r="J995" s="18" t="str">
        <f>VLOOKUP(orders!D995,[1]products!$A$1:$G$49, 3,FALSE)</f>
        <v>L</v>
      </c>
      <c r="K995" s="19">
        <f>VLOOKUP(orders!D995,[1]products!$A$1:$G$49, 4,FALSE)</f>
        <v>1</v>
      </c>
      <c r="L995" s="19">
        <f>VLOOKUP(orders!D995,[1]products!$A$1:$G$49, 5,FALSE)</f>
        <v>12.95</v>
      </c>
      <c r="M995" s="13">
        <f>PRODUCT(orders!$E995,orders!$L995)</f>
        <v>77.699999999999989</v>
      </c>
      <c r="N995" s="18" t="str">
        <f t="shared" si="30"/>
        <v>December</v>
      </c>
      <c r="O995" s="18">
        <f t="shared" si="31"/>
        <v>2021</v>
      </c>
      <c r="P995" s="11" t="str">
        <f>TEXT(orders!$B995, "DDD")</f>
        <v>Sun</v>
      </c>
      <c r="Q995" s="11" t="str">
        <f>VLOOKUP(orders!C995,[1]customers!$A$1:$I$1001, 6,FALSE)</f>
        <v>Philadelphia</v>
      </c>
    </row>
    <row r="996" spans="1:17" x14ac:dyDescent="0.3">
      <c r="A996" s="7" t="s">
        <v>1925</v>
      </c>
      <c r="B996" s="8">
        <v>44244</v>
      </c>
      <c r="C996" s="9" t="s">
        <v>1926</v>
      </c>
      <c r="D996" s="10" t="s">
        <v>71</v>
      </c>
      <c r="E996" s="9">
        <v>3</v>
      </c>
      <c r="F996" s="9" t="str">
        <f>VLOOKUP(C996,[1]customers!$A$1:$I$1001, 2, FALSE)</f>
        <v>Catharine Scoines</v>
      </c>
      <c r="G996" s="9">
        <f>VLOOKUP(orders!C996,[1]customers!$A$1:$I$1001, 3, FALSE)</f>
        <v>0</v>
      </c>
      <c r="H996" s="9" t="str">
        <f>VLOOKUP(C996, [1]customers!$A$1:$I$1001, 7, FALSE)</f>
        <v>Ireland</v>
      </c>
      <c r="I996" s="11" t="str">
        <f>VLOOKUP(orders!D996,[1]products!$A$1:$G$49, 2,FALSE)</f>
        <v>Ara</v>
      </c>
      <c r="J996" s="11" t="str">
        <f>VLOOKUP(orders!D996,[1]products!$A$1:$G$49, 3,FALSE)</f>
        <v>D</v>
      </c>
      <c r="K996" s="12">
        <f>VLOOKUP(orders!D996,[1]products!$A$1:$G$49, 4,FALSE)</f>
        <v>0.2</v>
      </c>
      <c r="L996" s="12">
        <f>VLOOKUP(orders!D996,[1]products!$A$1:$G$49, 5,FALSE)</f>
        <v>2.9849999999999999</v>
      </c>
      <c r="M996" s="13">
        <f>PRODUCT(orders!$E996,orders!$L996)</f>
        <v>8.9550000000000001</v>
      </c>
      <c r="N996" s="11" t="str">
        <f t="shared" si="30"/>
        <v>February</v>
      </c>
      <c r="O996" s="11">
        <f t="shared" si="31"/>
        <v>2021</v>
      </c>
      <c r="P996" s="11" t="str">
        <f>TEXT(orders!$B996, "DDD")</f>
        <v>Wed</v>
      </c>
      <c r="Q996" s="11" t="str">
        <f>VLOOKUP(orders!C996,[1]customers!$A$1:$I$1001, 6,FALSE)</f>
        <v>Watergrasshill</v>
      </c>
    </row>
    <row r="997" spans="1:17" x14ac:dyDescent="0.3">
      <c r="A997" s="14" t="s">
        <v>1927</v>
      </c>
      <c r="B997" s="15">
        <v>43836</v>
      </c>
      <c r="C997" s="16" t="s">
        <v>1928</v>
      </c>
      <c r="D997" s="17" t="s">
        <v>27</v>
      </c>
      <c r="E997" s="16">
        <v>1</v>
      </c>
      <c r="F997" s="9" t="str">
        <f>VLOOKUP(C997,[1]customers!$A$1:$I$1001, 2, FALSE)</f>
        <v>Jennica Tewelson</v>
      </c>
      <c r="G997" s="16" t="str">
        <f>VLOOKUP(orders!C997,[1]customers!$A$1:$I$1001, 3, FALSE)</f>
        <v>jtewelsonrn@samsung.com</v>
      </c>
      <c r="H997" s="16" t="str">
        <f>VLOOKUP(C997, [1]customers!$A$1:$I$1001, 7, FALSE)</f>
        <v>United States</v>
      </c>
      <c r="I997" s="18" t="str">
        <f>VLOOKUP(orders!D997,[1]products!$A$1:$G$49, 2,FALSE)</f>
        <v>Rob</v>
      </c>
      <c r="J997" s="18" t="str">
        <f>VLOOKUP(orders!D997,[1]products!$A$1:$G$49, 3,FALSE)</f>
        <v>L</v>
      </c>
      <c r="K997" s="19">
        <f>VLOOKUP(orders!D997,[1]products!$A$1:$G$49, 4,FALSE)</f>
        <v>2.5</v>
      </c>
      <c r="L997" s="19">
        <f>VLOOKUP(orders!D997,[1]products!$A$1:$G$49, 5,FALSE)</f>
        <v>27.484999999999996</v>
      </c>
      <c r="M997" s="13">
        <f>PRODUCT(orders!$E997,orders!$L997)</f>
        <v>27.484999999999996</v>
      </c>
      <c r="N997" s="18" t="str">
        <f t="shared" si="30"/>
        <v>January</v>
      </c>
      <c r="O997" s="18">
        <f t="shared" si="31"/>
        <v>2020</v>
      </c>
      <c r="P997" s="11" t="str">
        <f>TEXT(orders!$B997, "DDD")</f>
        <v>Mon</v>
      </c>
      <c r="Q997" s="11" t="str">
        <f>VLOOKUP(orders!C997,[1]customers!$A$1:$I$1001, 6,FALSE)</f>
        <v>Dallas</v>
      </c>
    </row>
    <row r="998" spans="1:17" x14ac:dyDescent="0.3">
      <c r="A998" s="7" t="s">
        <v>1929</v>
      </c>
      <c r="B998" s="8">
        <v>44685</v>
      </c>
      <c r="C998" s="9" t="s">
        <v>1920</v>
      </c>
      <c r="D998" s="10" t="s">
        <v>39</v>
      </c>
      <c r="E998" s="9">
        <v>5</v>
      </c>
      <c r="F998" s="9" t="str">
        <f>VLOOKUP(C998,[1]customers!$A$1:$I$1001, 2, FALSE)</f>
        <v>Marguerite Graves</v>
      </c>
      <c r="G998" s="9">
        <f>VLOOKUP(orders!C998,[1]customers!$A$1:$I$1001, 3, FALSE)</f>
        <v>0</v>
      </c>
      <c r="H998" s="9" t="str">
        <f>VLOOKUP(C998, [1]customers!$A$1:$I$1001, 7, FALSE)</f>
        <v>United States</v>
      </c>
      <c r="I998" s="11" t="str">
        <f>VLOOKUP(orders!D998,[1]products!$A$1:$G$49, 2,FALSE)</f>
        <v>Rob</v>
      </c>
      <c r="J998" s="11" t="str">
        <f>VLOOKUP(orders!D998,[1]products!$A$1:$G$49, 3,FALSE)</f>
        <v>M</v>
      </c>
      <c r="K998" s="12">
        <f>VLOOKUP(orders!D998,[1]products!$A$1:$G$49, 4,FALSE)</f>
        <v>0.5</v>
      </c>
      <c r="L998" s="12">
        <f>VLOOKUP(orders!D998,[1]products!$A$1:$G$49, 5,FALSE)</f>
        <v>5.97</v>
      </c>
      <c r="M998" s="13">
        <f>PRODUCT(orders!$E998,orders!$L998)</f>
        <v>29.849999999999998</v>
      </c>
      <c r="N998" s="11" t="str">
        <f t="shared" si="30"/>
        <v>May</v>
      </c>
      <c r="O998" s="11">
        <f t="shared" si="31"/>
        <v>2022</v>
      </c>
      <c r="P998" s="11" t="str">
        <f>TEXT(orders!$B998, "DDD")</f>
        <v>Wed</v>
      </c>
      <c r="Q998" s="11" t="str">
        <f>VLOOKUP(orders!C998,[1]customers!$A$1:$I$1001, 6,FALSE)</f>
        <v>Fort Smith</v>
      </c>
    </row>
    <row r="999" spans="1:17" x14ac:dyDescent="0.3">
      <c r="A999" s="14" t="s">
        <v>1930</v>
      </c>
      <c r="B999" s="15">
        <v>43749</v>
      </c>
      <c r="C999" s="16" t="s">
        <v>1920</v>
      </c>
      <c r="D999" s="17" t="s">
        <v>84</v>
      </c>
      <c r="E999" s="16">
        <v>4</v>
      </c>
      <c r="F999" s="9" t="str">
        <f>VLOOKUP(C999,[1]customers!$A$1:$I$1001, 2, FALSE)</f>
        <v>Marguerite Graves</v>
      </c>
      <c r="G999" s="16">
        <f>VLOOKUP(orders!C999,[1]customers!$A$1:$I$1001, 3, FALSE)</f>
        <v>0</v>
      </c>
      <c r="H999" s="16" t="str">
        <f>VLOOKUP(C999, [1]customers!$A$1:$I$1001, 7, FALSE)</f>
        <v>United States</v>
      </c>
      <c r="I999" s="18" t="str">
        <f>VLOOKUP(orders!D999,[1]products!$A$1:$G$49, 2,FALSE)</f>
        <v>Ara</v>
      </c>
      <c r="J999" s="18" t="str">
        <f>VLOOKUP(orders!D999,[1]products!$A$1:$G$49, 3,FALSE)</f>
        <v>M</v>
      </c>
      <c r="K999" s="19">
        <f>VLOOKUP(orders!D999,[1]products!$A$1:$G$49, 4,FALSE)</f>
        <v>0.5</v>
      </c>
      <c r="L999" s="19">
        <f>VLOOKUP(orders!D999,[1]products!$A$1:$G$49, 5,FALSE)</f>
        <v>6.75</v>
      </c>
      <c r="M999" s="13">
        <f>PRODUCT(orders!$E999,orders!$L999)</f>
        <v>27</v>
      </c>
      <c r="N999" s="18" t="str">
        <f t="shared" si="30"/>
        <v>October</v>
      </c>
      <c r="O999" s="18">
        <f t="shared" si="31"/>
        <v>2019</v>
      </c>
      <c r="P999" s="11" t="str">
        <f>TEXT(orders!$B999, "DDD")</f>
        <v>Fri</v>
      </c>
      <c r="Q999" s="11" t="str">
        <f>VLOOKUP(orders!C999,[1]customers!$A$1:$I$1001, 6,FALSE)</f>
        <v>Fort Smith</v>
      </c>
    </row>
    <row r="1000" spans="1:17" x14ac:dyDescent="0.3">
      <c r="A1000" s="7" t="s">
        <v>1931</v>
      </c>
      <c r="B1000" s="8">
        <v>44411</v>
      </c>
      <c r="C1000" s="9" t="s">
        <v>1932</v>
      </c>
      <c r="D1000" s="10" t="s">
        <v>44</v>
      </c>
      <c r="E1000" s="9">
        <v>1</v>
      </c>
      <c r="F1000" s="9" t="str">
        <f>VLOOKUP(C1000,[1]customers!$A$1:$I$1001, 2, FALSE)</f>
        <v>Nicolina Jenny</v>
      </c>
      <c r="G1000" s="9" t="str">
        <f>VLOOKUP(orders!C1000,[1]customers!$A$1:$I$1001, 3, FALSE)</f>
        <v>njennyrq@bigcartel.com</v>
      </c>
      <c r="H1000" s="9" t="str">
        <f>VLOOKUP(C1000, [1]customers!$A$1:$I$1001, 7, FALSE)</f>
        <v>United States</v>
      </c>
      <c r="I1000" s="11" t="str">
        <f>VLOOKUP(orders!D1000,[1]products!$A$1:$G$49, 2,FALSE)</f>
        <v>Ara</v>
      </c>
      <c r="J1000" s="11" t="str">
        <f>VLOOKUP(orders!D1000,[1]products!$A$1:$G$49, 3,FALSE)</f>
        <v>D</v>
      </c>
      <c r="K1000" s="12">
        <f>VLOOKUP(orders!D1000,[1]products!$A$1:$G$49, 4,FALSE)</f>
        <v>1</v>
      </c>
      <c r="L1000" s="12">
        <f>VLOOKUP(orders!D1000,[1]products!$A$1:$G$49, 5,FALSE)</f>
        <v>9.9499999999999993</v>
      </c>
      <c r="M1000" s="13">
        <f>PRODUCT(orders!$E1000,orders!$L1000)</f>
        <v>9.9499999999999993</v>
      </c>
      <c r="N1000" s="11" t="str">
        <f t="shared" si="30"/>
        <v>August</v>
      </c>
      <c r="O1000" s="11">
        <f t="shared" si="31"/>
        <v>2021</v>
      </c>
      <c r="P1000" s="11" t="str">
        <f>TEXT(orders!$B1000, "DDD")</f>
        <v>Tue</v>
      </c>
      <c r="Q1000" s="11" t="str">
        <f>VLOOKUP(orders!C1000,[1]customers!$A$1:$I$1001, 6,FALSE)</f>
        <v>Whittier</v>
      </c>
    </row>
    <row r="1001" spans="1:17" x14ac:dyDescent="0.3">
      <c r="A1001" s="20" t="s">
        <v>1933</v>
      </c>
      <c r="B1001" s="21">
        <v>44119</v>
      </c>
      <c r="C1001" s="22" t="s">
        <v>1934</v>
      </c>
      <c r="D1001" s="23" t="s">
        <v>81</v>
      </c>
      <c r="E1001" s="22">
        <v>3</v>
      </c>
      <c r="F1001" s="24" t="str">
        <f>VLOOKUP(C1001,[1]customers!$A$1:$I$1001, 2, FALSE)</f>
        <v>Vidovic Antonelli</v>
      </c>
      <c r="G1001" s="22">
        <f>VLOOKUP(orders!C1001,[1]customers!$A$1:$I$1001, 3, FALSE)</f>
        <v>0</v>
      </c>
      <c r="H1001" s="22" t="str">
        <f>VLOOKUP(C1001, [1]customers!$A$1:$I$1001, 7, FALSE)</f>
        <v>United Kingdom</v>
      </c>
      <c r="I1001" s="25" t="str">
        <f>VLOOKUP(orders!D1001,[1]products!$A$1:$G$49, 2,FALSE)</f>
        <v>Exc</v>
      </c>
      <c r="J1001" s="25" t="str">
        <f>VLOOKUP(orders!D1001,[1]products!$A$1:$G$49, 3,FALSE)</f>
        <v>M</v>
      </c>
      <c r="K1001" s="26">
        <f>VLOOKUP(orders!D1001,[1]products!$A$1:$G$49, 4,FALSE)</f>
        <v>0.2</v>
      </c>
      <c r="L1001" s="26">
        <f>VLOOKUP(orders!D1001,[1]products!$A$1:$G$49, 5,FALSE)</f>
        <v>4.125</v>
      </c>
      <c r="M1001" s="27">
        <f>PRODUCT(orders!$E1001,orders!$L1001)</f>
        <v>12.375</v>
      </c>
      <c r="N1001" s="25" t="str">
        <f t="shared" si="30"/>
        <v>October</v>
      </c>
      <c r="O1001" s="25">
        <f t="shared" si="31"/>
        <v>2020</v>
      </c>
      <c r="P1001" s="11" t="str">
        <f>TEXT(orders!$B1001, "DDD")</f>
        <v>Thu</v>
      </c>
      <c r="Q1001" s="11" t="str">
        <f>VLOOKUP(orders!C1001,[1]customers!$A$1:$I$1001, 6,FALSE)</f>
        <v>London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Shinde</dc:creator>
  <cp:lastModifiedBy>Ajay Shinde</cp:lastModifiedBy>
  <dcterms:created xsi:type="dcterms:W3CDTF">2025-10-29T08:25:06Z</dcterms:created>
  <dcterms:modified xsi:type="dcterms:W3CDTF">2025-10-29T08:25:08Z</dcterms:modified>
</cp:coreProperties>
</file>